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데이터" sheetId="2" state="visible" r:id="rId2"/>
    <sheet xmlns:r="http://schemas.openxmlformats.org/officeDocument/2006/relationships" name="계산" sheetId="3" state="visible" r:id="rId3"/>
    <sheet xmlns:r="http://schemas.openxmlformats.org/officeDocument/2006/relationships" name="순위" sheetId="4" state="visible" r:id="rId4"/>
    <sheet xmlns:r="http://schemas.openxmlformats.org/officeDocument/2006/relationships" name="차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종가(선)와 거래량(막대)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'차트'!$B$4:$B$113</f>
            </numRef>
          </cat>
          <val>
            <numRef>
              <f>'차트'!$D$4:$D$113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'차트'!$C$4:$C$113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거래량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종가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기간</t>
        </is>
      </c>
      <c r="B1" s="1" t="inlineStr">
        <is>
          <t>순번(1=가장 최근 주)</t>
        </is>
      </c>
    </row>
    <row r="2">
      <c r="A2" t="inlineStr">
        <is>
          <t>1주 전</t>
        </is>
      </c>
      <c r="B2" t="n">
        <v>2</v>
      </c>
    </row>
    <row r="3">
      <c r="A3" t="inlineStr">
        <is>
          <t>4주 전</t>
        </is>
      </c>
      <c r="B3" t="n">
        <v>5</v>
      </c>
    </row>
    <row r="4">
      <c r="A4" t="inlineStr">
        <is>
          <t>8주 전</t>
        </is>
      </c>
      <c r="B4" t="n">
        <v>9</v>
      </c>
    </row>
    <row r="5">
      <c r="A5" t="inlineStr">
        <is>
          <t>12주 전</t>
        </is>
      </c>
      <c r="B5" t="n">
        <v>13</v>
      </c>
    </row>
    <row r="6">
      <c r="A6" t="inlineStr">
        <is>
          <t>52주 전</t>
        </is>
      </c>
      <c r="B6" t="n">
        <v>53</v>
      </c>
    </row>
    <row r="7">
      <c r="A7" t="inlineStr">
        <is>
          <t>104주 전</t>
        </is>
      </c>
      <c r="B7" t="n">
        <v>105</v>
      </c>
    </row>
    <row r="10">
      <c r="A10" t="inlineStr">
        <is>
          <t>주봉 기준입니다. 일봉이면 순번을 바꾸세요(예: 1주 전=6). 순번은 종목별 최신 일자부터 1,2,3 으로 매겨집니다.</t>
        </is>
      </c>
    </row>
    <row r="12">
      <c r="A12" s="2" t="inlineStr">
        <is>
          <t>※ 현재 데이터는 가짜 샘플입니다. 실제 시세가 아닙니다.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8" customWidth="1" min="5" max="5"/>
  </cols>
  <sheetData>
    <row r="1">
      <c r="A1" s="1" t="inlineStr">
        <is>
          <t>종목명</t>
        </is>
      </c>
      <c r="B1" s="1" t="inlineStr">
        <is>
          <t>일자</t>
        </is>
      </c>
      <c r="C1" s="1" t="inlineStr">
        <is>
          <t>종가</t>
        </is>
      </c>
      <c r="D1" s="1" t="inlineStr">
        <is>
          <t>거래량</t>
        </is>
      </c>
      <c r="E1" s="1" t="inlineStr">
        <is>
          <t>순번</t>
        </is>
      </c>
      <c r="G1" t="inlineStr">
        <is>
          <t>A~D열에 붙여 넣고, E열 수식은 아래로 복사하세요.</t>
        </is>
      </c>
    </row>
    <row r="2">
      <c r="A2" t="inlineStr">
        <is>
          <t>샘플종목01</t>
        </is>
      </c>
      <c r="B2" s="3" t="n">
        <v>45555</v>
      </c>
      <c r="C2" t="n">
        <v>70591</v>
      </c>
      <c r="D2" t="n">
        <v>1315279</v>
      </c>
      <c r="E2">
        <f>IF(A2="","",COUNTIFS($A$2:$A$20000,A2,$B$2:$B$20000,"&gt;"&amp;B2)+1)</f>
        <v/>
      </c>
    </row>
    <row r="3">
      <c r="A3" t="inlineStr">
        <is>
          <t>샘플종목01</t>
        </is>
      </c>
      <c r="B3" s="3" t="n">
        <v>45562</v>
      </c>
      <c r="C3" t="n">
        <v>74060</v>
      </c>
      <c r="D3" t="n">
        <v>9090608</v>
      </c>
      <c r="E3">
        <f>IF(A3="","",COUNTIFS($A$2:$A$20000,A3,$B$2:$B$20000,"&gt;"&amp;B3)+1)</f>
        <v/>
      </c>
    </row>
    <row r="4">
      <c r="A4" t="inlineStr">
        <is>
          <t>샘플종목01</t>
        </is>
      </c>
      <c r="B4" s="3" t="n">
        <v>45569</v>
      </c>
      <c r="C4" t="n">
        <v>77459</v>
      </c>
      <c r="D4" t="n">
        <v>8613358</v>
      </c>
      <c r="E4">
        <f>IF(A4="","",COUNTIFS($A$2:$A$20000,A4,$B$2:$B$20000,"&gt;"&amp;B4)+1)</f>
        <v/>
      </c>
    </row>
    <row r="5">
      <c r="A5" t="inlineStr">
        <is>
          <t>샘플종목01</t>
        </is>
      </c>
      <c r="B5" s="3" t="n">
        <v>45576</v>
      </c>
      <c r="C5" t="n">
        <v>79898</v>
      </c>
      <c r="D5" t="n">
        <v>3702037</v>
      </c>
      <c r="E5">
        <f>IF(A5="","",COUNTIFS($A$2:$A$20000,A5,$B$2:$B$20000,"&gt;"&amp;B5)+1)</f>
        <v/>
      </c>
    </row>
    <row r="6">
      <c r="A6" t="inlineStr">
        <is>
          <t>샘플종목01</t>
        </is>
      </c>
      <c r="B6" s="3" t="n">
        <v>45583</v>
      </c>
      <c r="C6" t="n">
        <v>83372</v>
      </c>
      <c r="D6" t="n">
        <v>1271979</v>
      </c>
      <c r="E6">
        <f>IF(A6="","",COUNTIFS($A$2:$A$20000,A6,$B$2:$B$20000,"&gt;"&amp;B6)+1)</f>
        <v/>
      </c>
    </row>
    <row r="7">
      <c r="A7" t="inlineStr">
        <is>
          <t>샘플종목01</t>
        </is>
      </c>
      <c r="B7" s="3" t="n">
        <v>45590</v>
      </c>
      <c r="C7" t="n">
        <v>84369</v>
      </c>
      <c r="D7" t="n">
        <v>4137655</v>
      </c>
      <c r="E7">
        <f>IF(A7="","",COUNTIFS($A$2:$A$20000,A7,$B$2:$B$20000,"&gt;"&amp;B7)+1)</f>
        <v/>
      </c>
    </row>
    <row r="8">
      <c r="A8" t="inlineStr">
        <is>
          <t>샘플종목01</t>
        </is>
      </c>
      <c r="B8" s="3" t="n">
        <v>45597</v>
      </c>
      <c r="C8" t="n">
        <v>87524</v>
      </c>
      <c r="D8" t="n">
        <v>9586738</v>
      </c>
      <c r="E8">
        <f>IF(A8="","",COUNTIFS($A$2:$A$20000,A8,$B$2:$B$20000,"&gt;"&amp;B8)+1)</f>
        <v/>
      </c>
    </row>
    <row r="9">
      <c r="A9" t="inlineStr">
        <is>
          <t>샘플종목01</t>
        </is>
      </c>
      <c r="B9" s="3" t="n">
        <v>45604</v>
      </c>
      <c r="C9" t="n">
        <v>89685</v>
      </c>
      <c r="D9" t="n">
        <v>2177052</v>
      </c>
      <c r="E9">
        <f>IF(A9="","",COUNTIFS($A$2:$A$20000,A9,$B$2:$B$20000,"&gt;"&amp;B9)+1)</f>
        <v/>
      </c>
    </row>
    <row r="10">
      <c r="A10" t="inlineStr">
        <is>
          <t>샘플종목01</t>
        </is>
      </c>
      <c r="B10" s="3" t="n">
        <v>45611</v>
      </c>
      <c r="C10" t="n">
        <v>94654</v>
      </c>
      <c r="D10" t="n">
        <v>9881064</v>
      </c>
      <c r="E10">
        <f>IF(A10="","",COUNTIFS($A$2:$A$20000,A10,$B$2:$B$20000,"&gt;"&amp;B10)+1)</f>
        <v/>
      </c>
    </row>
    <row r="11">
      <c r="A11" t="inlineStr">
        <is>
          <t>샘플종목01</t>
        </is>
      </c>
      <c r="B11" s="3" t="n">
        <v>45618</v>
      </c>
      <c r="C11" t="n">
        <v>93111</v>
      </c>
      <c r="D11" t="n">
        <v>1137872</v>
      </c>
      <c r="E11">
        <f>IF(A11="","",COUNTIFS($A$2:$A$20000,A11,$B$2:$B$20000,"&gt;"&amp;B11)+1)</f>
        <v/>
      </c>
    </row>
    <row r="12">
      <c r="A12" t="inlineStr">
        <is>
          <t>샘플종목01</t>
        </is>
      </c>
      <c r="B12" s="3" t="n">
        <v>45625</v>
      </c>
      <c r="C12" t="n">
        <v>89984</v>
      </c>
      <c r="D12" t="n">
        <v>3809137</v>
      </c>
      <c r="E12">
        <f>IF(A12="","",COUNTIFS($A$2:$A$20000,A12,$B$2:$B$20000,"&gt;"&amp;B12)+1)</f>
        <v/>
      </c>
    </row>
    <row r="13">
      <c r="A13" t="inlineStr">
        <is>
          <t>샘플종목01</t>
        </is>
      </c>
      <c r="B13" s="3" t="n">
        <v>45632</v>
      </c>
      <c r="C13" t="n">
        <v>88479</v>
      </c>
      <c r="D13" t="n">
        <v>881527</v>
      </c>
      <c r="E13">
        <f>IF(A13="","",COUNTIFS($A$2:$A$20000,A13,$B$2:$B$20000,"&gt;"&amp;B13)+1)</f>
        <v/>
      </c>
    </row>
    <row r="14">
      <c r="A14" t="inlineStr">
        <is>
          <t>샘플종목01</t>
        </is>
      </c>
      <c r="B14" s="3" t="n">
        <v>45639</v>
      </c>
      <c r="C14" t="n">
        <v>86882</v>
      </c>
      <c r="D14" t="n">
        <v>7131986</v>
      </c>
      <c r="E14">
        <f>IF(A14="","",COUNTIFS($A$2:$A$20000,A14,$B$2:$B$20000,"&gt;"&amp;B14)+1)</f>
        <v/>
      </c>
    </row>
    <row r="15">
      <c r="A15" t="inlineStr">
        <is>
          <t>샘플종목01</t>
        </is>
      </c>
      <c r="B15" s="3" t="n">
        <v>45646</v>
      </c>
      <c r="C15" t="n">
        <v>86408</v>
      </c>
      <c r="D15" t="n">
        <v>2520198</v>
      </c>
      <c r="E15">
        <f>IF(A15="","",COUNTIFS($A$2:$A$20000,A15,$B$2:$B$20000,"&gt;"&amp;B15)+1)</f>
        <v/>
      </c>
    </row>
    <row r="16">
      <c r="A16" t="inlineStr">
        <is>
          <t>샘플종목01</t>
        </is>
      </c>
      <c r="B16" s="3" t="n">
        <v>45653</v>
      </c>
      <c r="C16" t="n">
        <v>82231</v>
      </c>
      <c r="D16" t="n">
        <v>9499557</v>
      </c>
      <c r="E16">
        <f>IF(A16="","",COUNTIFS($A$2:$A$20000,A16,$B$2:$B$20000,"&gt;"&amp;B16)+1)</f>
        <v/>
      </c>
    </row>
    <row r="17">
      <c r="A17" t="inlineStr">
        <is>
          <t>샘플종목01</t>
        </is>
      </c>
      <c r="B17" s="3" t="n">
        <v>45660</v>
      </c>
      <c r="C17" t="n">
        <v>81314</v>
      </c>
      <c r="D17" t="n">
        <v>3132085</v>
      </c>
      <c r="E17">
        <f>IF(A17="","",COUNTIFS($A$2:$A$20000,A17,$B$2:$B$20000,"&gt;"&amp;B17)+1)</f>
        <v/>
      </c>
    </row>
    <row r="18">
      <c r="A18" t="inlineStr">
        <is>
          <t>샘플종목01</t>
        </is>
      </c>
      <c r="B18" s="3" t="n">
        <v>45667</v>
      </c>
      <c r="C18" t="n">
        <v>84852</v>
      </c>
      <c r="D18" t="n">
        <v>3251952</v>
      </c>
      <c r="E18">
        <f>IF(A18="","",COUNTIFS($A$2:$A$20000,A18,$B$2:$B$20000,"&gt;"&amp;B18)+1)</f>
        <v/>
      </c>
    </row>
    <row r="19">
      <c r="A19" t="inlineStr">
        <is>
          <t>샘플종목01</t>
        </is>
      </c>
      <c r="B19" s="3" t="n">
        <v>45674</v>
      </c>
      <c r="C19" t="n">
        <v>87686</v>
      </c>
      <c r="D19" t="n">
        <v>6347794</v>
      </c>
      <c r="E19">
        <f>IF(A19="","",COUNTIFS($A$2:$A$20000,A19,$B$2:$B$20000,"&gt;"&amp;B19)+1)</f>
        <v/>
      </c>
    </row>
    <row r="20">
      <c r="A20" t="inlineStr">
        <is>
          <t>샘플종목01</t>
        </is>
      </c>
      <c r="B20" s="3" t="n">
        <v>45681</v>
      </c>
      <c r="C20" t="n">
        <v>92392</v>
      </c>
      <c r="D20" t="n">
        <v>9568528</v>
      </c>
      <c r="E20">
        <f>IF(A20="","",COUNTIFS($A$2:$A$20000,A20,$B$2:$B$20000,"&gt;"&amp;B20)+1)</f>
        <v/>
      </c>
    </row>
    <row r="21">
      <c r="A21" t="inlineStr">
        <is>
          <t>샘플종목01</t>
        </is>
      </c>
      <c r="B21" s="3" t="n">
        <v>45688</v>
      </c>
      <c r="C21" t="n">
        <v>95928</v>
      </c>
      <c r="D21" t="n">
        <v>1099941</v>
      </c>
      <c r="E21">
        <f>IF(A21="","",COUNTIFS($A$2:$A$20000,A21,$B$2:$B$20000,"&gt;"&amp;B21)+1)</f>
        <v/>
      </c>
    </row>
    <row r="22">
      <c r="A22" t="inlineStr">
        <is>
          <t>샘플종목01</t>
        </is>
      </c>
      <c r="B22" s="3" t="n">
        <v>45695</v>
      </c>
      <c r="C22" t="n">
        <v>92824</v>
      </c>
      <c r="D22" t="n">
        <v>9020785</v>
      </c>
      <c r="E22">
        <f>IF(A22="","",COUNTIFS($A$2:$A$20000,A22,$B$2:$B$20000,"&gt;"&amp;B22)+1)</f>
        <v/>
      </c>
    </row>
    <row r="23">
      <c r="A23" t="inlineStr">
        <is>
          <t>샘플종목01</t>
        </is>
      </c>
      <c r="B23" s="3" t="n">
        <v>45702</v>
      </c>
      <c r="C23" t="n">
        <v>90052</v>
      </c>
      <c r="D23" t="n">
        <v>7273808</v>
      </c>
      <c r="E23">
        <f>IF(A23="","",COUNTIFS($A$2:$A$20000,A23,$B$2:$B$20000,"&gt;"&amp;B23)+1)</f>
        <v/>
      </c>
    </row>
    <row r="24">
      <c r="A24" t="inlineStr">
        <is>
          <t>샘플종목01</t>
        </is>
      </c>
      <c r="B24" s="3" t="n">
        <v>45709</v>
      </c>
      <c r="C24" t="n">
        <v>90919</v>
      </c>
      <c r="D24" t="n">
        <v>7703172</v>
      </c>
      <c r="E24">
        <f>IF(A24="","",COUNTIFS($A$2:$A$20000,A24,$B$2:$B$20000,"&gt;"&amp;B24)+1)</f>
        <v/>
      </c>
    </row>
    <row r="25">
      <c r="A25" t="inlineStr">
        <is>
          <t>샘플종목01</t>
        </is>
      </c>
      <c r="B25" s="3" t="n">
        <v>45716</v>
      </c>
      <c r="C25" t="n">
        <v>87089</v>
      </c>
      <c r="D25" t="n">
        <v>6166345</v>
      </c>
      <c r="E25">
        <f>IF(A25="","",COUNTIFS($A$2:$A$20000,A25,$B$2:$B$20000,"&gt;"&amp;B25)+1)</f>
        <v/>
      </c>
    </row>
    <row r="26">
      <c r="A26" t="inlineStr">
        <is>
          <t>샘플종목01</t>
        </is>
      </c>
      <c r="B26" s="3" t="n">
        <v>45723</v>
      </c>
      <c r="C26" t="n">
        <v>85357</v>
      </c>
      <c r="D26" t="n">
        <v>4195259</v>
      </c>
      <c r="E26">
        <f>IF(A26="","",COUNTIFS($A$2:$A$20000,A26,$B$2:$B$20000,"&gt;"&amp;B26)+1)</f>
        <v/>
      </c>
    </row>
    <row r="27">
      <c r="A27" t="inlineStr">
        <is>
          <t>샘플종목01</t>
        </is>
      </c>
      <c r="B27" s="3" t="n">
        <v>45730</v>
      </c>
      <c r="C27" t="n">
        <v>91306</v>
      </c>
      <c r="D27" t="n">
        <v>1473299</v>
      </c>
      <c r="E27">
        <f>IF(A27="","",COUNTIFS($A$2:$A$20000,A27,$B$2:$B$20000,"&gt;"&amp;B27)+1)</f>
        <v/>
      </c>
    </row>
    <row r="28">
      <c r="A28" t="inlineStr">
        <is>
          <t>샘플종목01</t>
        </is>
      </c>
      <c r="B28" s="3" t="n">
        <v>45737</v>
      </c>
      <c r="C28" t="n">
        <v>87510</v>
      </c>
      <c r="D28" t="n">
        <v>5862565</v>
      </c>
      <c r="E28">
        <f>IF(A28="","",COUNTIFS($A$2:$A$20000,A28,$B$2:$B$20000,"&gt;"&amp;B28)+1)</f>
        <v/>
      </c>
    </row>
    <row r="29">
      <c r="A29" t="inlineStr">
        <is>
          <t>샘플종목01</t>
        </is>
      </c>
      <c r="B29" s="3" t="n">
        <v>45744</v>
      </c>
      <c r="C29" t="n">
        <v>85759</v>
      </c>
      <c r="D29" t="n">
        <v>7630188</v>
      </c>
      <c r="E29">
        <f>IF(A29="","",COUNTIFS($A$2:$A$20000,A29,$B$2:$B$20000,"&gt;"&amp;B29)+1)</f>
        <v/>
      </c>
    </row>
    <row r="30">
      <c r="A30" t="inlineStr">
        <is>
          <t>샘플종목01</t>
        </is>
      </c>
      <c r="B30" s="3" t="n">
        <v>45751</v>
      </c>
      <c r="C30" t="n">
        <v>83662</v>
      </c>
      <c r="D30" t="n">
        <v>2080815</v>
      </c>
      <c r="E30">
        <f>IF(A30="","",COUNTIFS($A$2:$A$20000,A30,$B$2:$B$20000,"&gt;"&amp;B30)+1)</f>
        <v/>
      </c>
    </row>
    <row r="31">
      <c r="A31" t="inlineStr">
        <is>
          <t>샘플종목01</t>
        </is>
      </c>
      <c r="B31" s="3" t="n">
        <v>45758</v>
      </c>
      <c r="C31" t="n">
        <v>92936</v>
      </c>
      <c r="D31" t="n">
        <v>8688807</v>
      </c>
      <c r="E31">
        <f>IF(A31="","",COUNTIFS($A$2:$A$20000,A31,$B$2:$B$20000,"&gt;"&amp;B31)+1)</f>
        <v/>
      </c>
    </row>
    <row r="32">
      <c r="A32" t="inlineStr">
        <is>
          <t>샘플종목01</t>
        </is>
      </c>
      <c r="B32" s="3" t="n">
        <v>45765</v>
      </c>
      <c r="C32" t="n">
        <v>87677</v>
      </c>
      <c r="D32" t="n">
        <v>2649877</v>
      </c>
      <c r="E32">
        <f>IF(A32="","",COUNTIFS($A$2:$A$20000,A32,$B$2:$B$20000,"&gt;"&amp;B32)+1)</f>
        <v/>
      </c>
    </row>
    <row r="33">
      <c r="A33" t="inlineStr">
        <is>
          <t>샘플종목01</t>
        </is>
      </c>
      <c r="B33" s="3" t="n">
        <v>45772</v>
      </c>
      <c r="C33" t="n">
        <v>90756</v>
      </c>
      <c r="D33" t="n">
        <v>8303439</v>
      </c>
      <c r="E33">
        <f>IF(A33="","",COUNTIFS($A$2:$A$20000,A33,$B$2:$B$20000,"&gt;"&amp;B33)+1)</f>
        <v/>
      </c>
    </row>
    <row r="34">
      <c r="A34" t="inlineStr">
        <is>
          <t>샘플종목01</t>
        </is>
      </c>
      <c r="B34" s="3" t="n">
        <v>45779</v>
      </c>
      <c r="C34" t="n">
        <v>82754</v>
      </c>
      <c r="D34" t="n">
        <v>1402255</v>
      </c>
      <c r="E34">
        <f>IF(A34="","",COUNTIFS($A$2:$A$20000,A34,$B$2:$B$20000,"&gt;"&amp;B34)+1)</f>
        <v/>
      </c>
    </row>
    <row r="35">
      <c r="A35" t="inlineStr">
        <is>
          <t>샘플종목01</t>
        </is>
      </c>
      <c r="B35" s="3" t="n">
        <v>45786</v>
      </c>
      <c r="C35" t="n">
        <v>86918</v>
      </c>
      <c r="D35" t="n">
        <v>9462957</v>
      </c>
      <c r="E35">
        <f>IF(A35="","",COUNTIFS($A$2:$A$20000,A35,$B$2:$B$20000,"&gt;"&amp;B35)+1)</f>
        <v/>
      </c>
    </row>
    <row r="36">
      <c r="A36" t="inlineStr">
        <is>
          <t>샘플종목01</t>
        </is>
      </c>
      <c r="B36" s="3" t="n">
        <v>45793</v>
      </c>
      <c r="C36" t="n">
        <v>80729</v>
      </c>
      <c r="D36" t="n">
        <v>5363809</v>
      </c>
      <c r="E36">
        <f>IF(A36="","",COUNTIFS($A$2:$A$20000,A36,$B$2:$B$20000,"&gt;"&amp;B36)+1)</f>
        <v/>
      </c>
    </row>
    <row r="37">
      <c r="A37" t="inlineStr">
        <is>
          <t>샘플종목01</t>
        </is>
      </c>
      <c r="B37" s="3" t="n">
        <v>45800</v>
      </c>
      <c r="C37" t="n">
        <v>77971</v>
      </c>
      <c r="D37" t="n">
        <v>5806306</v>
      </c>
      <c r="E37">
        <f>IF(A37="","",COUNTIFS($A$2:$A$20000,A37,$B$2:$B$20000,"&gt;"&amp;B37)+1)</f>
        <v/>
      </c>
    </row>
    <row r="38">
      <c r="A38" t="inlineStr">
        <is>
          <t>샘플종목01</t>
        </is>
      </c>
      <c r="B38" s="3" t="n">
        <v>45807</v>
      </c>
      <c r="C38" t="n">
        <v>76715</v>
      </c>
      <c r="D38" t="n">
        <v>9829027</v>
      </c>
      <c r="E38">
        <f>IF(A38="","",COUNTIFS($A$2:$A$20000,A38,$B$2:$B$20000,"&gt;"&amp;B38)+1)</f>
        <v/>
      </c>
    </row>
    <row r="39">
      <c r="A39" t="inlineStr">
        <is>
          <t>샘플종목01</t>
        </is>
      </c>
      <c r="B39" s="3" t="n">
        <v>45814</v>
      </c>
      <c r="C39" t="n">
        <v>72988</v>
      </c>
      <c r="D39" t="n">
        <v>7753855</v>
      </c>
      <c r="E39">
        <f>IF(A39="","",COUNTIFS($A$2:$A$20000,A39,$B$2:$B$20000,"&gt;"&amp;B39)+1)</f>
        <v/>
      </c>
    </row>
    <row r="40">
      <c r="A40" t="inlineStr">
        <is>
          <t>샘플종목01</t>
        </is>
      </c>
      <c r="B40" s="3" t="n">
        <v>45821</v>
      </c>
      <c r="C40" t="n">
        <v>74309</v>
      </c>
      <c r="D40" t="n">
        <v>4628829</v>
      </c>
      <c r="E40">
        <f>IF(A40="","",COUNTIFS($A$2:$A$20000,A40,$B$2:$B$20000,"&gt;"&amp;B40)+1)</f>
        <v/>
      </c>
    </row>
    <row r="41">
      <c r="A41" t="inlineStr">
        <is>
          <t>샘플종목01</t>
        </is>
      </c>
      <c r="B41" s="3" t="n">
        <v>45828</v>
      </c>
      <c r="C41" t="n">
        <v>75009</v>
      </c>
      <c r="D41" t="n">
        <v>8054050</v>
      </c>
      <c r="E41">
        <f>IF(A41="","",COUNTIFS($A$2:$A$20000,A41,$B$2:$B$20000,"&gt;"&amp;B41)+1)</f>
        <v/>
      </c>
    </row>
    <row r="42">
      <c r="A42" t="inlineStr">
        <is>
          <t>샘플종목01</t>
        </is>
      </c>
      <c r="B42" s="3" t="n">
        <v>45835</v>
      </c>
      <c r="C42" t="n">
        <v>74800</v>
      </c>
      <c r="D42" t="n">
        <v>5294349</v>
      </c>
      <c r="E42">
        <f>IF(A42="","",COUNTIFS($A$2:$A$20000,A42,$B$2:$B$20000,"&gt;"&amp;B42)+1)</f>
        <v/>
      </c>
    </row>
    <row r="43">
      <c r="A43" t="inlineStr">
        <is>
          <t>샘플종목01</t>
        </is>
      </c>
      <c r="B43" s="3" t="n">
        <v>45842</v>
      </c>
      <c r="C43" t="n">
        <v>73913</v>
      </c>
      <c r="D43" t="n">
        <v>9796328</v>
      </c>
      <c r="E43">
        <f>IF(A43="","",COUNTIFS($A$2:$A$20000,A43,$B$2:$B$20000,"&gt;"&amp;B43)+1)</f>
        <v/>
      </c>
    </row>
    <row r="44">
      <c r="A44" t="inlineStr">
        <is>
          <t>샘플종목01</t>
        </is>
      </c>
      <c r="B44" s="3" t="n">
        <v>45849</v>
      </c>
      <c r="C44" t="n">
        <v>79548</v>
      </c>
      <c r="D44" t="n">
        <v>4874720</v>
      </c>
      <c r="E44">
        <f>IF(A44="","",COUNTIFS($A$2:$A$20000,A44,$B$2:$B$20000,"&gt;"&amp;B44)+1)</f>
        <v/>
      </c>
    </row>
    <row r="45">
      <c r="A45" t="inlineStr">
        <is>
          <t>샘플종목01</t>
        </is>
      </c>
      <c r="B45" s="3" t="n">
        <v>45856</v>
      </c>
      <c r="C45" t="n">
        <v>79451</v>
      </c>
      <c r="D45" t="n">
        <v>6572506</v>
      </c>
      <c r="E45">
        <f>IF(A45="","",COUNTIFS($A$2:$A$20000,A45,$B$2:$B$20000,"&gt;"&amp;B45)+1)</f>
        <v/>
      </c>
    </row>
    <row r="46">
      <c r="A46" t="inlineStr">
        <is>
          <t>샘플종목01</t>
        </is>
      </c>
      <c r="B46" s="3" t="n">
        <v>45863</v>
      </c>
      <c r="C46" t="n">
        <v>81835</v>
      </c>
      <c r="D46" t="n">
        <v>7845961</v>
      </c>
      <c r="E46">
        <f>IF(A46="","",COUNTIFS($A$2:$A$20000,A46,$B$2:$B$20000,"&gt;"&amp;B46)+1)</f>
        <v/>
      </c>
    </row>
    <row r="47">
      <c r="A47" t="inlineStr">
        <is>
          <t>샘플종목01</t>
        </is>
      </c>
      <c r="B47" s="3" t="n">
        <v>45870</v>
      </c>
      <c r="C47" t="n">
        <v>80030</v>
      </c>
      <c r="D47" t="n">
        <v>6063698</v>
      </c>
      <c r="E47">
        <f>IF(A47="","",COUNTIFS($A$2:$A$20000,A47,$B$2:$B$20000,"&gt;"&amp;B47)+1)</f>
        <v/>
      </c>
    </row>
    <row r="48">
      <c r="A48" t="inlineStr">
        <is>
          <t>샘플종목01</t>
        </is>
      </c>
      <c r="B48" s="3" t="n">
        <v>45877</v>
      </c>
      <c r="C48" t="n">
        <v>80976</v>
      </c>
      <c r="D48" t="n">
        <v>1089091</v>
      </c>
      <c r="E48">
        <f>IF(A48="","",COUNTIFS($A$2:$A$20000,A48,$B$2:$B$20000,"&gt;"&amp;B48)+1)</f>
        <v/>
      </c>
    </row>
    <row r="49">
      <c r="A49" t="inlineStr">
        <is>
          <t>샘플종목01</t>
        </is>
      </c>
      <c r="B49" s="3" t="n">
        <v>45884</v>
      </c>
      <c r="C49" t="n">
        <v>82545</v>
      </c>
      <c r="D49" t="n">
        <v>3760918</v>
      </c>
      <c r="E49">
        <f>IF(A49="","",COUNTIFS($A$2:$A$20000,A49,$B$2:$B$20000,"&gt;"&amp;B49)+1)</f>
        <v/>
      </c>
    </row>
    <row r="50">
      <c r="A50" t="inlineStr">
        <is>
          <t>샘플종목01</t>
        </is>
      </c>
      <c r="B50" s="3" t="n">
        <v>45891</v>
      </c>
      <c r="C50" t="n">
        <v>82909</v>
      </c>
      <c r="D50" t="n">
        <v>4254287</v>
      </c>
      <c r="E50">
        <f>IF(A50="","",COUNTIFS($A$2:$A$20000,A50,$B$2:$B$20000,"&gt;"&amp;B50)+1)</f>
        <v/>
      </c>
    </row>
    <row r="51">
      <c r="A51" t="inlineStr">
        <is>
          <t>샘플종목01</t>
        </is>
      </c>
      <c r="B51" s="3" t="n">
        <v>45898</v>
      </c>
      <c r="C51" t="n">
        <v>81341</v>
      </c>
      <c r="D51" t="n">
        <v>6775615</v>
      </c>
      <c r="E51">
        <f>IF(A51="","",COUNTIFS($A$2:$A$20000,A51,$B$2:$B$20000,"&gt;"&amp;B51)+1)</f>
        <v/>
      </c>
    </row>
    <row r="52">
      <c r="A52" t="inlineStr">
        <is>
          <t>샘플종목01</t>
        </is>
      </c>
      <c r="B52" s="3" t="n">
        <v>45905</v>
      </c>
      <c r="C52" t="n">
        <v>76401</v>
      </c>
      <c r="D52" t="n">
        <v>1451929</v>
      </c>
      <c r="E52">
        <f>IF(A52="","",COUNTIFS($A$2:$A$20000,A52,$B$2:$B$20000,"&gt;"&amp;B52)+1)</f>
        <v/>
      </c>
    </row>
    <row r="53">
      <c r="A53" t="inlineStr">
        <is>
          <t>샘플종목01</t>
        </is>
      </c>
      <c r="B53" s="3" t="n">
        <v>45912</v>
      </c>
      <c r="C53" t="n">
        <v>80471</v>
      </c>
      <c r="D53" t="n">
        <v>2891163</v>
      </c>
      <c r="E53">
        <f>IF(A53="","",COUNTIFS($A$2:$A$20000,A53,$B$2:$B$20000,"&gt;"&amp;B53)+1)</f>
        <v/>
      </c>
    </row>
    <row r="54">
      <c r="A54" t="inlineStr">
        <is>
          <t>샘플종목01</t>
        </is>
      </c>
      <c r="B54" s="3" t="n">
        <v>45919</v>
      </c>
      <c r="C54" t="n">
        <v>76772</v>
      </c>
      <c r="D54" t="n">
        <v>2397239</v>
      </c>
      <c r="E54">
        <f>IF(A54="","",COUNTIFS($A$2:$A$20000,A54,$B$2:$B$20000,"&gt;"&amp;B54)+1)</f>
        <v/>
      </c>
    </row>
    <row r="55">
      <c r="A55" t="inlineStr">
        <is>
          <t>샘플종목01</t>
        </is>
      </c>
      <c r="B55" s="3" t="n">
        <v>45926</v>
      </c>
      <c r="C55" t="n">
        <v>78143</v>
      </c>
      <c r="D55" t="n">
        <v>7322954</v>
      </c>
      <c r="E55">
        <f>IF(A55="","",COUNTIFS($A$2:$A$20000,A55,$B$2:$B$20000,"&gt;"&amp;B55)+1)</f>
        <v/>
      </c>
    </row>
    <row r="56">
      <c r="A56" t="inlineStr">
        <is>
          <t>샘플종목01</t>
        </is>
      </c>
      <c r="B56" s="3" t="n">
        <v>45933</v>
      </c>
      <c r="C56" t="n">
        <v>79957</v>
      </c>
      <c r="D56" t="n">
        <v>7067519</v>
      </c>
      <c r="E56">
        <f>IF(A56="","",COUNTIFS($A$2:$A$20000,A56,$B$2:$B$20000,"&gt;"&amp;B56)+1)</f>
        <v/>
      </c>
    </row>
    <row r="57">
      <c r="A57" t="inlineStr">
        <is>
          <t>샘플종목01</t>
        </is>
      </c>
      <c r="B57" s="3" t="n">
        <v>45940</v>
      </c>
      <c r="C57" t="n">
        <v>78168</v>
      </c>
      <c r="D57" t="n">
        <v>6119181</v>
      </c>
      <c r="E57">
        <f>IF(A57="","",COUNTIFS($A$2:$A$20000,A57,$B$2:$B$20000,"&gt;"&amp;B57)+1)</f>
        <v/>
      </c>
    </row>
    <row r="58">
      <c r="A58" t="inlineStr">
        <is>
          <t>샘플종목01</t>
        </is>
      </c>
      <c r="B58" s="3" t="n">
        <v>45947</v>
      </c>
      <c r="C58" t="n">
        <v>77069</v>
      </c>
      <c r="D58" t="n">
        <v>3971367</v>
      </c>
      <c r="E58">
        <f>IF(A58="","",COUNTIFS($A$2:$A$20000,A58,$B$2:$B$20000,"&gt;"&amp;B58)+1)</f>
        <v/>
      </c>
    </row>
    <row r="59">
      <c r="A59" t="inlineStr">
        <is>
          <t>샘플종목01</t>
        </is>
      </c>
      <c r="B59" s="3" t="n">
        <v>45954</v>
      </c>
      <c r="C59" t="n">
        <v>74472</v>
      </c>
      <c r="D59" t="n">
        <v>2632032</v>
      </c>
      <c r="E59">
        <f>IF(A59="","",COUNTIFS($A$2:$A$20000,A59,$B$2:$B$20000,"&gt;"&amp;B59)+1)</f>
        <v/>
      </c>
    </row>
    <row r="60">
      <c r="A60" t="inlineStr">
        <is>
          <t>샘플종목01</t>
        </is>
      </c>
      <c r="B60" s="3" t="n">
        <v>45961</v>
      </c>
      <c r="C60" t="n">
        <v>76101</v>
      </c>
      <c r="D60" t="n">
        <v>4014729</v>
      </c>
      <c r="E60">
        <f>IF(A60="","",COUNTIFS($A$2:$A$20000,A60,$B$2:$B$20000,"&gt;"&amp;B60)+1)</f>
        <v/>
      </c>
    </row>
    <row r="61">
      <c r="A61" t="inlineStr">
        <is>
          <t>샘플종목01</t>
        </is>
      </c>
      <c r="B61" s="3" t="n">
        <v>45968</v>
      </c>
      <c r="C61" t="n">
        <v>77122</v>
      </c>
      <c r="D61" t="n">
        <v>302384</v>
      </c>
      <c r="E61">
        <f>IF(A61="","",COUNTIFS($A$2:$A$20000,A61,$B$2:$B$20000,"&gt;"&amp;B61)+1)</f>
        <v/>
      </c>
    </row>
    <row r="62">
      <c r="A62" t="inlineStr">
        <is>
          <t>샘플종목01</t>
        </is>
      </c>
      <c r="B62" s="3" t="n">
        <v>45975</v>
      </c>
      <c r="C62" t="n">
        <v>73180</v>
      </c>
      <c r="D62" t="n">
        <v>4508156</v>
      </c>
      <c r="E62">
        <f>IF(A62="","",COUNTIFS($A$2:$A$20000,A62,$B$2:$B$20000,"&gt;"&amp;B62)+1)</f>
        <v/>
      </c>
    </row>
    <row r="63">
      <c r="A63" t="inlineStr">
        <is>
          <t>샘플종목01</t>
        </is>
      </c>
      <c r="B63" s="3" t="n">
        <v>45982</v>
      </c>
      <c r="C63" t="n">
        <v>73694</v>
      </c>
      <c r="D63" t="n">
        <v>4830012</v>
      </c>
      <c r="E63">
        <f>IF(A63="","",COUNTIFS($A$2:$A$20000,A63,$B$2:$B$20000,"&gt;"&amp;B63)+1)</f>
        <v/>
      </c>
    </row>
    <row r="64">
      <c r="A64" t="inlineStr">
        <is>
          <t>샘플종목01</t>
        </is>
      </c>
      <c r="B64" s="3" t="n">
        <v>45989</v>
      </c>
      <c r="C64" t="n">
        <v>76912</v>
      </c>
      <c r="D64" t="n">
        <v>6295046</v>
      </c>
      <c r="E64">
        <f>IF(A64="","",COUNTIFS($A$2:$A$20000,A64,$B$2:$B$20000,"&gt;"&amp;B64)+1)</f>
        <v/>
      </c>
    </row>
    <row r="65">
      <c r="A65" t="inlineStr">
        <is>
          <t>샘플종목01</t>
        </is>
      </c>
      <c r="B65" s="3" t="n">
        <v>45996</v>
      </c>
      <c r="C65" t="n">
        <v>77149</v>
      </c>
      <c r="D65" t="n">
        <v>9601629</v>
      </c>
      <c r="E65">
        <f>IF(A65="","",COUNTIFS($A$2:$A$20000,A65,$B$2:$B$20000,"&gt;"&amp;B65)+1)</f>
        <v/>
      </c>
    </row>
    <row r="66">
      <c r="A66" t="inlineStr">
        <is>
          <t>샘플종목01</t>
        </is>
      </c>
      <c r="B66" s="3" t="n">
        <v>46003</v>
      </c>
      <c r="C66" t="n">
        <v>76635</v>
      </c>
      <c r="D66" t="n">
        <v>8748511</v>
      </c>
      <c r="E66">
        <f>IF(A66="","",COUNTIFS($A$2:$A$20000,A66,$B$2:$B$20000,"&gt;"&amp;B66)+1)</f>
        <v/>
      </c>
    </row>
    <row r="67">
      <c r="A67" t="inlineStr">
        <is>
          <t>샘플종목01</t>
        </is>
      </c>
      <c r="B67" s="3" t="n">
        <v>46010</v>
      </c>
      <c r="C67" t="n">
        <v>78231</v>
      </c>
      <c r="D67" t="n">
        <v>1005850</v>
      </c>
      <c r="E67">
        <f>IF(A67="","",COUNTIFS($A$2:$A$20000,A67,$B$2:$B$20000,"&gt;"&amp;B67)+1)</f>
        <v/>
      </c>
    </row>
    <row r="68">
      <c r="A68" t="inlineStr">
        <is>
          <t>샘플종목01</t>
        </is>
      </c>
      <c r="B68" s="3" t="n">
        <v>46017</v>
      </c>
      <c r="C68" t="n">
        <v>72288</v>
      </c>
      <c r="D68" t="n">
        <v>9483022</v>
      </c>
      <c r="E68">
        <f>IF(A68="","",COUNTIFS($A$2:$A$20000,A68,$B$2:$B$20000,"&gt;"&amp;B68)+1)</f>
        <v/>
      </c>
    </row>
    <row r="69">
      <c r="A69" t="inlineStr">
        <is>
          <t>샘플종목01</t>
        </is>
      </c>
      <c r="B69" s="3" t="n">
        <v>46024</v>
      </c>
      <c r="C69" t="n">
        <v>74007</v>
      </c>
      <c r="D69" t="n">
        <v>6683025</v>
      </c>
      <c r="E69">
        <f>IF(A69="","",COUNTIFS($A$2:$A$20000,A69,$B$2:$B$20000,"&gt;"&amp;B69)+1)</f>
        <v/>
      </c>
    </row>
    <row r="70">
      <c r="A70" t="inlineStr">
        <is>
          <t>샘플종목01</t>
        </is>
      </c>
      <c r="B70" s="3" t="n">
        <v>46031</v>
      </c>
      <c r="C70" t="n">
        <v>71779</v>
      </c>
      <c r="D70" t="n">
        <v>8178612</v>
      </c>
      <c r="E70">
        <f>IF(A70="","",COUNTIFS($A$2:$A$20000,A70,$B$2:$B$20000,"&gt;"&amp;B70)+1)</f>
        <v/>
      </c>
    </row>
    <row r="71">
      <c r="A71" t="inlineStr">
        <is>
          <t>샘플종목01</t>
        </is>
      </c>
      <c r="B71" s="3" t="n">
        <v>46038</v>
      </c>
      <c r="C71" t="n">
        <v>73640</v>
      </c>
      <c r="D71" t="n">
        <v>6818312</v>
      </c>
      <c r="E71">
        <f>IF(A71="","",COUNTIFS($A$2:$A$20000,A71,$B$2:$B$20000,"&gt;"&amp;B71)+1)</f>
        <v/>
      </c>
    </row>
    <row r="72">
      <c r="A72" t="inlineStr">
        <is>
          <t>샘플종목01</t>
        </is>
      </c>
      <c r="B72" s="3" t="n">
        <v>46045</v>
      </c>
      <c r="C72" t="n">
        <v>74804</v>
      </c>
      <c r="D72" t="n">
        <v>3602465</v>
      </c>
      <c r="E72">
        <f>IF(A72="","",COUNTIFS($A$2:$A$20000,A72,$B$2:$B$20000,"&gt;"&amp;B72)+1)</f>
        <v/>
      </c>
    </row>
    <row r="73">
      <c r="A73" t="inlineStr">
        <is>
          <t>샘플종목01</t>
        </is>
      </c>
      <c r="B73" s="3" t="n">
        <v>46052</v>
      </c>
      <c r="C73" t="n">
        <v>75380</v>
      </c>
      <c r="D73" t="n">
        <v>7492492</v>
      </c>
      <c r="E73">
        <f>IF(A73="","",COUNTIFS($A$2:$A$20000,A73,$B$2:$B$20000,"&gt;"&amp;B73)+1)</f>
        <v/>
      </c>
    </row>
    <row r="74">
      <c r="A74" t="inlineStr">
        <is>
          <t>샘플종목01</t>
        </is>
      </c>
      <c r="B74" s="3" t="n">
        <v>46059</v>
      </c>
      <c r="C74" t="n">
        <v>76970</v>
      </c>
      <c r="D74" t="n">
        <v>982072</v>
      </c>
      <c r="E74">
        <f>IF(A74="","",COUNTIFS($A$2:$A$20000,A74,$B$2:$B$20000,"&gt;"&amp;B74)+1)</f>
        <v/>
      </c>
    </row>
    <row r="75">
      <c r="A75" t="inlineStr">
        <is>
          <t>샘플종목01</t>
        </is>
      </c>
      <c r="B75" s="3" t="n">
        <v>46066</v>
      </c>
      <c r="C75" t="n">
        <v>79515</v>
      </c>
      <c r="D75" t="n">
        <v>1817644</v>
      </c>
      <c r="E75">
        <f>IF(A75="","",COUNTIFS($A$2:$A$20000,A75,$B$2:$B$20000,"&gt;"&amp;B75)+1)</f>
        <v/>
      </c>
    </row>
    <row r="76">
      <c r="A76" t="inlineStr">
        <is>
          <t>샘플종목01</t>
        </is>
      </c>
      <c r="B76" s="3" t="n">
        <v>46073</v>
      </c>
      <c r="C76" t="n">
        <v>81496</v>
      </c>
      <c r="D76" t="n">
        <v>1802289</v>
      </c>
      <c r="E76">
        <f>IF(A76="","",COUNTIFS($A$2:$A$20000,A76,$B$2:$B$20000,"&gt;"&amp;B76)+1)</f>
        <v/>
      </c>
    </row>
    <row r="77">
      <c r="A77" t="inlineStr">
        <is>
          <t>샘플종목01</t>
        </is>
      </c>
      <c r="B77" s="3" t="n">
        <v>46080</v>
      </c>
      <c r="C77" t="n">
        <v>81661</v>
      </c>
      <c r="D77" t="n">
        <v>6200362</v>
      </c>
      <c r="E77">
        <f>IF(A77="","",COUNTIFS($A$2:$A$20000,A77,$B$2:$B$20000,"&gt;"&amp;B77)+1)</f>
        <v/>
      </c>
    </row>
    <row r="78">
      <c r="A78" t="inlineStr">
        <is>
          <t>샘플종목01</t>
        </is>
      </c>
      <c r="B78" s="3" t="n">
        <v>46087</v>
      </c>
      <c r="C78" t="n">
        <v>80882</v>
      </c>
      <c r="D78" t="n">
        <v>3588867</v>
      </c>
      <c r="E78">
        <f>IF(A78="","",COUNTIFS($A$2:$A$20000,A78,$B$2:$B$20000,"&gt;"&amp;B78)+1)</f>
        <v/>
      </c>
    </row>
    <row r="79">
      <c r="A79" t="inlineStr">
        <is>
          <t>샘플종목01</t>
        </is>
      </c>
      <c r="B79" s="3" t="n">
        <v>46094</v>
      </c>
      <c r="C79" t="n">
        <v>80235</v>
      </c>
      <c r="D79" t="n">
        <v>6412081</v>
      </c>
      <c r="E79">
        <f>IF(A79="","",COUNTIFS($A$2:$A$20000,A79,$B$2:$B$20000,"&gt;"&amp;B79)+1)</f>
        <v/>
      </c>
    </row>
    <row r="80">
      <c r="A80" t="inlineStr">
        <is>
          <t>샘플종목01</t>
        </is>
      </c>
      <c r="B80" s="3" t="n">
        <v>46101</v>
      </c>
      <c r="C80" t="n">
        <v>81851</v>
      </c>
      <c r="D80" t="n">
        <v>5928229</v>
      </c>
      <c r="E80">
        <f>IF(A80="","",COUNTIFS($A$2:$A$20000,A80,$B$2:$B$20000,"&gt;"&amp;B80)+1)</f>
        <v/>
      </c>
    </row>
    <row r="81">
      <c r="A81" t="inlineStr">
        <is>
          <t>샘플종목01</t>
        </is>
      </c>
      <c r="B81" s="3" t="n">
        <v>46108</v>
      </c>
      <c r="C81" t="n">
        <v>84021</v>
      </c>
      <c r="D81" t="n">
        <v>6209648</v>
      </c>
      <c r="E81">
        <f>IF(A81="","",COUNTIFS($A$2:$A$20000,A81,$B$2:$B$20000,"&gt;"&amp;B81)+1)</f>
        <v/>
      </c>
    </row>
    <row r="82">
      <c r="A82" t="inlineStr">
        <is>
          <t>샘플종목01</t>
        </is>
      </c>
      <c r="B82" s="3" t="n">
        <v>46115</v>
      </c>
      <c r="C82" t="n">
        <v>82547</v>
      </c>
      <c r="D82" t="n">
        <v>8288423</v>
      </c>
      <c r="E82">
        <f>IF(A82="","",COUNTIFS($A$2:$A$20000,A82,$B$2:$B$20000,"&gt;"&amp;B82)+1)</f>
        <v/>
      </c>
    </row>
    <row r="83">
      <c r="A83" t="inlineStr">
        <is>
          <t>샘플종목01</t>
        </is>
      </c>
      <c r="B83" s="3" t="n">
        <v>46122</v>
      </c>
      <c r="C83" t="n">
        <v>82977</v>
      </c>
      <c r="D83" t="n">
        <v>7918005</v>
      </c>
      <c r="E83">
        <f>IF(A83="","",COUNTIFS($A$2:$A$20000,A83,$B$2:$B$20000,"&gt;"&amp;B83)+1)</f>
        <v/>
      </c>
    </row>
    <row r="84">
      <c r="A84" t="inlineStr">
        <is>
          <t>샘플종목01</t>
        </is>
      </c>
      <c r="B84" s="3" t="n">
        <v>46129</v>
      </c>
      <c r="C84" t="n">
        <v>80295</v>
      </c>
      <c r="D84" t="n">
        <v>2517890</v>
      </c>
      <c r="E84">
        <f>IF(A84="","",COUNTIFS($A$2:$A$20000,A84,$B$2:$B$20000,"&gt;"&amp;B84)+1)</f>
        <v/>
      </c>
    </row>
    <row r="85">
      <c r="A85" t="inlineStr">
        <is>
          <t>샘플종목01</t>
        </is>
      </c>
      <c r="B85" s="3" t="n">
        <v>46136</v>
      </c>
      <c r="C85" t="n">
        <v>80797</v>
      </c>
      <c r="D85" t="n">
        <v>1814423</v>
      </c>
      <c r="E85">
        <f>IF(A85="","",COUNTIFS($A$2:$A$20000,A85,$B$2:$B$20000,"&gt;"&amp;B85)+1)</f>
        <v/>
      </c>
    </row>
    <row r="86">
      <c r="A86" t="inlineStr">
        <is>
          <t>샘플종목01</t>
        </is>
      </c>
      <c r="B86" s="3" t="n">
        <v>46143</v>
      </c>
      <c r="C86" t="n">
        <v>80947</v>
      </c>
      <c r="D86" t="n">
        <v>8129943</v>
      </c>
      <c r="E86">
        <f>IF(A86="","",COUNTIFS($A$2:$A$20000,A86,$B$2:$B$20000,"&gt;"&amp;B86)+1)</f>
        <v/>
      </c>
    </row>
    <row r="87">
      <c r="A87" t="inlineStr">
        <is>
          <t>샘플종목01</t>
        </is>
      </c>
      <c r="B87" s="3" t="n">
        <v>46150</v>
      </c>
      <c r="C87" t="n">
        <v>75792</v>
      </c>
      <c r="D87" t="n">
        <v>2808490</v>
      </c>
      <c r="E87">
        <f>IF(A87="","",COUNTIFS($A$2:$A$20000,A87,$B$2:$B$20000,"&gt;"&amp;B87)+1)</f>
        <v/>
      </c>
    </row>
    <row r="88">
      <c r="A88" t="inlineStr">
        <is>
          <t>샘플종목01</t>
        </is>
      </c>
      <c r="B88" s="3" t="n">
        <v>46157</v>
      </c>
      <c r="C88" t="n">
        <v>73900</v>
      </c>
      <c r="D88" t="n">
        <v>8962688</v>
      </c>
      <c r="E88">
        <f>IF(A88="","",COUNTIFS($A$2:$A$20000,A88,$B$2:$B$20000,"&gt;"&amp;B88)+1)</f>
        <v/>
      </c>
    </row>
    <row r="89">
      <c r="A89" t="inlineStr">
        <is>
          <t>샘플종목01</t>
        </is>
      </c>
      <c r="B89" s="3" t="n">
        <v>46164</v>
      </c>
      <c r="C89" t="n">
        <v>73842</v>
      </c>
      <c r="D89" t="n">
        <v>6169199</v>
      </c>
      <c r="E89">
        <f>IF(A89="","",COUNTIFS($A$2:$A$20000,A89,$B$2:$B$20000,"&gt;"&amp;B89)+1)</f>
        <v/>
      </c>
    </row>
    <row r="90">
      <c r="A90" t="inlineStr">
        <is>
          <t>샘플종목01</t>
        </is>
      </c>
      <c r="B90" s="3" t="n">
        <v>46171</v>
      </c>
      <c r="C90" t="n">
        <v>76226</v>
      </c>
      <c r="D90" t="n">
        <v>553697</v>
      </c>
      <c r="E90">
        <f>IF(A90="","",COUNTIFS($A$2:$A$20000,A90,$B$2:$B$20000,"&gt;"&amp;B90)+1)</f>
        <v/>
      </c>
    </row>
    <row r="91">
      <c r="A91" t="inlineStr">
        <is>
          <t>샘플종목01</t>
        </is>
      </c>
      <c r="B91" s="3" t="n">
        <v>46178</v>
      </c>
      <c r="C91" t="n">
        <v>79418</v>
      </c>
      <c r="D91" t="n">
        <v>8960206</v>
      </c>
      <c r="E91">
        <f>IF(A91="","",COUNTIFS($A$2:$A$20000,A91,$B$2:$B$20000,"&gt;"&amp;B91)+1)</f>
        <v/>
      </c>
    </row>
    <row r="92">
      <c r="A92" t="inlineStr">
        <is>
          <t>샘플종목01</t>
        </is>
      </c>
      <c r="B92" s="3" t="n">
        <v>46185</v>
      </c>
      <c r="C92" t="n">
        <v>78220</v>
      </c>
      <c r="D92" t="n">
        <v>1626903</v>
      </c>
      <c r="E92">
        <f>IF(A92="","",COUNTIFS($A$2:$A$20000,A92,$B$2:$B$20000,"&gt;"&amp;B92)+1)</f>
        <v/>
      </c>
    </row>
    <row r="93">
      <c r="A93" t="inlineStr">
        <is>
          <t>샘플종목01</t>
        </is>
      </c>
      <c r="B93" s="3" t="n">
        <v>46192</v>
      </c>
      <c r="C93" t="n">
        <v>82663</v>
      </c>
      <c r="D93" t="n">
        <v>4480786</v>
      </c>
      <c r="E93">
        <f>IF(A93="","",COUNTIFS($A$2:$A$20000,A93,$B$2:$B$20000,"&gt;"&amp;B93)+1)</f>
        <v/>
      </c>
    </row>
    <row r="94">
      <c r="A94" t="inlineStr">
        <is>
          <t>샘플종목01</t>
        </is>
      </c>
      <c r="B94" s="3" t="n">
        <v>46199</v>
      </c>
      <c r="C94" t="n">
        <v>75650</v>
      </c>
      <c r="D94" t="n">
        <v>6067591</v>
      </c>
      <c r="E94">
        <f>IF(A94="","",COUNTIFS($A$2:$A$20000,A94,$B$2:$B$20000,"&gt;"&amp;B94)+1)</f>
        <v/>
      </c>
    </row>
    <row r="95">
      <c r="A95" t="inlineStr">
        <is>
          <t>샘플종목01</t>
        </is>
      </c>
      <c r="B95" s="3" t="n">
        <v>46206</v>
      </c>
      <c r="C95" t="n">
        <v>75038</v>
      </c>
      <c r="D95" t="n">
        <v>3837842</v>
      </c>
      <c r="E95">
        <f>IF(A95="","",COUNTIFS($A$2:$A$20000,A95,$B$2:$B$20000,"&gt;"&amp;B95)+1)</f>
        <v/>
      </c>
    </row>
    <row r="96">
      <c r="A96" t="inlineStr">
        <is>
          <t>샘플종목01</t>
        </is>
      </c>
      <c r="B96" s="3" t="n">
        <v>46213</v>
      </c>
      <c r="C96" t="n">
        <v>70081</v>
      </c>
      <c r="D96" t="n">
        <v>5630860</v>
      </c>
      <c r="E96">
        <f>IF(A96="","",COUNTIFS($A$2:$A$20000,A96,$B$2:$B$20000,"&gt;"&amp;B96)+1)</f>
        <v/>
      </c>
    </row>
    <row r="97">
      <c r="A97" t="inlineStr">
        <is>
          <t>샘플종목01</t>
        </is>
      </c>
      <c r="B97" s="3" t="n">
        <v>46220</v>
      </c>
      <c r="C97" t="n">
        <v>69231</v>
      </c>
      <c r="D97" t="n">
        <v>3842018</v>
      </c>
      <c r="E97">
        <f>IF(A97="","",COUNTIFS($A$2:$A$20000,A97,$B$2:$B$20000,"&gt;"&amp;B97)+1)</f>
        <v/>
      </c>
    </row>
    <row r="98">
      <c r="A98" t="inlineStr">
        <is>
          <t>샘플종목01</t>
        </is>
      </c>
      <c r="B98" s="3" t="n">
        <v>46227</v>
      </c>
      <c r="C98" t="n">
        <v>65673</v>
      </c>
      <c r="D98" t="n">
        <v>3374007</v>
      </c>
      <c r="E98">
        <f>IF(A98="","",COUNTIFS($A$2:$A$20000,A98,$B$2:$B$20000,"&gt;"&amp;B98)+1)</f>
        <v/>
      </c>
    </row>
    <row r="99">
      <c r="A99" t="inlineStr">
        <is>
          <t>샘플종목01</t>
        </is>
      </c>
      <c r="B99" s="3" t="n">
        <v>46234</v>
      </c>
      <c r="C99" t="n">
        <v>62781</v>
      </c>
      <c r="D99" t="n">
        <v>4116258</v>
      </c>
      <c r="E99">
        <f>IF(A99="","",COUNTIFS($A$2:$A$20000,A99,$B$2:$B$20000,"&gt;"&amp;B99)+1)</f>
        <v/>
      </c>
    </row>
    <row r="100">
      <c r="A100" t="inlineStr">
        <is>
          <t>샘플종목01</t>
        </is>
      </c>
      <c r="B100" s="3" t="n">
        <v>46241</v>
      </c>
      <c r="C100" t="n">
        <v>64622</v>
      </c>
      <c r="D100" t="n">
        <v>3904057</v>
      </c>
      <c r="E100">
        <f>IF(A100="","",COUNTIFS($A$2:$A$20000,A100,$B$2:$B$20000,"&gt;"&amp;B100)+1)</f>
        <v/>
      </c>
    </row>
    <row r="101">
      <c r="A101" t="inlineStr">
        <is>
          <t>샘플종목01</t>
        </is>
      </c>
      <c r="B101" s="3" t="n">
        <v>46248</v>
      </c>
      <c r="C101" t="n">
        <v>60895</v>
      </c>
      <c r="D101" t="n">
        <v>3454067</v>
      </c>
      <c r="E101">
        <f>IF(A101="","",COUNTIFS($A$2:$A$20000,A101,$B$2:$B$20000,"&gt;"&amp;B101)+1)</f>
        <v/>
      </c>
    </row>
    <row r="102">
      <c r="A102" t="inlineStr">
        <is>
          <t>샘플종목01</t>
        </is>
      </c>
      <c r="B102" s="3" t="n">
        <v>46255</v>
      </c>
      <c r="C102" t="n">
        <v>58747</v>
      </c>
      <c r="D102" t="n">
        <v>586206</v>
      </c>
      <c r="E102">
        <f>IF(A102="","",COUNTIFS($A$2:$A$20000,A102,$B$2:$B$20000,"&gt;"&amp;B102)+1)</f>
        <v/>
      </c>
    </row>
    <row r="103">
      <c r="A103" t="inlineStr">
        <is>
          <t>샘플종목01</t>
        </is>
      </c>
      <c r="B103" s="3" t="n">
        <v>46262</v>
      </c>
      <c r="C103" t="n">
        <v>58621</v>
      </c>
      <c r="D103" t="n">
        <v>568706</v>
      </c>
      <c r="E103">
        <f>IF(A103="","",COUNTIFS($A$2:$A$20000,A103,$B$2:$B$20000,"&gt;"&amp;B103)+1)</f>
        <v/>
      </c>
    </row>
    <row r="104">
      <c r="A104" t="inlineStr">
        <is>
          <t>샘플종목01</t>
        </is>
      </c>
      <c r="B104" s="3" t="n">
        <v>46269</v>
      </c>
      <c r="C104" t="n">
        <v>59399</v>
      </c>
      <c r="D104" t="n">
        <v>3348823</v>
      </c>
      <c r="E104">
        <f>IF(A104="","",COUNTIFS($A$2:$A$20000,A104,$B$2:$B$20000,"&gt;"&amp;B104)+1)</f>
        <v/>
      </c>
    </row>
    <row r="105">
      <c r="A105" t="inlineStr">
        <is>
          <t>샘플종목01</t>
        </is>
      </c>
      <c r="B105" s="3" t="n">
        <v>46276</v>
      </c>
      <c r="C105" t="n">
        <v>56917</v>
      </c>
      <c r="D105" t="n">
        <v>5876075</v>
      </c>
      <c r="E105">
        <f>IF(A105="","",COUNTIFS($A$2:$A$20000,A105,$B$2:$B$20000,"&gt;"&amp;B105)+1)</f>
        <v/>
      </c>
    </row>
    <row r="106">
      <c r="A106" t="inlineStr">
        <is>
          <t>샘플종목01</t>
        </is>
      </c>
      <c r="B106" s="3" t="n">
        <v>46283</v>
      </c>
      <c r="C106" t="n">
        <v>51968</v>
      </c>
      <c r="D106" t="n">
        <v>5963966</v>
      </c>
      <c r="E106">
        <f>IF(A106="","",COUNTIFS($A$2:$A$20000,A106,$B$2:$B$20000,"&gt;"&amp;B106)+1)</f>
        <v/>
      </c>
    </row>
    <row r="107">
      <c r="A107" t="inlineStr">
        <is>
          <t>샘플종목01</t>
        </is>
      </c>
      <c r="B107" s="3" t="n">
        <v>46290</v>
      </c>
      <c r="C107" t="n">
        <v>53664</v>
      </c>
      <c r="D107" t="n">
        <v>6217575</v>
      </c>
      <c r="E107">
        <f>IF(A107="","",COUNTIFS($A$2:$A$20000,A107,$B$2:$B$20000,"&gt;"&amp;B107)+1)</f>
        <v/>
      </c>
    </row>
    <row r="108">
      <c r="A108" t="inlineStr">
        <is>
          <t>샘플종목01</t>
        </is>
      </c>
      <c r="B108" s="3" t="n">
        <v>46297</v>
      </c>
      <c r="C108" t="n">
        <v>54643</v>
      </c>
      <c r="D108" t="n">
        <v>7986633</v>
      </c>
      <c r="E108">
        <f>IF(A108="","",COUNTIFS($A$2:$A$20000,A108,$B$2:$B$20000,"&gt;"&amp;B108)+1)</f>
        <v/>
      </c>
    </row>
    <row r="109">
      <c r="A109" t="inlineStr">
        <is>
          <t>샘플종목01</t>
        </is>
      </c>
      <c r="B109" s="3" t="n">
        <v>46304</v>
      </c>
      <c r="C109" t="n">
        <v>55244</v>
      </c>
      <c r="D109" t="n">
        <v>3400181</v>
      </c>
      <c r="E109">
        <f>IF(A109="","",COUNTIFS($A$2:$A$20000,A109,$B$2:$B$20000,"&gt;"&amp;B109)+1)</f>
        <v/>
      </c>
    </row>
    <row r="110">
      <c r="A110" t="inlineStr">
        <is>
          <t>샘플종목01</t>
        </is>
      </c>
      <c r="B110" s="3" t="n">
        <v>46311</v>
      </c>
      <c r="C110" t="n">
        <v>54025</v>
      </c>
      <c r="D110" t="n">
        <v>132016</v>
      </c>
      <c r="E110">
        <f>IF(A110="","",COUNTIFS($A$2:$A$20000,A110,$B$2:$B$20000,"&gt;"&amp;B110)+1)</f>
        <v/>
      </c>
    </row>
    <row r="111">
      <c r="A111" t="inlineStr">
        <is>
          <t>샘플종목01</t>
        </is>
      </c>
      <c r="B111" s="3" t="n">
        <v>46318</v>
      </c>
      <c r="C111" t="n">
        <v>56247</v>
      </c>
      <c r="D111" t="n">
        <v>8144229</v>
      </c>
      <c r="E111">
        <f>IF(A111="","",COUNTIFS($A$2:$A$20000,A111,$B$2:$B$20000,"&gt;"&amp;B111)+1)</f>
        <v/>
      </c>
    </row>
    <row r="112">
      <c r="A112" t="inlineStr">
        <is>
          <t>샘플종목02</t>
        </is>
      </c>
      <c r="B112" s="3" t="n">
        <v>45555</v>
      </c>
      <c r="C112" t="n">
        <v>176829</v>
      </c>
      <c r="D112" t="n">
        <v>2111649</v>
      </c>
      <c r="E112">
        <f>IF(A112="","",COUNTIFS($A$2:$A$20000,A112,$B$2:$B$20000,"&gt;"&amp;B112)+1)</f>
        <v/>
      </c>
    </row>
    <row r="113">
      <c r="A113" t="inlineStr">
        <is>
          <t>샘플종목02</t>
        </is>
      </c>
      <c r="B113" s="3" t="n">
        <v>45562</v>
      </c>
      <c r="C113" t="n">
        <v>185616</v>
      </c>
      <c r="D113" t="n">
        <v>6618548</v>
      </c>
      <c r="E113">
        <f>IF(A113="","",COUNTIFS($A$2:$A$20000,A113,$B$2:$B$20000,"&gt;"&amp;B113)+1)</f>
        <v/>
      </c>
    </row>
    <row r="114">
      <c r="A114" t="inlineStr">
        <is>
          <t>샘플종목02</t>
        </is>
      </c>
      <c r="B114" s="3" t="n">
        <v>45569</v>
      </c>
      <c r="C114" t="n">
        <v>188480</v>
      </c>
      <c r="D114" t="n">
        <v>8120058</v>
      </c>
      <c r="E114">
        <f>IF(A114="","",COUNTIFS($A$2:$A$20000,A114,$B$2:$B$20000,"&gt;"&amp;B114)+1)</f>
        <v/>
      </c>
    </row>
    <row r="115">
      <c r="A115" t="inlineStr">
        <is>
          <t>샘플종목02</t>
        </is>
      </c>
      <c r="B115" s="3" t="n">
        <v>45576</v>
      </c>
      <c r="C115" t="n">
        <v>176558</v>
      </c>
      <c r="D115" t="n">
        <v>3095097</v>
      </c>
      <c r="E115">
        <f>IF(A115="","",COUNTIFS($A$2:$A$20000,A115,$B$2:$B$20000,"&gt;"&amp;B115)+1)</f>
        <v/>
      </c>
    </row>
    <row r="116">
      <c r="A116" t="inlineStr">
        <is>
          <t>샘플종목02</t>
        </is>
      </c>
      <c r="B116" s="3" t="n">
        <v>45583</v>
      </c>
      <c r="C116" t="n">
        <v>167726</v>
      </c>
      <c r="D116" t="n">
        <v>1555421</v>
      </c>
      <c r="E116">
        <f>IF(A116="","",COUNTIFS($A$2:$A$20000,A116,$B$2:$B$20000,"&gt;"&amp;B116)+1)</f>
        <v/>
      </c>
    </row>
    <row r="117">
      <c r="A117" t="inlineStr">
        <is>
          <t>샘플종목02</t>
        </is>
      </c>
      <c r="B117" s="3" t="n">
        <v>45590</v>
      </c>
      <c r="C117" t="n">
        <v>171908</v>
      </c>
      <c r="D117" t="n">
        <v>6741067</v>
      </c>
      <c r="E117">
        <f>IF(A117="","",COUNTIFS($A$2:$A$20000,A117,$B$2:$B$20000,"&gt;"&amp;B117)+1)</f>
        <v/>
      </c>
    </row>
    <row r="118">
      <c r="A118" t="inlineStr">
        <is>
          <t>샘플종목02</t>
        </is>
      </c>
      <c r="B118" s="3" t="n">
        <v>45597</v>
      </c>
      <c r="C118" t="n">
        <v>161213</v>
      </c>
      <c r="D118" t="n">
        <v>1524708</v>
      </c>
      <c r="E118">
        <f>IF(A118="","",COUNTIFS($A$2:$A$20000,A118,$B$2:$B$20000,"&gt;"&amp;B118)+1)</f>
        <v/>
      </c>
    </row>
    <row r="119">
      <c r="A119" t="inlineStr">
        <is>
          <t>샘플종목02</t>
        </is>
      </c>
      <c r="B119" s="3" t="n">
        <v>45604</v>
      </c>
      <c r="C119" t="n">
        <v>163975</v>
      </c>
      <c r="D119" t="n">
        <v>2765162</v>
      </c>
      <c r="E119">
        <f>IF(A119="","",COUNTIFS($A$2:$A$20000,A119,$B$2:$B$20000,"&gt;"&amp;B119)+1)</f>
        <v/>
      </c>
    </row>
    <row r="120">
      <c r="A120" t="inlineStr">
        <is>
          <t>샘플종목02</t>
        </is>
      </c>
      <c r="B120" s="3" t="n">
        <v>45611</v>
      </c>
      <c r="C120" t="n">
        <v>165950</v>
      </c>
      <c r="D120" t="n">
        <v>2635887</v>
      </c>
      <c r="E120">
        <f>IF(A120="","",COUNTIFS($A$2:$A$20000,A120,$B$2:$B$20000,"&gt;"&amp;B120)+1)</f>
        <v/>
      </c>
    </row>
    <row r="121">
      <c r="A121" t="inlineStr">
        <is>
          <t>샘플종목02</t>
        </is>
      </c>
      <c r="B121" s="3" t="n">
        <v>45618</v>
      </c>
      <c r="C121" t="n">
        <v>169314</v>
      </c>
      <c r="D121" t="n">
        <v>7907342</v>
      </c>
      <c r="E121">
        <f>IF(A121="","",COUNTIFS($A$2:$A$20000,A121,$B$2:$B$20000,"&gt;"&amp;B121)+1)</f>
        <v/>
      </c>
    </row>
    <row r="122">
      <c r="A122" t="inlineStr">
        <is>
          <t>샘플종목02</t>
        </is>
      </c>
      <c r="B122" s="3" t="n">
        <v>45625</v>
      </c>
      <c r="C122" t="n">
        <v>170977</v>
      </c>
      <c r="D122" t="n">
        <v>8058388</v>
      </c>
      <c r="E122">
        <f>IF(A122="","",COUNTIFS($A$2:$A$20000,A122,$B$2:$B$20000,"&gt;"&amp;B122)+1)</f>
        <v/>
      </c>
    </row>
    <row r="123">
      <c r="A123" t="inlineStr">
        <is>
          <t>샘플종목02</t>
        </is>
      </c>
      <c r="B123" s="3" t="n">
        <v>45632</v>
      </c>
      <c r="C123" t="n">
        <v>167713</v>
      </c>
      <c r="D123" t="n">
        <v>5978862</v>
      </c>
      <c r="E123">
        <f>IF(A123="","",COUNTIFS($A$2:$A$20000,A123,$B$2:$B$20000,"&gt;"&amp;B123)+1)</f>
        <v/>
      </c>
    </row>
    <row r="124">
      <c r="A124" t="inlineStr">
        <is>
          <t>샘플종목02</t>
        </is>
      </c>
      <c r="B124" s="3" t="n">
        <v>45639</v>
      </c>
      <c r="C124" t="n">
        <v>172763</v>
      </c>
      <c r="D124" t="n">
        <v>458976</v>
      </c>
      <c r="E124">
        <f>IF(A124="","",COUNTIFS($A$2:$A$20000,A124,$B$2:$B$20000,"&gt;"&amp;B124)+1)</f>
        <v/>
      </c>
    </row>
    <row r="125">
      <c r="A125" t="inlineStr">
        <is>
          <t>샘플종목02</t>
        </is>
      </c>
      <c r="B125" s="3" t="n">
        <v>45646</v>
      </c>
      <c r="C125" t="n">
        <v>180342</v>
      </c>
      <c r="D125" t="n">
        <v>338956</v>
      </c>
      <c r="E125">
        <f>IF(A125="","",COUNTIFS($A$2:$A$20000,A125,$B$2:$B$20000,"&gt;"&amp;B125)+1)</f>
        <v/>
      </c>
    </row>
    <row r="126">
      <c r="A126" t="inlineStr">
        <is>
          <t>샘플종목02</t>
        </is>
      </c>
      <c r="B126" s="3" t="n">
        <v>45653</v>
      </c>
      <c r="C126" t="n">
        <v>184247</v>
      </c>
      <c r="D126" t="n">
        <v>1824228</v>
      </c>
      <c r="E126">
        <f>IF(A126="","",COUNTIFS($A$2:$A$20000,A126,$B$2:$B$20000,"&gt;"&amp;B126)+1)</f>
        <v/>
      </c>
    </row>
    <row r="127">
      <c r="A127" t="inlineStr">
        <is>
          <t>샘플종목02</t>
        </is>
      </c>
      <c r="B127" s="3" t="n">
        <v>45660</v>
      </c>
      <c r="C127" t="n">
        <v>173316</v>
      </c>
      <c r="D127" t="n">
        <v>8934563</v>
      </c>
      <c r="E127">
        <f>IF(A127="","",COUNTIFS($A$2:$A$20000,A127,$B$2:$B$20000,"&gt;"&amp;B127)+1)</f>
        <v/>
      </c>
    </row>
    <row r="128">
      <c r="A128" t="inlineStr">
        <is>
          <t>샘플종목02</t>
        </is>
      </c>
      <c r="B128" s="3" t="n">
        <v>45667</v>
      </c>
      <c r="C128" t="n">
        <v>173651</v>
      </c>
      <c r="D128" t="n">
        <v>3368292</v>
      </c>
      <c r="E128">
        <f>IF(A128="","",COUNTIFS($A$2:$A$20000,A128,$B$2:$B$20000,"&gt;"&amp;B128)+1)</f>
        <v/>
      </c>
    </row>
    <row r="129">
      <c r="A129" t="inlineStr">
        <is>
          <t>샘플종목02</t>
        </is>
      </c>
      <c r="B129" s="3" t="n">
        <v>45674</v>
      </c>
      <c r="C129" t="n">
        <v>170194</v>
      </c>
      <c r="D129" t="n">
        <v>3640702</v>
      </c>
      <c r="E129">
        <f>IF(A129="","",COUNTIFS($A$2:$A$20000,A129,$B$2:$B$20000,"&gt;"&amp;B129)+1)</f>
        <v/>
      </c>
    </row>
    <row r="130">
      <c r="A130" t="inlineStr">
        <is>
          <t>샘플종목02</t>
        </is>
      </c>
      <c r="B130" s="3" t="n">
        <v>45681</v>
      </c>
      <c r="C130" t="n">
        <v>175171</v>
      </c>
      <c r="D130" t="n">
        <v>8508101</v>
      </c>
      <c r="E130">
        <f>IF(A130="","",COUNTIFS($A$2:$A$20000,A130,$B$2:$B$20000,"&gt;"&amp;B130)+1)</f>
        <v/>
      </c>
    </row>
    <row r="131">
      <c r="A131" t="inlineStr">
        <is>
          <t>샘플종목02</t>
        </is>
      </c>
      <c r="B131" s="3" t="n">
        <v>45688</v>
      </c>
      <c r="C131" t="n">
        <v>176369</v>
      </c>
      <c r="D131" t="n">
        <v>4135581</v>
      </c>
      <c r="E131">
        <f>IF(A131="","",COUNTIFS($A$2:$A$20000,A131,$B$2:$B$20000,"&gt;"&amp;B131)+1)</f>
        <v/>
      </c>
    </row>
    <row r="132">
      <c r="A132" t="inlineStr">
        <is>
          <t>샘플종목02</t>
        </is>
      </c>
      <c r="B132" s="3" t="n">
        <v>45695</v>
      </c>
      <c r="C132" t="n">
        <v>177260</v>
      </c>
      <c r="D132" t="n">
        <v>9232723</v>
      </c>
      <c r="E132">
        <f>IF(A132="","",COUNTIFS($A$2:$A$20000,A132,$B$2:$B$20000,"&gt;"&amp;B132)+1)</f>
        <v/>
      </c>
    </row>
    <row r="133">
      <c r="A133" t="inlineStr">
        <is>
          <t>샘플종목02</t>
        </is>
      </c>
      <c r="B133" s="3" t="n">
        <v>45702</v>
      </c>
      <c r="C133" t="n">
        <v>171340</v>
      </c>
      <c r="D133" t="n">
        <v>7129864</v>
      </c>
      <c r="E133">
        <f>IF(A133="","",COUNTIFS($A$2:$A$20000,A133,$B$2:$B$20000,"&gt;"&amp;B133)+1)</f>
        <v/>
      </c>
    </row>
    <row r="134">
      <c r="A134" t="inlineStr">
        <is>
          <t>샘플종목02</t>
        </is>
      </c>
      <c r="B134" s="3" t="n">
        <v>45709</v>
      </c>
      <c r="C134" t="n">
        <v>172908</v>
      </c>
      <c r="D134" t="n">
        <v>6035510</v>
      </c>
      <c r="E134">
        <f>IF(A134="","",COUNTIFS($A$2:$A$20000,A134,$B$2:$B$20000,"&gt;"&amp;B134)+1)</f>
        <v/>
      </c>
    </row>
    <row r="135">
      <c r="A135" t="inlineStr">
        <is>
          <t>샘플종목02</t>
        </is>
      </c>
      <c r="B135" s="3" t="n">
        <v>45716</v>
      </c>
      <c r="C135" t="n">
        <v>171138</v>
      </c>
      <c r="D135" t="n">
        <v>7786665</v>
      </c>
      <c r="E135">
        <f>IF(A135="","",COUNTIFS($A$2:$A$20000,A135,$B$2:$B$20000,"&gt;"&amp;B135)+1)</f>
        <v/>
      </c>
    </row>
    <row r="136">
      <c r="A136" t="inlineStr">
        <is>
          <t>샘플종목02</t>
        </is>
      </c>
      <c r="B136" s="3" t="n">
        <v>45723</v>
      </c>
      <c r="C136" t="n">
        <v>164907</v>
      </c>
      <c r="D136" t="n">
        <v>8769808</v>
      </c>
      <c r="E136">
        <f>IF(A136="","",COUNTIFS($A$2:$A$20000,A136,$B$2:$B$20000,"&gt;"&amp;B136)+1)</f>
        <v/>
      </c>
    </row>
    <row r="137">
      <c r="A137" t="inlineStr">
        <is>
          <t>샘플종목02</t>
        </is>
      </c>
      <c r="B137" s="3" t="n">
        <v>45730</v>
      </c>
      <c r="C137" t="n">
        <v>154905</v>
      </c>
      <c r="D137" t="n">
        <v>7156971</v>
      </c>
      <c r="E137">
        <f>IF(A137="","",COUNTIFS($A$2:$A$20000,A137,$B$2:$B$20000,"&gt;"&amp;B137)+1)</f>
        <v/>
      </c>
    </row>
    <row r="138">
      <c r="A138" t="inlineStr">
        <is>
          <t>샘플종목02</t>
        </is>
      </c>
      <c r="B138" s="3" t="n">
        <v>45737</v>
      </c>
      <c r="C138" t="n">
        <v>161138</v>
      </c>
      <c r="D138" t="n">
        <v>2293843</v>
      </c>
      <c r="E138">
        <f>IF(A138="","",COUNTIFS($A$2:$A$20000,A138,$B$2:$B$20000,"&gt;"&amp;B138)+1)</f>
        <v/>
      </c>
    </row>
    <row r="139">
      <c r="A139" t="inlineStr">
        <is>
          <t>샘플종목02</t>
        </is>
      </c>
      <c r="B139" s="3" t="n">
        <v>45744</v>
      </c>
      <c r="C139" t="n">
        <v>149758</v>
      </c>
      <c r="D139" t="n">
        <v>9022542</v>
      </c>
      <c r="E139">
        <f>IF(A139="","",COUNTIFS($A$2:$A$20000,A139,$B$2:$B$20000,"&gt;"&amp;B139)+1)</f>
        <v/>
      </c>
    </row>
    <row r="140">
      <c r="A140" t="inlineStr">
        <is>
          <t>샘플종목02</t>
        </is>
      </c>
      <c r="B140" s="3" t="n">
        <v>45751</v>
      </c>
      <c r="C140" t="n">
        <v>154200</v>
      </c>
      <c r="D140" t="n">
        <v>7484070</v>
      </c>
      <c r="E140">
        <f>IF(A140="","",COUNTIFS($A$2:$A$20000,A140,$B$2:$B$20000,"&gt;"&amp;B140)+1)</f>
        <v/>
      </c>
    </row>
    <row r="141">
      <c r="A141" t="inlineStr">
        <is>
          <t>샘플종목02</t>
        </is>
      </c>
      <c r="B141" s="3" t="n">
        <v>45758</v>
      </c>
      <c r="C141" t="n">
        <v>160523</v>
      </c>
      <c r="D141" t="n">
        <v>3172040</v>
      </c>
      <c r="E141">
        <f>IF(A141="","",COUNTIFS($A$2:$A$20000,A141,$B$2:$B$20000,"&gt;"&amp;B141)+1)</f>
        <v/>
      </c>
    </row>
    <row r="142">
      <c r="A142" t="inlineStr">
        <is>
          <t>샘플종목02</t>
        </is>
      </c>
      <c r="B142" s="3" t="n">
        <v>45765</v>
      </c>
      <c r="C142" t="n">
        <v>152221</v>
      </c>
      <c r="D142" t="n">
        <v>2613268</v>
      </c>
      <c r="E142">
        <f>IF(A142="","",COUNTIFS($A$2:$A$20000,A142,$B$2:$B$20000,"&gt;"&amp;B142)+1)</f>
        <v/>
      </c>
    </row>
    <row r="143">
      <c r="A143" t="inlineStr">
        <is>
          <t>샘플종목02</t>
        </is>
      </c>
      <c r="B143" s="3" t="n">
        <v>45772</v>
      </c>
      <c r="C143" t="n">
        <v>145886</v>
      </c>
      <c r="D143" t="n">
        <v>2991498</v>
      </c>
      <c r="E143">
        <f>IF(A143="","",COUNTIFS($A$2:$A$20000,A143,$B$2:$B$20000,"&gt;"&amp;B143)+1)</f>
        <v/>
      </c>
    </row>
    <row r="144">
      <c r="A144" t="inlineStr">
        <is>
          <t>샘플종목02</t>
        </is>
      </c>
      <c r="B144" s="3" t="n">
        <v>45779</v>
      </c>
      <c r="C144" t="n">
        <v>151284</v>
      </c>
      <c r="D144" t="n">
        <v>2118913</v>
      </c>
      <c r="E144">
        <f>IF(A144="","",COUNTIFS($A$2:$A$20000,A144,$B$2:$B$20000,"&gt;"&amp;B144)+1)</f>
        <v/>
      </c>
    </row>
    <row r="145">
      <c r="A145" t="inlineStr">
        <is>
          <t>샘플종목02</t>
        </is>
      </c>
      <c r="B145" s="3" t="n">
        <v>45786</v>
      </c>
      <c r="C145" t="n">
        <v>158117</v>
      </c>
      <c r="D145" t="n">
        <v>9436111</v>
      </c>
      <c r="E145">
        <f>IF(A145="","",COUNTIFS($A$2:$A$20000,A145,$B$2:$B$20000,"&gt;"&amp;B145)+1)</f>
        <v/>
      </c>
    </row>
    <row r="146">
      <c r="A146" t="inlineStr">
        <is>
          <t>샘플종목02</t>
        </is>
      </c>
      <c r="B146" s="3" t="n">
        <v>45793</v>
      </c>
      <c r="C146" t="n">
        <v>167300</v>
      </c>
      <c r="D146" t="n">
        <v>9004110</v>
      </c>
      <c r="E146">
        <f>IF(A146="","",COUNTIFS($A$2:$A$20000,A146,$B$2:$B$20000,"&gt;"&amp;B146)+1)</f>
        <v/>
      </c>
    </row>
    <row r="147">
      <c r="A147" t="inlineStr">
        <is>
          <t>샘플종목02</t>
        </is>
      </c>
      <c r="B147" s="3" t="n">
        <v>45800</v>
      </c>
      <c r="C147" t="n">
        <v>171469</v>
      </c>
      <c r="D147" t="n">
        <v>9418768</v>
      </c>
      <c r="E147">
        <f>IF(A147="","",COUNTIFS($A$2:$A$20000,A147,$B$2:$B$20000,"&gt;"&amp;B147)+1)</f>
        <v/>
      </c>
    </row>
    <row r="148">
      <c r="A148" t="inlineStr">
        <is>
          <t>샘플종목02</t>
        </is>
      </c>
      <c r="B148" s="3" t="n">
        <v>45807</v>
      </c>
      <c r="C148" t="n">
        <v>160011</v>
      </c>
      <c r="D148" t="n">
        <v>9500209</v>
      </c>
      <c r="E148">
        <f>IF(A148="","",COUNTIFS($A$2:$A$20000,A148,$B$2:$B$20000,"&gt;"&amp;B148)+1)</f>
        <v/>
      </c>
    </row>
    <row r="149">
      <c r="A149" t="inlineStr">
        <is>
          <t>샘플종목02</t>
        </is>
      </c>
      <c r="B149" s="3" t="n">
        <v>45814</v>
      </c>
      <c r="C149" t="n">
        <v>161547</v>
      </c>
      <c r="D149" t="n">
        <v>1053324</v>
      </c>
      <c r="E149">
        <f>IF(A149="","",COUNTIFS($A$2:$A$20000,A149,$B$2:$B$20000,"&gt;"&amp;B149)+1)</f>
        <v/>
      </c>
    </row>
    <row r="150">
      <c r="A150" t="inlineStr">
        <is>
          <t>샘플종목02</t>
        </is>
      </c>
      <c r="B150" s="3" t="n">
        <v>45821</v>
      </c>
      <c r="C150" t="n">
        <v>161920</v>
      </c>
      <c r="D150" t="n">
        <v>1739893</v>
      </c>
      <c r="E150">
        <f>IF(A150="","",COUNTIFS($A$2:$A$20000,A150,$B$2:$B$20000,"&gt;"&amp;B150)+1)</f>
        <v/>
      </c>
    </row>
    <row r="151">
      <c r="A151" t="inlineStr">
        <is>
          <t>샘플종목02</t>
        </is>
      </c>
      <c r="B151" s="3" t="n">
        <v>45828</v>
      </c>
      <c r="C151" t="n">
        <v>167459</v>
      </c>
      <c r="D151" t="n">
        <v>8618027</v>
      </c>
      <c r="E151">
        <f>IF(A151="","",COUNTIFS($A$2:$A$20000,A151,$B$2:$B$20000,"&gt;"&amp;B151)+1)</f>
        <v/>
      </c>
    </row>
    <row r="152">
      <c r="A152" t="inlineStr">
        <is>
          <t>샘플종목02</t>
        </is>
      </c>
      <c r="B152" s="3" t="n">
        <v>45835</v>
      </c>
      <c r="C152" t="n">
        <v>166273</v>
      </c>
      <c r="D152" t="n">
        <v>1163152</v>
      </c>
      <c r="E152">
        <f>IF(A152="","",COUNTIFS($A$2:$A$20000,A152,$B$2:$B$20000,"&gt;"&amp;B152)+1)</f>
        <v/>
      </c>
    </row>
    <row r="153">
      <c r="A153" t="inlineStr">
        <is>
          <t>샘플종목02</t>
        </is>
      </c>
      <c r="B153" s="3" t="n">
        <v>45842</v>
      </c>
      <c r="C153" t="n">
        <v>167073</v>
      </c>
      <c r="D153" t="n">
        <v>7536474</v>
      </c>
      <c r="E153">
        <f>IF(A153="","",COUNTIFS($A$2:$A$20000,A153,$B$2:$B$20000,"&gt;"&amp;B153)+1)</f>
        <v/>
      </c>
    </row>
    <row r="154">
      <c r="A154" t="inlineStr">
        <is>
          <t>샘플종목02</t>
        </is>
      </c>
      <c r="B154" s="3" t="n">
        <v>45849</v>
      </c>
      <c r="C154" t="n">
        <v>159176</v>
      </c>
      <c r="D154" t="n">
        <v>8692643</v>
      </c>
      <c r="E154">
        <f>IF(A154="","",COUNTIFS($A$2:$A$20000,A154,$B$2:$B$20000,"&gt;"&amp;B154)+1)</f>
        <v/>
      </c>
    </row>
    <row r="155">
      <c r="A155" t="inlineStr">
        <is>
          <t>샘플종목02</t>
        </is>
      </c>
      <c r="B155" s="3" t="n">
        <v>45856</v>
      </c>
      <c r="C155" t="n">
        <v>174740</v>
      </c>
      <c r="D155" t="n">
        <v>3445430</v>
      </c>
      <c r="E155">
        <f>IF(A155="","",COUNTIFS($A$2:$A$20000,A155,$B$2:$B$20000,"&gt;"&amp;B155)+1)</f>
        <v/>
      </c>
    </row>
    <row r="156">
      <c r="A156" t="inlineStr">
        <is>
          <t>샘플종목02</t>
        </is>
      </c>
      <c r="B156" s="3" t="n">
        <v>45863</v>
      </c>
      <c r="C156" t="n">
        <v>172389</v>
      </c>
      <c r="D156" t="n">
        <v>9047044</v>
      </c>
      <c r="E156">
        <f>IF(A156="","",COUNTIFS($A$2:$A$20000,A156,$B$2:$B$20000,"&gt;"&amp;B156)+1)</f>
        <v/>
      </c>
    </row>
    <row r="157">
      <c r="A157" t="inlineStr">
        <is>
          <t>샘플종목02</t>
        </is>
      </c>
      <c r="B157" s="3" t="n">
        <v>45870</v>
      </c>
      <c r="C157" t="n">
        <v>165651</v>
      </c>
      <c r="D157" t="n">
        <v>8120118</v>
      </c>
      <c r="E157">
        <f>IF(A157="","",COUNTIFS($A$2:$A$20000,A157,$B$2:$B$20000,"&gt;"&amp;B157)+1)</f>
        <v/>
      </c>
    </row>
    <row r="158">
      <c r="A158" t="inlineStr">
        <is>
          <t>샘플종목02</t>
        </is>
      </c>
      <c r="B158" s="3" t="n">
        <v>45877</v>
      </c>
      <c r="C158" t="n">
        <v>160990</v>
      </c>
      <c r="D158" t="n">
        <v>8878001</v>
      </c>
      <c r="E158">
        <f>IF(A158="","",COUNTIFS($A$2:$A$20000,A158,$B$2:$B$20000,"&gt;"&amp;B158)+1)</f>
        <v/>
      </c>
    </row>
    <row r="159">
      <c r="A159" t="inlineStr">
        <is>
          <t>샘플종목02</t>
        </is>
      </c>
      <c r="B159" s="3" t="n">
        <v>45884</v>
      </c>
      <c r="C159" t="n">
        <v>161075</v>
      </c>
      <c r="D159" t="n">
        <v>4455235</v>
      </c>
      <c r="E159">
        <f>IF(A159="","",COUNTIFS($A$2:$A$20000,A159,$B$2:$B$20000,"&gt;"&amp;B159)+1)</f>
        <v/>
      </c>
    </row>
    <row r="160">
      <c r="A160" t="inlineStr">
        <is>
          <t>샘플종목02</t>
        </is>
      </c>
      <c r="B160" s="3" t="n">
        <v>45891</v>
      </c>
      <c r="C160" t="n">
        <v>173441</v>
      </c>
      <c r="D160" t="n">
        <v>3498871</v>
      </c>
      <c r="E160">
        <f>IF(A160="","",COUNTIFS($A$2:$A$20000,A160,$B$2:$B$20000,"&gt;"&amp;B160)+1)</f>
        <v/>
      </c>
    </row>
    <row r="161">
      <c r="A161" t="inlineStr">
        <is>
          <t>샘플종목02</t>
        </is>
      </c>
      <c r="B161" s="3" t="n">
        <v>45898</v>
      </c>
      <c r="C161" t="n">
        <v>166951</v>
      </c>
      <c r="D161" t="n">
        <v>7608277</v>
      </c>
      <c r="E161">
        <f>IF(A161="","",COUNTIFS($A$2:$A$20000,A161,$B$2:$B$20000,"&gt;"&amp;B161)+1)</f>
        <v/>
      </c>
    </row>
    <row r="162">
      <c r="A162" t="inlineStr">
        <is>
          <t>샘플종목02</t>
        </is>
      </c>
      <c r="B162" s="3" t="n">
        <v>45905</v>
      </c>
      <c r="C162" t="n">
        <v>169500</v>
      </c>
      <c r="D162" t="n">
        <v>7517510</v>
      </c>
      <c r="E162">
        <f>IF(A162="","",COUNTIFS($A$2:$A$20000,A162,$B$2:$B$20000,"&gt;"&amp;B162)+1)</f>
        <v/>
      </c>
    </row>
    <row r="163">
      <c r="A163" t="inlineStr">
        <is>
          <t>샘플종목02</t>
        </is>
      </c>
      <c r="B163" s="3" t="n">
        <v>45912</v>
      </c>
      <c r="C163" t="n">
        <v>172459</v>
      </c>
      <c r="D163" t="n">
        <v>5401261</v>
      </c>
      <c r="E163">
        <f>IF(A163="","",COUNTIFS($A$2:$A$20000,A163,$B$2:$B$20000,"&gt;"&amp;B163)+1)</f>
        <v/>
      </c>
    </row>
    <row r="164">
      <c r="A164" t="inlineStr">
        <is>
          <t>샘플종목02</t>
        </is>
      </c>
      <c r="B164" s="3" t="n">
        <v>45919</v>
      </c>
      <c r="C164" t="n">
        <v>177400</v>
      </c>
      <c r="D164" t="n">
        <v>1326762</v>
      </c>
      <c r="E164">
        <f>IF(A164="","",COUNTIFS($A$2:$A$20000,A164,$B$2:$B$20000,"&gt;"&amp;B164)+1)</f>
        <v/>
      </c>
    </row>
    <row r="165">
      <c r="A165" t="inlineStr">
        <is>
          <t>샘플종목02</t>
        </is>
      </c>
      <c r="B165" s="3" t="n">
        <v>45926</v>
      </c>
      <c r="C165" t="n">
        <v>180072</v>
      </c>
      <c r="D165" t="n">
        <v>3668342</v>
      </c>
      <c r="E165">
        <f>IF(A165="","",COUNTIFS($A$2:$A$20000,A165,$B$2:$B$20000,"&gt;"&amp;B165)+1)</f>
        <v/>
      </c>
    </row>
    <row r="166">
      <c r="A166" t="inlineStr">
        <is>
          <t>샘플종목02</t>
        </is>
      </c>
      <c r="B166" s="3" t="n">
        <v>45933</v>
      </c>
      <c r="C166" t="n">
        <v>174322</v>
      </c>
      <c r="D166" t="n">
        <v>2691184</v>
      </c>
      <c r="E166">
        <f>IF(A166="","",COUNTIFS($A$2:$A$20000,A166,$B$2:$B$20000,"&gt;"&amp;B166)+1)</f>
        <v/>
      </c>
    </row>
    <row r="167">
      <c r="A167" t="inlineStr">
        <is>
          <t>샘플종목02</t>
        </is>
      </c>
      <c r="B167" s="3" t="n">
        <v>45940</v>
      </c>
      <c r="C167" t="n">
        <v>163993</v>
      </c>
      <c r="D167" t="n">
        <v>6243536</v>
      </c>
      <c r="E167">
        <f>IF(A167="","",COUNTIFS($A$2:$A$20000,A167,$B$2:$B$20000,"&gt;"&amp;B167)+1)</f>
        <v/>
      </c>
    </row>
    <row r="168">
      <c r="A168" t="inlineStr">
        <is>
          <t>샘플종목02</t>
        </is>
      </c>
      <c r="B168" s="3" t="n">
        <v>45947</v>
      </c>
      <c r="C168" t="n">
        <v>172783</v>
      </c>
      <c r="D168" t="n">
        <v>7947305</v>
      </c>
      <c r="E168">
        <f>IF(A168="","",COUNTIFS($A$2:$A$20000,A168,$B$2:$B$20000,"&gt;"&amp;B168)+1)</f>
        <v/>
      </c>
    </row>
    <row r="169">
      <c r="A169" t="inlineStr">
        <is>
          <t>샘플종목02</t>
        </is>
      </c>
      <c r="B169" s="3" t="n">
        <v>45954</v>
      </c>
      <c r="C169" t="n">
        <v>184325</v>
      </c>
      <c r="D169" t="n">
        <v>3784072</v>
      </c>
      <c r="E169">
        <f>IF(A169="","",COUNTIFS($A$2:$A$20000,A169,$B$2:$B$20000,"&gt;"&amp;B169)+1)</f>
        <v/>
      </c>
    </row>
    <row r="170">
      <c r="A170" t="inlineStr">
        <is>
          <t>샘플종목02</t>
        </is>
      </c>
      <c r="B170" s="3" t="n">
        <v>45961</v>
      </c>
      <c r="C170" t="n">
        <v>184625</v>
      </c>
      <c r="D170" t="n">
        <v>8274879</v>
      </c>
      <c r="E170">
        <f>IF(A170="","",COUNTIFS($A$2:$A$20000,A170,$B$2:$B$20000,"&gt;"&amp;B170)+1)</f>
        <v/>
      </c>
    </row>
    <row r="171">
      <c r="A171" t="inlineStr">
        <is>
          <t>샘플종목02</t>
        </is>
      </c>
      <c r="B171" s="3" t="n">
        <v>45968</v>
      </c>
      <c r="C171" t="n">
        <v>181711</v>
      </c>
      <c r="D171" t="n">
        <v>2831249</v>
      </c>
      <c r="E171">
        <f>IF(A171="","",COUNTIFS($A$2:$A$20000,A171,$B$2:$B$20000,"&gt;"&amp;B171)+1)</f>
        <v/>
      </c>
    </row>
    <row r="172">
      <c r="A172" t="inlineStr">
        <is>
          <t>샘플종목02</t>
        </is>
      </c>
      <c r="B172" s="3" t="n">
        <v>45975</v>
      </c>
      <c r="C172" t="n">
        <v>195786</v>
      </c>
      <c r="D172" t="n">
        <v>2808950</v>
      </c>
      <c r="E172">
        <f>IF(A172="","",COUNTIFS($A$2:$A$20000,A172,$B$2:$B$20000,"&gt;"&amp;B172)+1)</f>
        <v/>
      </c>
    </row>
    <row r="173">
      <c r="A173" t="inlineStr">
        <is>
          <t>샘플종목02</t>
        </is>
      </c>
      <c r="B173" s="3" t="n">
        <v>45982</v>
      </c>
      <c r="C173" t="n">
        <v>195236</v>
      </c>
      <c r="D173" t="n">
        <v>7339734</v>
      </c>
      <c r="E173">
        <f>IF(A173="","",COUNTIFS($A$2:$A$20000,A173,$B$2:$B$20000,"&gt;"&amp;B173)+1)</f>
        <v/>
      </c>
    </row>
    <row r="174">
      <c r="A174" t="inlineStr">
        <is>
          <t>샘플종목02</t>
        </is>
      </c>
      <c r="B174" s="3" t="n">
        <v>45989</v>
      </c>
      <c r="C174" t="n">
        <v>203564</v>
      </c>
      <c r="D174" t="n">
        <v>7167846</v>
      </c>
      <c r="E174">
        <f>IF(A174="","",COUNTIFS($A$2:$A$20000,A174,$B$2:$B$20000,"&gt;"&amp;B174)+1)</f>
        <v/>
      </c>
    </row>
    <row r="175">
      <c r="A175" t="inlineStr">
        <is>
          <t>샘플종목02</t>
        </is>
      </c>
      <c r="B175" s="3" t="n">
        <v>45996</v>
      </c>
      <c r="C175" t="n">
        <v>203662</v>
      </c>
      <c r="D175" t="n">
        <v>3384050</v>
      </c>
      <c r="E175">
        <f>IF(A175="","",COUNTIFS($A$2:$A$20000,A175,$B$2:$B$20000,"&gt;"&amp;B175)+1)</f>
        <v/>
      </c>
    </row>
    <row r="176">
      <c r="A176" t="inlineStr">
        <is>
          <t>샘플종목02</t>
        </is>
      </c>
      <c r="B176" s="3" t="n">
        <v>46003</v>
      </c>
      <c r="C176" t="n">
        <v>201845</v>
      </c>
      <c r="D176" t="n">
        <v>6239664</v>
      </c>
      <c r="E176">
        <f>IF(A176="","",COUNTIFS($A$2:$A$20000,A176,$B$2:$B$20000,"&gt;"&amp;B176)+1)</f>
        <v/>
      </c>
    </row>
    <row r="177">
      <c r="A177" t="inlineStr">
        <is>
          <t>샘플종목02</t>
        </is>
      </c>
      <c r="B177" s="3" t="n">
        <v>46010</v>
      </c>
      <c r="C177" t="n">
        <v>205032</v>
      </c>
      <c r="D177" t="n">
        <v>426869</v>
      </c>
      <c r="E177">
        <f>IF(A177="","",COUNTIFS($A$2:$A$20000,A177,$B$2:$B$20000,"&gt;"&amp;B177)+1)</f>
        <v/>
      </c>
    </row>
    <row r="178">
      <c r="A178" t="inlineStr">
        <is>
          <t>샘플종목02</t>
        </is>
      </c>
      <c r="B178" s="3" t="n">
        <v>46017</v>
      </c>
      <c r="C178" t="n">
        <v>200672</v>
      </c>
      <c r="D178" t="n">
        <v>403365</v>
      </c>
      <c r="E178">
        <f>IF(A178="","",COUNTIFS($A$2:$A$20000,A178,$B$2:$B$20000,"&gt;"&amp;B178)+1)</f>
        <v/>
      </c>
    </row>
    <row r="179">
      <c r="A179" t="inlineStr">
        <is>
          <t>샘플종목02</t>
        </is>
      </c>
      <c r="B179" s="3" t="n">
        <v>46024</v>
      </c>
      <c r="C179" t="n">
        <v>208641</v>
      </c>
      <c r="D179" t="n">
        <v>6548231</v>
      </c>
      <c r="E179">
        <f>IF(A179="","",COUNTIFS($A$2:$A$20000,A179,$B$2:$B$20000,"&gt;"&amp;B179)+1)</f>
        <v/>
      </c>
    </row>
    <row r="180">
      <c r="A180" t="inlineStr">
        <is>
          <t>샘플종목02</t>
        </is>
      </c>
      <c r="B180" s="3" t="n">
        <v>46031</v>
      </c>
      <c r="C180" t="n">
        <v>203340</v>
      </c>
      <c r="D180" t="n">
        <v>8694334</v>
      </c>
      <c r="E180">
        <f>IF(A180="","",COUNTIFS($A$2:$A$20000,A180,$B$2:$B$20000,"&gt;"&amp;B180)+1)</f>
        <v/>
      </c>
    </row>
    <row r="181">
      <c r="A181" t="inlineStr">
        <is>
          <t>샘플종목02</t>
        </is>
      </c>
      <c r="B181" s="3" t="n">
        <v>46038</v>
      </c>
      <c r="C181" t="n">
        <v>213663</v>
      </c>
      <c r="D181" t="n">
        <v>1178620</v>
      </c>
      <c r="E181">
        <f>IF(A181="","",COUNTIFS($A$2:$A$20000,A181,$B$2:$B$20000,"&gt;"&amp;B181)+1)</f>
        <v/>
      </c>
    </row>
    <row r="182">
      <c r="A182" t="inlineStr">
        <is>
          <t>샘플종목02</t>
        </is>
      </c>
      <c r="B182" s="3" t="n">
        <v>46045</v>
      </c>
      <c r="C182" t="n">
        <v>228617</v>
      </c>
      <c r="D182" t="n">
        <v>3934497</v>
      </c>
      <c r="E182">
        <f>IF(A182="","",COUNTIFS($A$2:$A$20000,A182,$B$2:$B$20000,"&gt;"&amp;B182)+1)</f>
        <v/>
      </c>
    </row>
    <row r="183">
      <c r="A183" t="inlineStr">
        <is>
          <t>샘플종목02</t>
        </is>
      </c>
      <c r="B183" s="3" t="n">
        <v>46052</v>
      </c>
      <c r="C183" t="n">
        <v>242409</v>
      </c>
      <c r="D183" t="n">
        <v>1857909</v>
      </c>
      <c r="E183">
        <f>IF(A183="","",COUNTIFS($A$2:$A$20000,A183,$B$2:$B$20000,"&gt;"&amp;B183)+1)</f>
        <v/>
      </c>
    </row>
    <row r="184">
      <c r="A184" t="inlineStr">
        <is>
          <t>샘플종목02</t>
        </is>
      </c>
      <c r="B184" s="3" t="n">
        <v>46059</v>
      </c>
      <c r="C184" t="n">
        <v>249566</v>
      </c>
      <c r="D184" t="n">
        <v>3145926</v>
      </c>
      <c r="E184">
        <f>IF(A184="","",COUNTIFS($A$2:$A$20000,A184,$B$2:$B$20000,"&gt;"&amp;B184)+1)</f>
        <v/>
      </c>
    </row>
    <row r="185">
      <c r="A185" t="inlineStr">
        <is>
          <t>샘플종목02</t>
        </is>
      </c>
      <c r="B185" s="3" t="n">
        <v>46066</v>
      </c>
      <c r="C185" t="n">
        <v>254073</v>
      </c>
      <c r="D185" t="n">
        <v>4637332</v>
      </c>
      <c r="E185">
        <f>IF(A185="","",COUNTIFS($A$2:$A$20000,A185,$B$2:$B$20000,"&gt;"&amp;B185)+1)</f>
        <v/>
      </c>
    </row>
    <row r="186">
      <c r="A186" t="inlineStr">
        <is>
          <t>샘플종목02</t>
        </is>
      </c>
      <c r="B186" s="3" t="n">
        <v>46073</v>
      </c>
      <c r="C186" t="n">
        <v>255264</v>
      </c>
      <c r="D186" t="n">
        <v>4438739</v>
      </c>
      <c r="E186">
        <f>IF(A186="","",COUNTIFS($A$2:$A$20000,A186,$B$2:$B$20000,"&gt;"&amp;B186)+1)</f>
        <v/>
      </c>
    </row>
    <row r="187">
      <c r="A187" t="inlineStr">
        <is>
          <t>샘플종목02</t>
        </is>
      </c>
      <c r="B187" s="3" t="n">
        <v>46080</v>
      </c>
      <c r="C187" t="n">
        <v>236884</v>
      </c>
      <c r="D187" t="n">
        <v>6910674</v>
      </c>
      <c r="E187">
        <f>IF(A187="","",COUNTIFS($A$2:$A$20000,A187,$B$2:$B$20000,"&gt;"&amp;B187)+1)</f>
        <v/>
      </c>
    </row>
    <row r="188">
      <c r="A188" t="inlineStr">
        <is>
          <t>샘플종목02</t>
        </is>
      </c>
      <c r="B188" s="3" t="n">
        <v>46087</v>
      </c>
      <c r="C188" t="n">
        <v>249918</v>
      </c>
      <c r="D188" t="n">
        <v>9672994</v>
      </c>
      <c r="E188">
        <f>IF(A188="","",COUNTIFS($A$2:$A$20000,A188,$B$2:$B$20000,"&gt;"&amp;B188)+1)</f>
        <v/>
      </c>
    </row>
    <row r="189">
      <c r="A189" t="inlineStr">
        <is>
          <t>샘플종목02</t>
        </is>
      </c>
      <c r="B189" s="3" t="n">
        <v>46094</v>
      </c>
      <c r="C189" t="n">
        <v>268506</v>
      </c>
      <c r="D189" t="n">
        <v>8398213</v>
      </c>
      <c r="E189">
        <f>IF(A189="","",COUNTIFS($A$2:$A$20000,A189,$B$2:$B$20000,"&gt;"&amp;B189)+1)</f>
        <v/>
      </c>
    </row>
    <row r="190">
      <c r="A190" t="inlineStr">
        <is>
          <t>샘플종목02</t>
        </is>
      </c>
      <c r="B190" s="3" t="n">
        <v>46101</v>
      </c>
      <c r="C190" t="n">
        <v>267617</v>
      </c>
      <c r="D190" t="n">
        <v>1065134</v>
      </c>
      <c r="E190">
        <f>IF(A190="","",COUNTIFS($A$2:$A$20000,A190,$B$2:$B$20000,"&gt;"&amp;B190)+1)</f>
        <v/>
      </c>
    </row>
    <row r="191">
      <c r="A191" t="inlineStr">
        <is>
          <t>샘플종목02</t>
        </is>
      </c>
      <c r="B191" s="3" t="n">
        <v>46108</v>
      </c>
      <c r="C191" t="n">
        <v>263741</v>
      </c>
      <c r="D191" t="n">
        <v>3176002</v>
      </c>
      <c r="E191">
        <f>IF(A191="","",COUNTIFS($A$2:$A$20000,A191,$B$2:$B$20000,"&gt;"&amp;B191)+1)</f>
        <v/>
      </c>
    </row>
    <row r="192">
      <c r="A192" t="inlineStr">
        <is>
          <t>샘플종목02</t>
        </is>
      </c>
      <c r="B192" s="3" t="n">
        <v>46115</v>
      </c>
      <c r="C192" t="n">
        <v>260620</v>
      </c>
      <c r="D192" t="n">
        <v>382389</v>
      </c>
      <c r="E192">
        <f>IF(A192="","",COUNTIFS($A$2:$A$20000,A192,$B$2:$B$20000,"&gt;"&amp;B192)+1)</f>
        <v/>
      </c>
    </row>
    <row r="193">
      <c r="A193" t="inlineStr">
        <is>
          <t>샘플종목02</t>
        </is>
      </c>
      <c r="B193" s="3" t="n">
        <v>46122</v>
      </c>
      <c r="C193" t="n">
        <v>262970</v>
      </c>
      <c r="D193" t="n">
        <v>1585889</v>
      </c>
      <c r="E193">
        <f>IF(A193="","",COUNTIFS($A$2:$A$20000,A193,$B$2:$B$20000,"&gt;"&amp;B193)+1)</f>
        <v/>
      </c>
    </row>
    <row r="194">
      <c r="A194" t="inlineStr">
        <is>
          <t>샘플종목02</t>
        </is>
      </c>
      <c r="B194" s="3" t="n">
        <v>46129</v>
      </c>
      <c r="C194" t="n">
        <v>264898</v>
      </c>
      <c r="D194" t="n">
        <v>3831386</v>
      </c>
      <c r="E194">
        <f>IF(A194="","",COUNTIFS($A$2:$A$20000,A194,$B$2:$B$20000,"&gt;"&amp;B194)+1)</f>
        <v/>
      </c>
    </row>
    <row r="195">
      <c r="A195" t="inlineStr">
        <is>
          <t>샘플종목02</t>
        </is>
      </c>
      <c r="B195" s="3" t="n">
        <v>46136</v>
      </c>
      <c r="C195" t="n">
        <v>261227</v>
      </c>
      <c r="D195" t="n">
        <v>1217740</v>
      </c>
      <c r="E195">
        <f>IF(A195="","",COUNTIFS($A$2:$A$20000,A195,$B$2:$B$20000,"&gt;"&amp;B195)+1)</f>
        <v/>
      </c>
    </row>
    <row r="196">
      <c r="A196" t="inlineStr">
        <is>
          <t>샘플종목02</t>
        </is>
      </c>
      <c r="B196" s="3" t="n">
        <v>46143</v>
      </c>
      <c r="C196" t="n">
        <v>261267</v>
      </c>
      <c r="D196" t="n">
        <v>293715</v>
      </c>
      <c r="E196">
        <f>IF(A196="","",COUNTIFS($A$2:$A$20000,A196,$B$2:$B$20000,"&gt;"&amp;B196)+1)</f>
        <v/>
      </c>
    </row>
    <row r="197">
      <c r="A197" t="inlineStr">
        <is>
          <t>샘플종목02</t>
        </is>
      </c>
      <c r="B197" s="3" t="n">
        <v>46150</v>
      </c>
      <c r="C197" t="n">
        <v>267091</v>
      </c>
      <c r="D197" t="n">
        <v>5790022</v>
      </c>
      <c r="E197">
        <f>IF(A197="","",COUNTIFS($A$2:$A$20000,A197,$B$2:$B$20000,"&gt;"&amp;B197)+1)</f>
        <v/>
      </c>
    </row>
    <row r="198">
      <c r="A198" t="inlineStr">
        <is>
          <t>샘플종목02</t>
        </is>
      </c>
      <c r="B198" s="3" t="n">
        <v>46157</v>
      </c>
      <c r="C198" t="n">
        <v>278730</v>
      </c>
      <c r="D198" t="n">
        <v>4593940</v>
      </c>
      <c r="E198">
        <f>IF(A198="","",COUNTIFS($A$2:$A$20000,A198,$B$2:$B$20000,"&gt;"&amp;B198)+1)</f>
        <v/>
      </c>
    </row>
    <row r="199">
      <c r="A199" t="inlineStr">
        <is>
          <t>샘플종목02</t>
        </is>
      </c>
      <c r="B199" s="3" t="n">
        <v>46164</v>
      </c>
      <c r="C199" t="n">
        <v>278872</v>
      </c>
      <c r="D199" t="n">
        <v>2268032</v>
      </c>
      <c r="E199">
        <f>IF(A199="","",COUNTIFS($A$2:$A$20000,A199,$B$2:$B$20000,"&gt;"&amp;B199)+1)</f>
        <v/>
      </c>
    </row>
    <row r="200">
      <c r="A200" t="inlineStr">
        <is>
          <t>샘플종목02</t>
        </is>
      </c>
      <c r="B200" s="3" t="n">
        <v>46171</v>
      </c>
      <c r="C200" t="n">
        <v>296328</v>
      </c>
      <c r="D200" t="n">
        <v>1936290</v>
      </c>
      <c r="E200">
        <f>IF(A200="","",COUNTIFS($A$2:$A$20000,A200,$B$2:$B$20000,"&gt;"&amp;B200)+1)</f>
        <v/>
      </c>
    </row>
    <row r="201">
      <c r="A201" t="inlineStr">
        <is>
          <t>샘플종목02</t>
        </is>
      </c>
      <c r="B201" s="3" t="n">
        <v>46178</v>
      </c>
      <c r="C201" t="n">
        <v>301919</v>
      </c>
      <c r="D201" t="n">
        <v>2808666</v>
      </c>
      <c r="E201">
        <f>IF(A201="","",COUNTIFS($A$2:$A$20000,A201,$B$2:$B$20000,"&gt;"&amp;B201)+1)</f>
        <v/>
      </c>
    </row>
    <row r="202">
      <c r="A202" t="inlineStr">
        <is>
          <t>샘플종목02</t>
        </is>
      </c>
      <c r="B202" s="3" t="n">
        <v>46185</v>
      </c>
      <c r="C202" t="n">
        <v>301952</v>
      </c>
      <c r="D202" t="n">
        <v>5334363</v>
      </c>
      <c r="E202">
        <f>IF(A202="","",COUNTIFS($A$2:$A$20000,A202,$B$2:$B$20000,"&gt;"&amp;B202)+1)</f>
        <v/>
      </c>
    </row>
    <row r="203">
      <c r="A203" t="inlineStr">
        <is>
          <t>샘플종목02</t>
        </is>
      </c>
      <c r="B203" s="3" t="n">
        <v>46192</v>
      </c>
      <c r="C203" t="n">
        <v>310171</v>
      </c>
      <c r="D203" t="n">
        <v>5217141</v>
      </c>
      <c r="E203">
        <f>IF(A203="","",COUNTIFS($A$2:$A$20000,A203,$B$2:$B$20000,"&gt;"&amp;B203)+1)</f>
        <v/>
      </c>
    </row>
    <row r="204">
      <c r="A204" t="inlineStr">
        <is>
          <t>샘플종목02</t>
        </is>
      </c>
      <c r="B204" s="3" t="n">
        <v>46199</v>
      </c>
      <c r="C204" t="n">
        <v>302527</v>
      </c>
      <c r="D204" t="n">
        <v>7577384</v>
      </c>
      <c r="E204">
        <f>IF(A204="","",COUNTIFS($A$2:$A$20000,A204,$B$2:$B$20000,"&gt;"&amp;B204)+1)</f>
        <v/>
      </c>
    </row>
    <row r="205">
      <c r="A205" t="inlineStr">
        <is>
          <t>샘플종목02</t>
        </is>
      </c>
      <c r="B205" s="3" t="n">
        <v>46206</v>
      </c>
      <c r="C205" t="n">
        <v>301538</v>
      </c>
      <c r="D205" t="n">
        <v>8490094</v>
      </c>
      <c r="E205">
        <f>IF(A205="","",COUNTIFS($A$2:$A$20000,A205,$B$2:$B$20000,"&gt;"&amp;B205)+1)</f>
        <v/>
      </c>
    </row>
    <row r="206">
      <c r="A206" t="inlineStr">
        <is>
          <t>샘플종목02</t>
        </is>
      </c>
      <c r="B206" s="3" t="n">
        <v>46213</v>
      </c>
      <c r="C206" t="n">
        <v>297640</v>
      </c>
      <c r="D206" t="n">
        <v>404726</v>
      </c>
      <c r="E206">
        <f>IF(A206="","",COUNTIFS($A$2:$A$20000,A206,$B$2:$B$20000,"&gt;"&amp;B206)+1)</f>
        <v/>
      </c>
    </row>
    <row r="207">
      <c r="A207" t="inlineStr">
        <is>
          <t>샘플종목02</t>
        </is>
      </c>
      <c r="B207" s="3" t="n">
        <v>46220</v>
      </c>
      <c r="C207" t="n">
        <v>289888</v>
      </c>
      <c r="D207" t="n">
        <v>4301832</v>
      </c>
      <c r="E207">
        <f>IF(A207="","",COUNTIFS($A$2:$A$20000,A207,$B$2:$B$20000,"&gt;"&amp;B207)+1)</f>
        <v/>
      </c>
    </row>
    <row r="208">
      <c r="A208" t="inlineStr">
        <is>
          <t>샘플종목02</t>
        </is>
      </c>
      <c r="B208" s="3" t="n">
        <v>46227</v>
      </c>
      <c r="C208" t="n">
        <v>292644</v>
      </c>
      <c r="D208" t="n">
        <v>8583466</v>
      </c>
      <c r="E208">
        <f>IF(A208="","",COUNTIFS($A$2:$A$20000,A208,$B$2:$B$20000,"&gt;"&amp;B208)+1)</f>
        <v/>
      </c>
    </row>
    <row r="209">
      <c r="A209" t="inlineStr">
        <is>
          <t>샘플종목02</t>
        </is>
      </c>
      <c r="B209" s="3" t="n">
        <v>46234</v>
      </c>
      <c r="C209" t="n">
        <v>293749</v>
      </c>
      <c r="D209" t="n">
        <v>9345070</v>
      </c>
      <c r="E209">
        <f>IF(A209="","",COUNTIFS($A$2:$A$20000,A209,$B$2:$B$20000,"&gt;"&amp;B209)+1)</f>
        <v/>
      </c>
    </row>
    <row r="210">
      <c r="A210" t="inlineStr">
        <is>
          <t>샘플종목02</t>
        </is>
      </c>
      <c r="B210" s="3" t="n">
        <v>46241</v>
      </c>
      <c r="C210" t="n">
        <v>308322</v>
      </c>
      <c r="D210" t="n">
        <v>4221818</v>
      </c>
      <c r="E210">
        <f>IF(A210="","",COUNTIFS($A$2:$A$20000,A210,$B$2:$B$20000,"&gt;"&amp;B210)+1)</f>
        <v/>
      </c>
    </row>
    <row r="211">
      <c r="A211" t="inlineStr">
        <is>
          <t>샘플종목02</t>
        </is>
      </c>
      <c r="B211" s="3" t="n">
        <v>46248</v>
      </c>
      <c r="C211" t="n">
        <v>306902</v>
      </c>
      <c r="D211" t="n">
        <v>7600347</v>
      </c>
      <c r="E211">
        <f>IF(A211="","",COUNTIFS($A$2:$A$20000,A211,$B$2:$B$20000,"&gt;"&amp;B211)+1)</f>
        <v/>
      </c>
    </row>
    <row r="212">
      <c r="A212" t="inlineStr">
        <is>
          <t>샘플종목02</t>
        </is>
      </c>
      <c r="B212" s="3" t="n">
        <v>46255</v>
      </c>
      <c r="C212" t="n">
        <v>325335</v>
      </c>
      <c r="D212" t="n">
        <v>7350736</v>
      </c>
      <c r="E212">
        <f>IF(A212="","",COUNTIFS($A$2:$A$20000,A212,$B$2:$B$20000,"&gt;"&amp;B212)+1)</f>
        <v/>
      </c>
    </row>
    <row r="213">
      <c r="A213" t="inlineStr">
        <is>
          <t>샘플종목02</t>
        </is>
      </c>
      <c r="B213" s="3" t="n">
        <v>46262</v>
      </c>
      <c r="C213" t="n">
        <v>340884</v>
      </c>
      <c r="D213" t="n">
        <v>8404748</v>
      </c>
      <c r="E213">
        <f>IF(A213="","",COUNTIFS($A$2:$A$20000,A213,$B$2:$B$20000,"&gt;"&amp;B213)+1)</f>
        <v/>
      </c>
    </row>
    <row r="214">
      <c r="A214" t="inlineStr">
        <is>
          <t>샘플종목02</t>
        </is>
      </c>
      <c r="B214" s="3" t="n">
        <v>46269</v>
      </c>
      <c r="C214" t="n">
        <v>314172</v>
      </c>
      <c r="D214" t="n">
        <v>8600779</v>
      </c>
      <c r="E214">
        <f>IF(A214="","",COUNTIFS($A$2:$A$20000,A214,$B$2:$B$20000,"&gt;"&amp;B214)+1)</f>
        <v/>
      </c>
    </row>
    <row r="215">
      <c r="A215" t="inlineStr">
        <is>
          <t>샘플종목02</t>
        </is>
      </c>
      <c r="B215" s="3" t="n">
        <v>46276</v>
      </c>
      <c r="C215" t="n">
        <v>307309</v>
      </c>
      <c r="D215" t="n">
        <v>5263742</v>
      </c>
      <c r="E215">
        <f>IF(A215="","",COUNTIFS($A$2:$A$20000,A215,$B$2:$B$20000,"&gt;"&amp;B215)+1)</f>
        <v/>
      </c>
    </row>
    <row r="216">
      <c r="A216" t="inlineStr">
        <is>
          <t>샘플종목02</t>
        </is>
      </c>
      <c r="B216" s="3" t="n">
        <v>46283</v>
      </c>
      <c r="C216" t="n">
        <v>294597</v>
      </c>
      <c r="D216" t="n">
        <v>5849629</v>
      </c>
      <c r="E216">
        <f>IF(A216="","",COUNTIFS($A$2:$A$20000,A216,$B$2:$B$20000,"&gt;"&amp;B216)+1)</f>
        <v/>
      </c>
    </row>
    <row r="217">
      <c r="A217" t="inlineStr">
        <is>
          <t>샘플종목02</t>
        </is>
      </c>
      <c r="B217" s="3" t="n">
        <v>46290</v>
      </c>
      <c r="C217" t="n">
        <v>264212</v>
      </c>
      <c r="D217" t="n">
        <v>3432365</v>
      </c>
      <c r="E217">
        <f>IF(A217="","",COUNTIFS($A$2:$A$20000,A217,$B$2:$B$20000,"&gt;"&amp;B217)+1)</f>
        <v/>
      </c>
    </row>
    <row r="218">
      <c r="A218" t="inlineStr">
        <is>
          <t>샘플종목02</t>
        </is>
      </c>
      <c r="B218" s="3" t="n">
        <v>46297</v>
      </c>
      <c r="C218" t="n">
        <v>272923</v>
      </c>
      <c r="D218" t="n">
        <v>2444092</v>
      </c>
      <c r="E218">
        <f>IF(A218="","",COUNTIFS($A$2:$A$20000,A218,$B$2:$B$20000,"&gt;"&amp;B218)+1)</f>
        <v/>
      </c>
    </row>
    <row r="219">
      <c r="A219" t="inlineStr">
        <is>
          <t>샘플종목02</t>
        </is>
      </c>
      <c r="B219" s="3" t="n">
        <v>46304</v>
      </c>
      <c r="C219" t="n">
        <v>258605</v>
      </c>
      <c r="D219" t="n">
        <v>6889700</v>
      </c>
      <c r="E219">
        <f>IF(A219="","",COUNTIFS($A$2:$A$20000,A219,$B$2:$B$20000,"&gt;"&amp;B219)+1)</f>
        <v/>
      </c>
    </row>
    <row r="220">
      <c r="A220" t="inlineStr">
        <is>
          <t>샘플종목02</t>
        </is>
      </c>
      <c r="B220" s="3" t="n">
        <v>46311</v>
      </c>
      <c r="C220" t="n">
        <v>288355</v>
      </c>
      <c r="D220" t="n">
        <v>2277994</v>
      </c>
      <c r="E220">
        <f>IF(A220="","",COUNTIFS($A$2:$A$20000,A220,$B$2:$B$20000,"&gt;"&amp;B220)+1)</f>
        <v/>
      </c>
    </row>
    <row r="221">
      <c r="A221" t="inlineStr">
        <is>
          <t>샘플종목02</t>
        </is>
      </c>
      <c r="B221" s="3" t="n">
        <v>46318</v>
      </c>
      <c r="C221" t="n">
        <v>286765</v>
      </c>
      <c r="D221" t="n">
        <v>339161</v>
      </c>
      <c r="E221">
        <f>IF(A221="","",COUNTIFS($A$2:$A$20000,A221,$B$2:$B$20000,"&gt;"&amp;B221)+1)</f>
        <v/>
      </c>
    </row>
    <row r="222">
      <c r="A222" t="inlineStr">
        <is>
          <t>샘플종목03</t>
        </is>
      </c>
      <c r="B222" s="3" t="n">
        <v>45555</v>
      </c>
      <c r="C222" t="n">
        <v>18795</v>
      </c>
      <c r="D222" t="n">
        <v>2838822</v>
      </c>
      <c r="E222">
        <f>IF(A222="","",COUNTIFS($A$2:$A$20000,A222,$B$2:$B$20000,"&gt;"&amp;B222)+1)</f>
        <v/>
      </c>
    </row>
    <row r="223">
      <c r="A223" t="inlineStr">
        <is>
          <t>샘플종목03</t>
        </is>
      </c>
      <c r="B223" s="3" t="n">
        <v>45562</v>
      </c>
      <c r="C223" t="n">
        <v>18256</v>
      </c>
      <c r="D223" t="n">
        <v>1029476</v>
      </c>
      <c r="E223">
        <f>IF(A223="","",COUNTIFS($A$2:$A$20000,A223,$B$2:$B$20000,"&gt;"&amp;B223)+1)</f>
        <v/>
      </c>
    </row>
    <row r="224">
      <c r="A224" t="inlineStr">
        <is>
          <t>샘플종목03</t>
        </is>
      </c>
      <c r="B224" s="3" t="n">
        <v>45569</v>
      </c>
      <c r="C224" t="n">
        <v>19501</v>
      </c>
      <c r="D224" t="n">
        <v>8588313</v>
      </c>
      <c r="E224">
        <f>IF(A224="","",COUNTIFS($A$2:$A$20000,A224,$B$2:$B$20000,"&gt;"&amp;B224)+1)</f>
        <v/>
      </c>
    </row>
    <row r="225">
      <c r="A225" t="inlineStr">
        <is>
          <t>샘플종목03</t>
        </is>
      </c>
      <c r="B225" s="3" t="n">
        <v>45576</v>
      </c>
      <c r="C225" t="n">
        <v>20298</v>
      </c>
      <c r="D225" t="n">
        <v>4830055</v>
      </c>
      <c r="E225">
        <f>IF(A225="","",COUNTIFS($A$2:$A$20000,A225,$B$2:$B$20000,"&gt;"&amp;B225)+1)</f>
        <v/>
      </c>
    </row>
    <row r="226">
      <c r="A226" t="inlineStr">
        <is>
          <t>샘플종목03</t>
        </is>
      </c>
      <c r="B226" s="3" t="n">
        <v>45583</v>
      </c>
      <c r="C226" t="n">
        <v>19324</v>
      </c>
      <c r="D226" t="n">
        <v>858959</v>
      </c>
      <c r="E226">
        <f>IF(A226="","",COUNTIFS($A$2:$A$20000,A226,$B$2:$B$20000,"&gt;"&amp;B226)+1)</f>
        <v/>
      </c>
    </row>
    <row r="227">
      <c r="A227" t="inlineStr">
        <is>
          <t>샘플종목03</t>
        </is>
      </c>
      <c r="B227" s="3" t="n">
        <v>45590</v>
      </c>
      <c r="C227" t="n">
        <v>18672</v>
      </c>
      <c r="D227" t="n">
        <v>7808341</v>
      </c>
      <c r="E227">
        <f>IF(A227="","",COUNTIFS($A$2:$A$20000,A227,$B$2:$B$20000,"&gt;"&amp;B227)+1)</f>
        <v/>
      </c>
    </row>
    <row r="228">
      <c r="A228" t="inlineStr">
        <is>
          <t>샘플종목03</t>
        </is>
      </c>
      <c r="B228" s="3" t="n">
        <v>45597</v>
      </c>
      <c r="C228" t="n">
        <v>18943</v>
      </c>
      <c r="D228" t="n">
        <v>160779</v>
      </c>
      <c r="E228">
        <f>IF(A228="","",COUNTIFS($A$2:$A$20000,A228,$B$2:$B$20000,"&gt;"&amp;B228)+1)</f>
        <v/>
      </c>
    </row>
    <row r="229">
      <c r="A229" t="inlineStr">
        <is>
          <t>샘플종목03</t>
        </is>
      </c>
      <c r="B229" s="3" t="n">
        <v>45604</v>
      </c>
      <c r="C229" t="n">
        <v>19532</v>
      </c>
      <c r="D229" t="n">
        <v>4516485</v>
      </c>
      <c r="E229">
        <f>IF(A229="","",COUNTIFS($A$2:$A$20000,A229,$B$2:$B$20000,"&gt;"&amp;B229)+1)</f>
        <v/>
      </c>
    </row>
    <row r="230">
      <c r="A230" t="inlineStr">
        <is>
          <t>샘플종목03</t>
        </is>
      </c>
      <c r="B230" s="3" t="n">
        <v>45611</v>
      </c>
      <c r="C230" t="n">
        <v>19112</v>
      </c>
      <c r="D230" t="n">
        <v>9278368</v>
      </c>
      <c r="E230">
        <f>IF(A230="","",COUNTIFS($A$2:$A$20000,A230,$B$2:$B$20000,"&gt;"&amp;B230)+1)</f>
        <v/>
      </c>
    </row>
    <row r="231">
      <c r="A231" t="inlineStr">
        <is>
          <t>샘플종목03</t>
        </is>
      </c>
      <c r="B231" s="3" t="n">
        <v>45618</v>
      </c>
      <c r="C231" t="n">
        <v>19665</v>
      </c>
      <c r="D231" t="n">
        <v>5527998</v>
      </c>
      <c r="E231">
        <f>IF(A231="","",COUNTIFS($A$2:$A$20000,A231,$B$2:$B$20000,"&gt;"&amp;B231)+1)</f>
        <v/>
      </c>
    </row>
    <row r="232">
      <c r="A232" t="inlineStr">
        <is>
          <t>샘플종목03</t>
        </is>
      </c>
      <c r="B232" s="3" t="n">
        <v>45625</v>
      </c>
      <c r="C232" t="n">
        <v>19776</v>
      </c>
      <c r="D232" t="n">
        <v>5293352</v>
      </c>
      <c r="E232">
        <f>IF(A232="","",COUNTIFS($A$2:$A$20000,A232,$B$2:$B$20000,"&gt;"&amp;B232)+1)</f>
        <v/>
      </c>
    </row>
    <row r="233">
      <c r="A233" t="inlineStr">
        <is>
          <t>샘플종목03</t>
        </is>
      </c>
      <c r="B233" s="3" t="n">
        <v>45632</v>
      </c>
      <c r="C233" t="n">
        <v>21868</v>
      </c>
      <c r="D233" t="n">
        <v>3755182</v>
      </c>
      <c r="E233">
        <f>IF(A233="","",COUNTIFS($A$2:$A$20000,A233,$B$2:$B$20000,"&gt;"&amp;B233)+1)</f>
        <v/>
      </c>
    </row>
    <row r="234">
      <c r="A234" t="inlineStr">
        <is>
          <t>샘플종목03</t>
        </is>
      </c>
      <c r="B234" s="3" t="n">
        <v>45639</v>
      </c>
      <c r="C234" t="n">
        <v>21887</v>
      </c>
      <c r="D234" t="n">
        <v>6502632</v>
      </c>
      <c r="E234">
        <f>IF(A234="","",COUNTIFS($A$2:$A$20000,A234,$B$2:$B$20000,"&gt;"&amp;B234)+1)</f>
        <v/>
      </c>
    </row>
    <row r="235">
      <c r="A235" t="inlineStr">
        <is>
          <t>샘플종목03</t>
        </is>
      </c>
      <c r="B235" s="3" t="n">
        <v>45646</v>
      </c>
      <c r="C235" t="n">
        <v>21962</v>
      </c>
      <c r="D235" t="n">
        <v>1507450</v>
      </c>
      <c r="E235">
        <f>IF(A235="","",COUNTIFS($A$2:$A$20000,A235,$B$2:$B$20000,"&gt;"&amp;B235)+1)</f>
        <v/>
      </c>
    </row>
    <row r="236">
      <c r="A236" t="inlineStr">
        <is>
          <t>샘플종목03</t>
        </is>
      </c>
      <c r="B236" s="3" t="n">
        <v>45653</v>
      </c>
      <c r="C236" t="n">
        <v>20981</v>
      </c>
      <c r="D236" t="n">
        <v>3471885</v>
      </c>
      <c r="E236">
        <f>IF(A236="","",COUNTIFS($A$2:$A$20000,A236,$B$2:$B$20000,"&gt;"&amp;B236)+1)</f>
        <v/>
      </c>
    </row>
    <row r="237">
      <c r="A237" t="inlineStr">
        <is>
          <t>샘플종목03</t>
        </is>
      </c>
      <c r="B237" s="3" t="n">
        <v>45660</v>
      </c>
      <c r="C237" t="n">
        <v>21180</v>
      </c>
      <c r="D237" t="n">
        <v>4263759</v>
      </c>
      <c r="E237">
        <f>IF(A237="","",COUNTIFS($A$2:$A$20000,A237,$B$2:$B$20000,"&gt;"&amp;B237)+1)</f>
        <v/>
      </c>
    </row>
    <row r="238">
      <c r="A238" t="inlineStr">
        <is>
          <t>샘플종목03</t>
        </is>
      </c>
      <c r="B238" s="3" t="n">
        <v>45667</v>
      </c>
      <c r="C238" t="n">
        <v>21138</v>
      </c>
      <c r="D238" t="n">
        <v>4532015</v>
      </c>
      <c r="E238">
        <f>IF(A238="","",COUNTIFS($A$2:$A$20000,A238,$B$2:$B$20000,"&gt;"&amp;B238)+1)</f>
        <v/>
      </c>
    </row>
    <row r="239">
      <c r="A239" t="inlineStr">
        <is>
          <t>샘플종목03</t>
        </is>
      </c>
      <c r="B239" s="3" t="n">
        <v>45674</v>
      </c>
      <c r="C239" t="n">
        <v>21178</v>
      </c>
      <c r="D239" t="n">
        <v>1605812</v>
      </c>
      <c r="E239">
        <f>IF(A239="","",COUNTIFS($A$2:$A$20000,A239,$B$2:$B$20000,"&gt;"&amp;B239)+1)</f>
        <v/>
      </c>
    </row>
    <row r="240">
      <c r="A240" t="inlineStr">
        <is>
          <t>샘플종목03</t>
        </is>
      </c>
      <c r="B240" s="3" t="n">
        <v>45681</v>
      </c>
      <c r="C240" t="n">
        <v>21917</v>
      </c>
      <c r="D240" t="n">
        <v>6709864</v>
      </c>
      <c r="E240">
        <f>IF(A240="","",COUNTIFS($A$2:$A$20000,A240,$B$2:$B$20000,"&gt;"&amp;B240)+1)</f>
        <v/>
      </c>
    </row>
    <row r="241">
      <c r="A241" t="inlineStr">
        <is>
          <t>샘플종목03</t>
        </is>
      </c>
      <c r="B241" s="3" t="n">
        <v>45688</v>
      </c>
      <c r="C241" t="n">
        <v>22877</v>
      </c>
      <c r="D241" t="n">
        <v>477389</v>
      </c>
      <c r="E241">
        <f>IF(A241="","",COUNTIFS($A$2:$A$20000,A241,$B$2:$B$20000,"&gt;"&amp;B241)+1)</f>
        <v/>
      </c>
    </row>
    <row r="242">
      <c r="A242" t="inlineStr">
        <is>
          <t>샘플종목03</t>
        </is>
      </c>
      <c r="B242" s="3" t="n">
        <v>45695</v>
      </c>
      <c r="C242" t="n">
        <v>22527</v>
      </c>
      <c r="D242" t="n">
        <v>1517384</v>
      </c>
      <c r="E242">
        <f>IF(A242="","",COUNTIFS($A$2:$A$20000,A242,$B$2:$B$20000,"&gt;"&amp;B242)+1)</f>
        <v/>
      </c>
    </row>
    <row r="243">
      <c r="A243" t="inlineStr">
        <is>
          <t>샘플종목03</t>
        </is>
      </c>
      <c r="B243" s="3" t="n">
        <v>45702</v>
      </c>
      <c r="C243" t="n">
        <v>23780</v>
      </c>
      <c r="D243" t="n">
        <v>9924457</v>
      </c>
      <c r="E243">
        <f>IF(A243="","",COUNTIFS($A$2:$A$20000,A243,$B$2:$B$20000,"&gt;"&amp;B243)+1)</f>
        <v/>
      </c>
    </row>
    <row r="244">
      <c r="A244" t="inlineStr">
        <is>
          <t>샘플종목03</t>
        </is>
      </c>
      <c r="B244" s="3" t="n">
        <v>45709</v>
      </c>
      <c r="C244" t="n">
        <v>25626</v>
      </c>
      <c r="D244" t="n">
        <v>2704698</v>
      </c>
      <c r="E244">
        <f>IF(A244="","",COUNTIFS($A$2:$A$20000,A244,$B$2:$B$20000,"&gt;"&amp;B244)+1)</f>
        <v/>
      </c>
    </row>
    <row r="245">
      <c r="A245" t="inlineStr">
        <is>
          <t>샘플종목03</t>
        </is>
      </c>
      <c r="B245" s="3" t="n">
        <v>45716</v>
      </c>
      <c r="C245" t="n">
        <v>25149</v>
      </c>
      <c r="D245" t="n">
        <v>6635001</v>
      </c>
      <c r="E245">
        <f>IF(A245="","",COUNTIFS($A$2:$A$20000,A245,$B$2:$B$20000,"&gt;"&amp;B245)+1)</f>
        <v/>
      </c>
    </row>
    <row r="246">
      <c r="A246" t="inlineStr">
        <is>
          <t>샘플종목03</t>
        </is>
      </c>
      <c r="B246" s="3" t="n">
        <v>45723</v>
      </c>
      <c r="C246" t="n">
        <v>25343</v>
      </c>
      <c r="D246" t="n">
        <v>8391145</v>
      </c>
      <c r="E246">
        <f>IF(A246="","",COUNTIFS($A$2:$A$20000,A246,$B$2:$B$20000,"&gt;"&amp;B246)+1)</f>
        <v/>
      </c>
    </row>
    <row r="247">
      <c r="A247" t="inlineStr">
        <is>
          <t>샘플종목03</t>
        </is>
      </c>
      <c r="B247" s="3" t="n">
        <v>45730</v>
      </c>
      <c r="C247" t="n">
        <v>23782</v>
      </c>
      <c r="D247" t="n">
        <v>2607575</v>
      </c>
      <c r="E247">
        <f>IF(A247="","",COUNTIFS($A$2:$A$20000,A247,$B$2:$B$20000,"&gt;"&amp;B247)+1)</f>
        <v/>
      </c>
    </row>
    <row r="248">
      <c r="A248" t="inlineStr">
        <is>
          <t>샘플종목03</t>
        </is>
      </c>
      <c r="B248" s="3" t="n">
        <v>45737</v>
      </c>
      <c r="C248" t="n">
        <v>23548</v>
      </c>
      <c r="D248" t="n">
        <v>2528539</v>
      </c>
      <c r="E248">
        <f>IF(A248="","",COUNTIFS($A$2:$A$20000,A248,$B$2:$B$20000,"&gt;"&amp;B248)+1)</f>
        <v/>
      </c>
    </row>
    <row r="249">
      <c r="A249" t="inlineStr">
        <is>
          <t>샘플종목03</t>
        </is>
      </c>
      <c r="B249" s="3" t="n">
        <v>45744</v>
      </c>
      <c r="C249" t="n">
        <v>24873</v>
      </c>
      <c r="D249" t="n">
        <v>834641</v>
      </c>
      <c r="E249">
        <f>IF(A249="","",COUNTIFS($A$2:$A$20000,A249,$B$2:$B$20000,"&gt;"&amp;B249)+1)</f>
        <v/>
      </c>
    </row>
    <row r="250">
      <c r="A250" t="inlineStr">
        <is>
          <t>샘플종목03</t>
        </is>
      </c>
      <c r="B250" s="3" t="n">
        <v>45751</v>
      </c>
      <c r="C250" t="n">
        <v>25637</v>
      </c>
      <c r="D250" t="n">
        <v>8706396</v>
      </c>
      <c r="E250">
        <f>IF(A250="","",COUNTIFS($A$2:$A$20000,A250,$B$2:$B$20000,"&gt;"&amp;B250)+1)</f>
        <v/>
      </c>
    </row>
    <row r="251">
      <c r="A251" t="inlineStr">
        <is>
          <t>샘플종목03</t>
        </is>
      </c>
      <c r="B251" s="3" t="n">
        <v>45758</v>
      </c>
      <c r="C251" t="n">
        <v>24240</v>
      </c>
      <c r="D251" t="n">
        <v>7301531</v>
      </c>
      <c r="E251">
        <f>IF(A251="","",COUNTIFS($A$2:$A$20000,A251,$B$2:$B$20000,"&gt;"&amp;B251)+1)</f>
        <v/>
      </c>
    </row>
    <row r="252">
      <c r="A252" t="inlineStr">
        <is>
          <t>샘플종목03</t>
        </is>
      </c>
      <c r="B252" s="3" t="n">
        <v>45765</v>
      </c>
      <c r="C252" t="n">
        <v>24109</v>
      </c>
      <c r="D252" t="n">
        <v>2437193</v>
      </c>
      <c r="E252">
        <f>IF(A252="","",COUNTIFS($A$2:$A$20000,A252,$B$2:$B$20000,"&gt;"&amp;B252)+1)</f>
        <v/>
      </c>
    </row>
    <row r="253">
      <c r="A253" t="inlineStr">
        <is>
          <t>샘플종목03</t>
        </is>
      </c>
      <c r="B253" s="3" t="n">
        <v>45772</v>
      </c>
      <c r="C253" t="n">
        <v>22402</v>
      </c>
      <c r="D253" t="n">
        <v>8887189</v>
      </c>
      <c r="E253">
        <f>IF(A253="","",COUNTIFS($A$2:$A$20000,A253,$B$2:$B$20000,"&gt;"&amp;B253)+1)</f>
        <v/>
      </c>
    </row>
    <row r="254">
      <c r="A254" t="inlineStr">
        <is>
          <t>샘플종목03</t>
        </is>
      </c>
      <c r="B254" s="3" t="n">
        <v>45779</v>
      </c>
      <c r="C254" t="n">
        <v>22468</v>
      </c>
      <c r="D254" t="n">
        <v>369773</v>
      </c>
      <c r="E254">
        <f>IF(A254="","",COUNTIFS($A$2:$A$20000,A254,$B$2:$B$20000,"&gt;"&amp;B254)+1)</f>
        <v/>
      </c>
    </row>
    <row r="255">
      <c r="A255" t="inlineStr">
        <is>
          <t>샘플종목03</t>
        </is>
      </c>
      <c r="B255" s="3" t="n">
        <v>45786</v>
      </c>
      <c r="C255" t="n">
        <v>21348</v>
      </c>
      <c r="D255" t="n">
        <v>9898926</v>
      </c>
      <c r="E255">
        <f>IF(A255="","",COUNTIFS($A$2:$A$20000,A255,$B$2:$B$20000,"&gt;"&amp;B255)+1)</f>
        <v/>
      </c>
    </row>
    <row r="256">
      <c r="A256" t="inlineStr">
        <is>
          <t>샘플종목03</t>
        </is>
      </c>
      <c r="B256" s="3" t="n">
        <v>45793</v>
      </c>
      <c r="C256" t="n">
        <v>21790</v>
      </c>
      <c r="D256" t="n">
        <v>3957765</v>
      </c>
      <c r="E256">
        <f>IF(A256="","",COUNTIFS($A$2:$A$20000,A256,$B$2:$B$20000,"&gt;"&amp;B256)+1)</f>
        <v/>
      </c>
    </row>
    <row r="257">
      <c r="A257" t="inlineStr">
        <is>
          <t>샘플종목03</t>
        </is>
      </c>
      <c r="B257" s="3" t="n">
        <v>45800</v>
      </c>
      <c r="C257" t="n">
        <v>20522</v>
      </c>
      <c r="D257" t="n">
        <v>1527601</v>
      </c>
      <c r="E257">
        <f>IF(A257="","",COUNTIFS($A$2:$A$20000,A257,$B$2:$B$20000,"&gt;"&amp;B257)+1)</f>
        <v/>
      </c>
    </row>
    <row r="258">
      <c r="A258" t="inlineStr">
        <is>
          <t>샘플종목03</t>
        </is>
      </c>
      <c r="B258" s="3" t="n">
        <v>45807</v>
      </c>
      <c r="C258" t="n">
        <v>20993</v>
      </c>
      <c r="D258" t="n">
        <v>6151667</v>
      </c>
      <c r="E258">
        <f>IF(A258="","",COUNTIFS($A$2:$A$20000,A258,$B$2:$B$20000,"&gt;"&amp;B258)+1)</f>
        <v/>
      </c>
    </row>
    <row r="259">
      <c r="A259" t="inlineStr">
        <is>
          <t>샘플종목03</t>
        </is>
      </c>
      <c r="B259" s="3" t="n">
        <v>45814</v>
      </c>
      <c r="C259" t="n">
        <v>21123</v>
      </c>
      <c r="D259" t="n">
        <v>1860206</v>
      </c>
      <c r="E259">
        <f>IF(A259="","",COUNTIFS($A$2:$A$20000,A259,$B$2:$B$20000,"&gt;"&amp;B259)+1)</f>
        <v/>
      </c>
    </row>
    <row r="260">
      <c r="A260" t="inlineStr">
        <is>
          <t>샘플종목03</t>
        </is>
      </c>
      <c r="B260" s="3" t="n">
        <v>45821</v>
      </c>
      <c r="C260" t="n">
        <v>20504</v>
      </c>
      <c r="D260" t="n">
        <v>951952</v>
      </c>
      <c r="E260">
        <f>IF(A260="","",COUNTIFS($A$2:$A$20000,A260,$B$2:$B$20000,"&gt;"&amp;B260)+1)</f>
        <v/>
      </c>
    </row>
    <row r="261">
      <c r="A261" t="inlineStr">
        <is>
          <t>샘플종목03</t>
        </is>
      </c>
      <c r="B261" s="3" t="n">
        <v>45828</v>
      </c>
      <c r="C261" t="n">
        <v>21174</v>
      </c>
      <c r="D261" t="n">
        <v>416094</v>
      </c>
      <c r="E261">
        <f>IF(A261="","",COUNTIFS($A$2:$A$20000,A261,$B$2:$B$20000,"&gt;"&amp;B261)+1)</f>
        <v/>
      </c>
    </row>
    <row r="262">
      <c r="A262" t="inlineStr">
        <is>
          <t>샘플종목03</t>
        </is>
      </c>
      <c r="B262" s="3" t="n">
        <v>45835</v>
      </c>
      <c r="C262" t="n">
        <v>20318</v>
      </c>
      <c r="D262" t="n">
        <v>8308996</v>
      </c>
      <c r="E262">
        <f>IF(A262="","",COUNTIFS($A$2:$A$20000,A262,$B$2:$B$20000,"&gt;"&amp;B262)+1)</f>
        <v/>
      </c>
    </row>
    <row r="263">
      <c r="A263" t="inlineStr">
        <is>
          <t>샘플종목03</t>
        </is>
      </c>
      <c r="B263" s="3" t="n">
        <v>45842</v>
      </c>
      <c r="C263" t="n">
        <v>19484</v>
      </c>
      <c r="D263" t="n">
        <v>4525710</v>
      </c>
      <c r="E263">
        <f>IF(A263="","",COUNTIFS($A$2:$A$20000,A263,$B$2:$B$20000,"&gt;"&amp;B263)+1)</f>
        <v/>
      </c>
    </row>
    <row r="264">
      <c r="A264" t="inlineStr">
        <is>
          <t>샘플종목03</t>
        </is>
      </c>
      <c r="B264" s="3" t="n">
        <v>45849</v>
      </c>
      <c r="C264" t="n">
        <v>20916</v>
      </c>
      <c r="D264" t="n">
        <v>8538453</v>
      </c>
      <c r="E264">
        <f>IF(A264="","",COUNTIFS($A$2:$A$20000,A264,$B$2:$B$20000,"&gt;"&amp;B264)+1)</f>
        <v/>
      </c>
    </row>
    <row r="265">
      <c r="A265" t="inlineStr">
        <is>
          <t>샘플종목03</t>
        </is>
      </c>
      <c r="B265" s="3" t="n">
        <v>45856</v>
      </c>
      <c r="C265" t="n">
        <v>20989</v>
      </c>
      <c r="D265" t="n">
        <v>9079162</v>
      </c>
      <c r="E265">
        <f>IF(A265="","",COUNTIFS($A$2:$A$20000,A265,$B$2:$B$20000,"&gt;"&amp;B265)+1)</f>
        <v/>
      </c>
    </row>
    <row r="266">
      <c r="A266" t="inlineStr">
        <is>
          <t>샘플종목03</t>
        </is>
      </c>
      <c r="B266" s="3" t="n">
        <v>45863</v>
      </c>
      <c r="C266" t="n">
        <v>21890</v>
      </c>
      <c r="D266" t="n">
        <v>8050025</v>
      </c>
      <c r="E266">
        <f>IF(A266="","",COUNTIFS($A$2:$A$20000,A266,$B$2:$B$20000,"&gt;"&amp;B266)+1)</f>
        <v/>
      </c>
    </row>
    <row r="267">
      <c r="A267" t="inlineStr">
        <is>
          <t>샘플종목03</t>
        </is>
      </c>
      <c r="B267" s="3" t="n">
        <v>45870</v>
      </c>
      <c r="C267" t="n">
        <v>22518</v>
      </c>
      <c r="D267" t="n">
        <v>4331105</v>
      </c>
      <c r="E267">
        <f>IF(A267="","",COUNTIFS($A$2:$A$20000,A267,$B$2:$B$20000,"&gt;"&amp;B267)+1)</f>
        <v/>
      </c>
    </row>
    <row r="268">
      <c r="A268" t="inlineStr">
        <is>
          <t>샘플종목03</t>
        </is>
      </c>
      <c r="B268" s="3" t="n">
        <v>45877</v>
      </c>
      <c r="C268" t="n">
        <v>23197</v>
      </c>
      <c r="D268" t="n">
        <v>4039049</v>
      </c>
      <c r="E268">
        <f>IF(A268="","",COUNTIFS($A$2:$A$20000,A268,$B$2:$B$20000,"&gt;"&amp;B268)+1)</f>
        <v/>
      </c>
    </row>
    <row r="269">
      <c r="A269" t="inlineStr">
        <is>
          <t>샘플종목03</t>
        </is>
      </c>
      <c r="B269" s="3" t="n">
        <v>45884</v>
      </c>
      <c r="C269" t="n">
        <v>21571</v>
      </c>
      <c r="D269" t="n">
        <v>3542978</v>
      </c>
      <c r="E269">
        <f>IF(A269="","",COUNTIFS($A$2:$A$20000,A269,$B$2:$B$20000,"&gt;"&amp;B269)+1)</f>
        <v/>
      </c>
    </row>
    <row r="270">
      <c r="A270" t="inlineStr">
        <is>
          <t>샘플종목03</t>
        </is>
      </c>
      <c r="B270" s="3" t="n">
        <v>45891</v>
      </c>
      <c r="C270" t="n">
        <v>21765</v>
      </c>
      <c r="D270" t="n">
        <v>7823224</v>
      </c>
      <c r="E270">
        <f>IF(A270="","",COUNTIFS($A$2:$A$20000,A270,$B$2:$B$20000,"&gt;"&amp;B270)+1)</f>
        <v/>
      </c>
    </row>
    <row r="271">
      <c r="A271" t="inlineStr">
        <is>
          <t>샘플종목03</t>
        </is>
      </c>
      <c r="B271" s="3" t="n">
        <v>45898</v>
      </c>
      <c r="C271" t="n">
        <v>23060</v>
      </c>
      <c r="D271" t="n">
        <v>8387085</v>
      </c>
      <c r="E271">
        <f>IF(A271="","",COUNTIFS($A$2:$A$20000,A271,$B$2:$B$20000,"&gt;"&amp;B271)+1)</f>
        <v/>
      </c>
    </row>
    <row r="272">
      <c r="A272" t="inlineStr">
        <is>
          <t>샘플종목03</t>
        </is>
      </c>
      <c r="B272" s="3" t="n">
        <v>45905</v>
      </c>
      <c r="C272" t="n">
        <v>23315</v>
      </c>
      <c r="D272" t="n">
        <v>4920415</v>
      </c>
      <c r="E272">
        <f>IF(A272="","",COUNTIFS($A$2:$A$20000,A272,$B$2:$B$20000,"&gt;"&amp;B272)+1)</f>
        <v/>
      </c>
    </row>
    <row r="273">
      <c r="A273" t="inlineStr">
        <is>
          <t>샘플종목03</t>
        </is>
      </c>
      <c r="B273" s="3" t="n">
        <v>45912</v>
      </c>
      <c r="C273" t="n">
        <v>23054</v>
      </c>
      <c r="D273" t="n">
        <v>884292</v>
      </c>
      <c r="E273">
        <f>IF(A273="","",COUNTIFS($A$2:$A$20000,A273,$B$2:$B$20000,"&gt;"&amp;B273)+1)</f>
        <v/>
      </c>
    </row>
    <row r="274">
      <c r="A274" t="inlineStr">
        <is>
          <t>샘플종목03</t>
        </is>
      </c>
      <c r="B274" s="3" t="n">
        <v>45919</v>
      </c>
      <c r="C274" t="n">
        <v>22118</v>
      </c>
      <c r="D274" t="n">
        <v>1399761</v>
      </c>
      <c r="E274">
        <f>IF(A274="","",COUNTIFS($A$2:$A$20000,A274,$B$2:$B$20000,"&gt;"&amp;B274)+1)</f>
        <v/>
      </c>
    </row>
    <row r="275">
      <c r="A275" t="inlineStr">
        <is>
          <t>샘플종목03</t>
        </is>
      </c>
      <c r="B275" s="3" t="n">
        <v>45926</v>
      </c>
      <c r="C275" t="n">
        <v>21311</v>
      </c>
      <c r="D275" t="n">
        <v>2573382</v>
      </c>
      <c r="E275">
        <f>IF(A275="","",COUNTIFS($A$2:$A$20000,A275,$B$2:$B$20000,"&gt;"&amp;B275)+1)</f>
        <v/>
      </c>
    </row>
    <row r="276">
      <c r="A276" t="inlineStr">
        <is>
          <t>샘플종목03</t>
        </is>
      </c>
      <c r="B276" s="3" t="n">
        <v>45933</v>
      </c>
      <c r="C276" t="n">
        <v>20746</v>
      </c>
      <c r="D276" t="n">
        <v>5207272</v>
      </c>
      <c r="E276">
        <f>IF(A276="","",COUNTIFS($A$2:$A$20000,A276,$B$2:$B$20000,"&gt;"&amp;B276)+1)</f>
        <v/>
      </c>
    </row>
    <row r="277">
      <c r="A277" t="inlineStr">
        <is>
          <t>샘플종목03</t>
        </is>
      </c>
      <c r="B277" s="3" t="n">
        <v>45940</v>
      </c>
      <c r="C277" t="n">
        <v>21836</v>
      </c>
      <c r="D277" t="n">
        <v>9625460</v>
      </c>
      <c r="E277">
        <f>IF(A277="","",COUNTIFS($A$2:$A$20000,A277,$B$2:$B$20000,"&gt;"&amp;B277)+1)</f>
        <v/>
      </c>
    </row>
    <row r="278">
      <c r="A278" t="inlineStr">
        <is>
          <t>샘플종목03</t>
        </is>
      </c>
      <c r="B278" s="3" t="n">
        <v>45947</v>
      </c>
      <c r="C278" t="n">
        <v>22550</v>
      </c>
      <c r="D278" t="n">
        <v>8250338</v>
      </c>
      <c r="E278">
        <f>IF(A278="","",COUNTIFS($A$2:$A$20000,A278,$B$2:$B$20000,"&gt;"&amp;B278)+1)</f>
        <v/>
      </c>
    </row>
    <row r="279">
      <c r="A279" t="inlineStr">
        <is>
          <t>샘플종목03</t>
        </is>
      </c>
      <c r="B279" s="3" t="n">
        <v>45954</v>
      </c>
      <c r="C279" t="n">
        <v>23365</v>
      </c>
      <c r="D279" t="n">
        <v>4609258</v>
      </c>
      <c r="E279">
        <f>IF(A279="","",COUNTIFS($A$2:$A$20000,A279,$B$2:$B$20000,"&gt;"&amp;B279)+1)</f>
        <v/>
      </c>
    </row>
    <row r="280">
      <c r="A280" t="inlineStr">
        <is>
          <t>샘플종목03</t>
        </is>
      </c>
      <c r="B280" s="3" t="n">
        <v>45961</v>
      </c>
      <c r="C280" t="n">
        <v>23834</v>
      </c>
      <c r="D280" t="n">
        <v>3752290</v>
      </c>
      <c r="E280">
        <f>IF(A280="","",COUNTIFS($A$2:$A$20000,A280,$B$2:$B$20000,"&gt;"&amp;B280)+1)</f>
        <v/>
      </c>
    </row>
    <row r="281">
      <c r="A281" t="inlineStr">
        <is>
          <t>샘플종목03</t>
        </is>
      </c>
      <c r="B281" s="3" t="n">
        <v>45968</v>
      </c>
      <c r="C281" t="n">
        <v>23806</v>
      </c>
      <c r="D281" t="n">
        <v>8314365</v>
      </c>
      <c r="E281">
        <f>IF(A281="","",COUNTIFS($A$2:$A$20000,A281,$B$2:$B$20000,"&gt;"&amp;B281)+1)</f>
        <v/>
      </c>
    </row>
    <row r="282">
      <c r="A282" t="inlineStr">
        <is>
          <t>샘플종목03</t>
        </is>
      </c>
      <c r="B282" s="3" t="n">
        <v>45975</v>
      </c>
      <c r="C282" t="n">
        <v>23562</v>
      </c>
      <c r="D282" t="n">
        <v>7895749</v>
      </c>
      <c r="E282">
        <f>IF(A282="","",COUNTIFS($A$2:$A$20000,A282,$B$2:$B$20000,"&gt;"&amp;B282)+1)</f>
        <v/>
      </c>
    </row>
    <row r="283">
      <c r="A283" t="inlineStr">
        <is>
          <t>샘플종목03</t>
        </is>
      </c>
      <c r="B283" s="3" t="n">
        <v>45982</v>
      </c>
      <c r="C283" t="n">
        <v>24709</v>
      </c>
      <c r="D283" t="n">
        <v>7916464</v>
      </c>
      <c r="E283">
        <f>IF(A283="","",COUNTIFS($A$2:$A$20000,A283,$B$2:$B$20000,"&gt;"&amp;B283)+1)</f>
        <v/>
      </c>
    </row>
    <row r="284">
      <c r="A284" t="inlineStr">
        <is>
          <t>샘플종목03</t>
        </is>
      </c>
      <c r="B284" s="3" t="n">
        <v>45989</v>
      </c>
      <c r="C284" t="n">
        <v>24273</v>
      </c>
      <c r="D284" t="n">
        <v>9311975</v>
      </c>
      <c r="E284">
        <f>IF(A284="","",COUNTIFS($A$2:$A$20000,A284,$B$2:$B$20000,"&gt;"&amp;B284)+1)</f>
        <v/>
      </c>
    </row>
    <row r="285">
      <c r="A285" t="inlineStr">
        <is>
          <t>샘플종목03</t>
        </is>
      </c>
      <c r="B285" s="3" t="n">
        <v>45996</v>
      </c>
      <c r="C285" t="n">
        <v>24424</v>
      </c>
      <c r="D285" t="n">
        <v>3442860</v>
      </c>
      <c r="E285">
        <f>IF(A285="","",COUNTIFS($A$2:$A$20000,A285,$B$2:$B$20000,"&gt;"&amp;B285)+1)</f>
        <v/>
      </c>
    </row>
    <row r="286">
      <c r="A286" t="inlineStr">
        <is>
          <t>샘플종목03</t>
        </is>
      </c>
      <c r="B286" s="3" t="n">
        <v>46003</v>
      </c>
      <c r="C286" t="n">
        <v>24316</v>
      </c>
      <c r="D286" t="n">
        <v>8034703</v>
      </c>
      <c r="E286">
        <f>IF(A286="","",COUNTIFS($A$2:$A$20000,A286,$B$2:$B$20000,"&gt;"&amp;B286)+1)</f>
        <v/>
      </c>
    </row>
    <row r="287">
      <c r="A287" t="inlineStr">
        <is>
          <t>샘플종목03</t>
        </is>
      </c>
      <c r="B287" s="3" t="n">
        <v>46010</v>
      </c>
      <c r="C287" t="n">
        <v>24746</v>
      </c>
      <c r="D287" t="n">
        <v>393676</v>
      </c>
      <c r="E287">
        <f>IF(A287="","",COUNTIFS($A$2:$A$20000,A287,$B$2:$B$20000,"&gt;"&amp;B287)+1)</f>
        <v/>
      </c>
    </row>
    <row r="288">
      <c r="A288" t="inlineStr">
        <is>
          <t>샘플종목03</t>
        </is>
      </c>
      <c r="B288" s="3" t="n">
        <v>46017</v>
      </c>
      <c r="C288" t="n">
        <v>24698</v>
      </c>
      <c r="D288" t="n">
        <v>8599648</v>
      </c>
      <c r="E288">
        <f>IF(A288="","",COUNTIFS($A$2:$A$20000,A288,$B$2:$B$20000,"&gt;"&amp;B288)+1)</f>
        <v/>
      </c>
    </row>
    <row r="289">
      <c r="A289" t="inlineStr">
        <is>
          <t>샘플종목03</t>
        </is>
      </c>
      <c r="B289" s="3" t="n">
        <v>46024</v>
      </c>
      <c r="C289" t="n">
        <v>25130</v>
      </c>
      <c r="D289" t="n">
        <v>7640535</v>
      </c>
      <c r="E289">
        <f>IF(A289="","",COUNTIFS($A$2:$A$20000,A289,$B$2:$B$20000,"&gt;"&amp;B289)+1)</f>
        <v/>
      </c>
    </row>
    <row r="290">
      <c r="A290" t="inlineStr">
        <is>
          <t>샘플종목03</t>
        </is>
      </c>
      <c r="B290" s="3" t="n">
        <v>46031</v>
      </c>
      <c r="C290" t="n">
        <v>26173</v>
      </c>
      <c r="D290" t="n">
        <v>3635107</v>
      </c>
      <c r="E290">
        <f>IF(A290="","",COUNTIFS($A$2:$A$20000,A290,$B$2:$B$20000,"&gt;"&amp;B290)+1)</f>
        <v/>
      </c>
    </row>
    <row r="291">
      <c r="A291" t="inlineStr">
        <is>
          <t>샘플종목03</t>
        </is>
      </c>
      <c r="B291" s="3" t="n">
        <v>46038</v>
      </c>
      <c r="C291" t="n">
        <v>26187</v>
      </c>
      <c r="D291" t="n">
        <v>1351796</v>
      </c>
      <c r="E291">
        <f>IF(A291="","",COUNTIFS($A$2:$A$20000,A291,$B$2:$B$20000,"&gt;"&amp;B291)+1)</f>
        <v/>
      </c>
    </row>
    <row r="292">
      <c r="A292" t="inlineStr">
        <is>
          <t>샘플종목03</t>
        </is>
      </c>
      <c r="B292" s="3" t="n">
        <v>46045</v>
      </c>
      <c r="C292" t="n">
        <v>25734</v>
      </c>
      <c r="D292" t="n">
        <v>8892363</v>
      </c>
      <c r="E292">
        <f>IF(A292="","",COUNTIFS($A$2:$A$20000,A292,$B$2:$B$20000,"&gt;"&amp;B292)+1)</f>
        <v/>
      </c>
    </row>
    <row r="293">
      <c r="A293" t="inlineStr">
        <is>
          <t>샘플종목03</t>
        </is>
      </c>
      <c r="B293" s="3" t="n">
        <v>46052</v>
      </c>
      <c r="C293" t="n">
        <v>25507</v>
      </c>
      <c r="D293" t="n">
        <v>4492425</v>
      </c>
      <c r="E293">
        <f>IF(A293="","",COUNTIFS($A$2:$A$20000,A293,$B$2:$B$20000,"&gt;"&amp;B293)+1)</f>
        <v/>
      </c>
    </row>
    <row r="294">
      <c r="A294" t="inlineStr">
        <is>
          <t>샘플종목03</t>
        </is>
      </c>
      <c r="B294" s="3" t="n">
        <v>46059</v>
      </c>
      <c r="C294" t="n">
        <v>26078</v>
      </c>
      <c r="D294" t="n">
        <v>8635313</v>
      </c>
      <c r="E294">
        <f>IF(A294="","",COUNTIFS($A$2:$A$20000,A294,$B$2:$B$20000,"&gt;"&amp;B294)+1)</f>
        <v/>
      </c>
    </row>
    <row r="295">
      <c r="A295" t="inlineStr">
        <is>
          <t>샘플종목03</t>
        </is>
      </c>
      <c r="B295" s="3" t="n">
        <v>46066</v>
      </c>
      <c r="C295" t="n">
        <v>25968</v>
      </c>
      <c r="D295" t="n">
        <v>4790370</v>
      </c>
      <c r="E295">
        <f>IF(A295="","",COUNTIFS($A$2:$A$20000,A295,$B$2:$B$20000,"&gt;"&amp;B295)+1)</f>
        <v/>
      </c>
    </row>
    <row r="296">
      <c r="A296" t="inlineStr">
        <is>
          <t>샘플종목03</t>
        </is>
      </c>
      <c r="B296" s="3" t="n">
        <v>46073</v>
      </c>
      <c r="C296" t="n">
        <v>27247</v>
      </c>
      <c r="D296" t="n">
        <v>3981972</v>
      </c>
      <c r="E296">
        <f>IF(A296="","",COUNTIFS($A$2:$A$20000,A296,$B$2:$B$20000,"&gt;"&amp;B296)+1)</f>
        <v/>
      </c>
    </row>
    <row r="297">
      <c r="A297" t="inlineStr">
        <is>
          <t>샘플종목03</t>
        </is>
      </c>
      <c r="B297" s="3" t="n">
        <v>46080</v>
      </c>
      <c r="C297" t="n">
        <v>26192</v>
      </c>
      <c r="D297" t="n">
        <v>8453173</v>
      </c>
      <c r="E297">
        <f>IF(A297="","",COUNTIFS($A$2:$A$20000,A297,$B$2:$B$20000,"&gt;"&amp;B297)+1)</f>
        <v/>
      </c>
    </row>
    <row r="298">
      <c r="A298" t="inlineStr">
        <is>
          <t>샘플종목03</t>
        </is>
      </c>
      <c r="B298" s="3" t="n">
        <v>46087</v>
      </c>
      <c r="C298" t="n">
        <v>27213</v>
      </c>
      <c r="D298" t="n">
        <v>516652</v>
      </c>
      <c r="E298">
        <f>IF(A298="","",COUNTIFS($A$2:$A$20000,A298,$B$2:$B$20000,"&gt;"&amp;B298)+1)</f>
        <v/>
      </c>
    </row>
    <row r="299">
      <c r="A299" t="inlineStr">
        <is>
          <t>샘플종목03</t>
        </is>
      </c>
      <c r="B299" s="3" t="n">
        <v>46094</v>
      </c>
      <c r="C299" t="n">
        <v>26514</v>
      </c>
      <c r="D299" t="n">
        <v>2768672</v>
      </c>
      <c r="E299">
        <f>IF(A299="","",COUNTIFS($A$2:$A$20000,A299,$B$2:$B$20000,"&gt;"&amp;B299)+1)</f>
        <v/>
      </c>
    </row>
    <row r="300">
      <c r="A300" t="inlineStr">
        <is>
          <t>샘플종목03</t>
        </is>
      </c>
      <c r="B300" s="3" t="n">
        <v>46101</v>
      </c>
      <c r="C300" t="n">
        <v>27801</v>
      </c>
      <c r="D300" t="n">
        <v>7662502</v>
      </c>
      <c r="E300">
        <f>IF(A300="","",COUNTIFS($A$2:$A$20000,A300,$B$2:$B$20000,"&gt;"&amp;B300)+1)</f>
        <v/>
      </c>
    </row>
    <row r="301">
      <c r="A301" t="inlineStr">
        <is>
          <t>샘플종목03</t>
        </is>
      </c>
      <c r="B301" s="3" t="n">
        <v>46108</v>
      </c>
      <c r="C301" t="n">
        <v>27885</v>
      </c>
      <c r="D301" t="n">
        <v>6901807</v>
      </c>
      <c r="E301">
        <f>IF(A301="","",COUNTIFS($A$2:$A$20000,A301,$B$2:$B$20000,"&gt;"&amp;B301)+1)</f>
        <v/>
      </c>
    </row>
    <row r="302">
      <c r="A302" t="inlineStr">
        <is>
          <t>샘플종목03</t>
        </is>
      </c>
      <c r="B302" s="3" t="n">
        <v>46115</v>
      </c>
      <c r="C302" t="n">
        <v>27744</v>
      </c>
      <c r="D302" t="n">
        <v>5870693</v>
      </c>
      <c r="E302">
        <f>IF(A302="","",COUNTIFS($A$2:$A$20000,A302,$B$2:$B$20000,"&gt;"&amp;B302)+1)</f>
        <v/>
      </c>
    </row>
    <row r="303">
      <c r="A303" t="inlineStr">
        <is>
          <t>샘플종목03</t>
        </is>
      </c>
      <c r="B303" s="3" t="n">
        <v>46122</v>
      </c>
      <c r="C303" t="n">
        <v>28379</v>
      </c>
      <c r="D303" t="n">
        <v>6410014</v>
      </c>
      <c r="E303">
        <f>IF(A303="","",COUNTIFS($A$2:$A$20000,A303,$B$2:$B$20000,"&gt;"&amp;B303)+1)</f>
        <v/>
      </c>
    </row>
    <row r="304">
      <c r="A304" t="inlineStr">
        <is>
          <t>샘플종목03</t>
        </is>
      </c>
      <c r="B304" s="3" t="n">
        <v>46129</v>
      </c>
      <c r="C304" t="n">
        <v>27558</v>
      </c>
      <c r="D304" t="n">
        <v>129215</v>
      </c>
      <c r="E304">
        <f>IF(A304="","",COUNTIFS($A$2:$A$20000,A304,$B$2:$B$20000,"&gt;"&amp;B304)+1)</f>
        <v/>
      </c>
    </row>
    <row r="305">
      <c r="A305" t="inlineStr">
        <is>
          <t>샘플종목03</t>
        </is>
      </c>
      <c r="B305" s="3" t="n">
        <v>46136</v>
      </c>
      <c r="C305" t="n">
        <v>29545</v>
      </c>
      <c r="D305" t="n">
        <v>5545004</v>
      </c>
      <c r="E305">
        <f>IF(A305="","",COUNTIFS($A$2:$A$20000,A305,$B$2:$B$20000,"&gt;"&amp;B305)+1)</f>
        <v/>
      </c>
    </row>
    <row r="306">
      <c r="A306" t="inlineStr">
        <is>
          <t>샘플종목03</t>
        </is>
      </c>
      <c r="B306" s="3" t="n">
        <v>46143</v>
      </c>
      <c r="C306" t="n">
        <v>29615</v>
      </c>
      <c r="D306" t="n">
        <v>2113959</v>
      </c>
      <c r="E306">
        <f>IF(A306="","",COUNTIFS($A$2:$A$20000,A306,$B$2:$B$20000,"&gt;"&amp;B306)+1)</f>
        <v/>
      </c>
    </row>
    <row r="307">
      <c r="A307" t="inlineStr">
        <is>
          <t>샘플종목03</t>
        </is>
      </c>
      <c r="B307" s="3" t="n">
        <v>46150</v>
      </c>
      <c r="C307" t="n">
        <v>27410</v>
      </c>
      <c r="D307" t="n">
        <v>3383991</v>
      </c>
      <c r="E307">
        <f>IF(A307="","",COUNTIFS($A$2:$A$20000,A307,$B$2:$B$20000,"&gt;"&amp;B307)+1)</f>
        <v/>
      </c>
    </row>
    <row r="308">
      <c r="A308" t="inlineStr">
        <is>
          <t>샘플종목03</t>
        </is>
      </c>
      <c r="B308" s="3" t="n">
        <v>46157</v>
      </c>
      <c r="C308" t="n">
        <v>26921</v>
      </c>
      <c r="D308" t="n">
        <v>4962590</v>
      </c>
      <c r="E308">
        <f>IF(A308="","",COUNTIFS($A$2:$A$20000,A308,$B$2:$B$20000,"&gt;"&amp;B308)+1)</f>
        <v/>
      </c>
    </row>
    <row r="309">
      <c r="A309" t="inlineStr">
        <is>
          <t>샘플종목03</t>
        </is>
      </c>
      <c r="B309" s="3" t="n">
        <v>46164</v>
      </c>
      <c r="C309" t="n">
        <v>24718</v>
      </c>
      <c r="D309" t="n">
        <v>4348196</v>
      </c>
      <c r="E309">
        <f>IF(A309="","",COUNTIFS($A$2:$A$20000,A309,$B$2:$B$20000,"&gt;"&amp;B309)+1)</f>
        <v/>
      </c>
    </row>
    <row r="310">
      <c r="A310" t="inlineStr">
        <is>
          <t>샘플종목03</t>
        </is>
      </c>
      <c r="B310" s="3" t="n">
        <v>46171</v>
      </c>
      <c r="C310" t="n">
        <v>24082</v>
      </c>
      <c r="D310" t="n">
        <v>9984744</v>
      </c>
      <c r="E310">
        <f>IF(A310="","",COUNTIFS($A$2:$A$20000,A310,$B$2:$B$20000,"&gt;"&amp;B310)+1)</f>
        <v/>
      </c>
    </row>
    <row r="311">
      <c r="A311" t="inlineStr">
        <is>
          <t>샘플종목03</t>
        </is>
      </c>
      <c r="B311" s="3" t="n">
        <v>46178</v>
      </c>
      <c r="C311" t="n">
        <v>24822</v>
      </c>
      <c r="D311" t="n">
        <v>1381790</v>
      </c>
      <c r="E311">
        <f>IF(A311="","",COUNTIFS($A$2:$A$20000,A311,$B$2:$B$20000,"&gt;"&amp;B311)+1)</f>
        <v/>
      </c>
    </row>
    <row r="312">
      <c r="A312" t="inlineStr">
        <is>
          <t>샘플종목03</t>
        </is>
      </c>
      <c r="B312" s="3" t="n">
        <v>46185</v>
      </c>
      <c r="C312" t="n">
        <v>24199</v>
      </c>
      <c r="D312" t="n">
        <v>4716339</v>
      </c>
      <c r="E312">
        <f>IF(A312="","",COUNTIFS($A$2:$A$20000,A312,$B$2:$B$20000,"&gt;"&amp;B312)+1)</f>
        <v/>
      </c>
    </row>
    <row r="313">
      <c r="A313" t="inlineStr">
        <is>
          <t>샘플종목03</t>
        </is>
      </c>
      <c r="B313" s="3" t="n">
        <v>46192</v>
      </c>
      <c r="C313" t="n">
        <v>25033</v>
      </c>
      <c r="D313" t="n">
        <v>909804</v>
      </c>
      <c r="E313">
        <f>IF(A313="","",COUNTIFS($A$2:$A$20000,A313,$B$2:$B$20000,"&gt;"&amp;B313)+1)</f>
        <v/>
      </c>
    </row>
    <row r="314">
      <c r="A314" t="inlineStr">
        <is>
          <t>샘플종목03</t>
        </is>
      </c>
      <c r="B314" s="3" t="n">
        <v>46199</v>
      </c>
      <c r="C314" t="n">
        <v>25021</v>
      </c>
      <c r="D314" t="n">
        <v>4891961</v>
      </c>
      <c r="E314">
        <f>IF(A314="","",COUNTIFS($A$2:$A$20000,A314,$B$2:$B$20000,"&gt;"&amp;B314)+1)</f>
        <v/>
      </c>
    </row>
    <row r="315">
      <c r="A315" t="inlineStr">
        <is>
          <t>샘플종목03</t>
        </is>
      </c>
      <c r="B315" s="3" t="n">
        <v>46206</v>
      </c>
      <c r="C315" t="n">
        <v>25390</v>
      </c>
      <c r="D315" t="n">
        <v>2598368</v>
      </c>
      <c r="E315">
        <f>IF(A315="","",COUNTIFS($A$2:$A$20000,A315,$B$2:$B$20000,"&gt;"&amp;B315)+1)</f>
        <v/>
      </c>
    </row>
    <row r="316">
      <c r="A316" t="inlineStr">
        <is>
          <t>샘플종목03</t>
        </is>
      </c>
      <c r="B316" s="3" t="n">
        <v>46213</v>
      </c>
      <c r="C316" t="n">
        <v>25445</v>
      </c>
      <c r="D316" t="n">
        <v>8672536</v>
      </c>
      <c r="E316">
        <f>IF(A316="","",COUNTIFS($A$2:$A$20000,A316,$B$2:$B$20000,"&gt;"&amp;B316)+1)</f>
        <v/>
      </c>
    </row>
    <row r="317">
      <c r="A317" t="inlineStr">
        <is>
          <t>샘플종목03</t>
        </is>
      </c>
      <c r="B317" s="3" t="n">
        <v>46220</v>
      </c>
      <c r="C317" t="n">
        <v>26295</v>
      </c>
      <c r="D317" t="n">
        <v>5394912</v>
      </c>
      <c r="E317">
        <f>IF(A317="","",COUNTIFS($A$2:$A$20000,A317,$B$2:$B$20000,"&gt;"&amp;B317)+1)</f>
        <v/>
      </c>
    </row>
    <row r="318">
      <c r="A318" t="inlineStr">
        <is>
          <t>샘플종목03</t>
        </is>
      </c>
      <c r="B318" s="3" t="n">
        <v>46227</v>
      </c>
      <c r="C318" t="n">
        <v>26723</v>
      </c>
      <c r="D318" t="n">
        <v>7276414</v>
      </c>
      <c r="E318">
        <f>IF(A318="","",COUNTIFS($A$2:$A$20000,A318,$B$2:$B$20000,"&gt;"&amp;B318)+1)</f>
        <v/>
      </c>
    </row>
    <row r="319">
      <c r="A319" t="inlineStr">
        <is>
          <t>샘플종목03</t>
        </is>
      </c>
      <c r="B319" s="3" t="n">
        <v>46234</v>
      </c>
      <c r="C319" t="n">
        <v>27737</v>
      </c>
      <c r="D319" t="n">
        <v>586729</v>
      </c>
      <c r="E319">
        <f>IF(A319="","",COUNTIFS($A$2:$A$20000,A319,$B$2:$B$20000,"&gt;"&amp;B319)+1)</f>
        <v/>
      </c>
    </row>
    <row r="320">
      <c r="A320" t="inlineStr">
        <is>
          <t>샘플종목03</t>
        </is>
      </c>
      <c r="B320" s="3" t="n">
        <v>46241</v>
      </c>
      <c r="C320" t="n">
        <v>28387</v>
      </c>
      <c r="D320" t="n">
        <v>9397144</v>
      </c>
      <c r="E320">
        <f>IF(A320="","",COUNTIFS($A$2:$A$20000,A320,$B$2:$B$20000,"&gt;"&amp;B320)+1)</f>
        <v/>
      </c>
    </row>
    <row r="321">
      <c r="A321" t="inlineStr">
        <is>
          <t>샘플종목03</t>
        </is>
      </c>
      <c r="B321" s="3" t="n">
        <v>46248</v>
      </c>
      <c r="C321" t="n">
        <v>26961</v>
      </c>
      <c r="D321" t="n">
        <v>9314519</v>
      </c>
      <c r="E321">
        <f>IF(A321="","",COUNTIFS($A$2:$A$20000,A321,$B$2:$B$20000,"&gt;"&amp;B321)+1)</f>
        <v/>
      </c>
    </row>
    <row r="322">
      <c r="A322" t="inlineStr">
        <is>
          <t>샘플종목03</t>
        </is>
      </c>
      <c r="B322" s="3" t="n">
        <v>46255</v>
      </c>
      <c r="C322" t="n">
        <v>27142</v>
      </c>
      <c r="D322" t="n">
        <v>6993523</v>
      </c>
      <c r="E322">
        <f>IF(A322="","",COUNTIFS($A$2:$A$20000,A322,$B$2:$B$20000,"&gt;"&amp;B322)+1)</f>
        <v/>
      </c>
    </row>
    <row r="323">
      <c r="A323" t="inlineStr">
        <is>
          <t>샘플종목03</t>
        </is>
      </c>
      <c r="B323" s="3" t="n">
        <v>46262</v>
      </c>
      <c r="C323" t="n">
        <v>27623</v>
      </c>
      <c r="D323" t="n">
        <v>7664182</v>
      </c>
      <c r="E323">
        <f>IF(A323="","",COUNTIFS($A$2:$A$20000,A323,$B$2:$B$20000,"&gt;"&amp;B323)+1)</f>
        <v/>
      </c>
    </row>
    <row r="324">
      <c r="A324" t="inlineStr">
        <is>
          <t>샘플종목03</t>
        </is>
      </c>
      <c r="B324" s="3" t="n">
        <v>46269</v>
      </c>
      <c r="C324" t="n">
        <v>27225</v>
      </c>
      <c r="D324" t="n">
        <v>4901778</v>
      </c>
      <c r="E324">
        <f>IF(A324="","",COUNTIFS($A$2:$A$20000,A324,$B$2:$B$20000,"&gt;"&amp;B324)+1)</f>
        <v/>
      </c>
    </row>
    <row r="325">
      <c r="A325" t="inlineStr">
        <is>
          <t>샘플종목03</t>
        </is>
      </c>
      <c r="B325" s="3" t="n">
        <v>46276</v>
      </c>
      <c r="C325" t="n">
        <v>26886</v>
      </c>
      <c r="D325" t="n">
        <v>8246598</v>
      </c>
      <c r="E325">
        <f>IF(A325="","",COUNTIFS($A$2:$A$20000,A325,$B$2:$B$20000,"&gt;"&amp;B325)+1)</f>
        <v/>
      </c>
    </row>
    <row r="326">
      <c r="A326" t="inlineStr">
        <is>
          <t>샘플종목03</t>
        </is>
      </c>
      <c r="B326" s="3" t="n">
        <v>46283</v>
      </c>
      <c r="C326" t="n">
        <v>29284</v>
      </c>
      <c r="D326" t="n">
        <v>2235929</v>
      </c>
      <c r="E326">
        <f>IF(A326="","",COUNTIFS($A$2:$A$20000,A326,$B$2:$B$20000,"&gt;"&amp;B326)+1)</f>
        <v/>
      </c>
    </row>
    <row r="327">
      <c r="A327" t="inlineStr">
        <is>
          <t>샘플종목03</t>
        </is>
      </c>
      <c r="B327" s="3" t="n">
        <v>46290</v>
      </c>
      <c r="C327" t="n">
        <v>30154</v>
      </c>
      <c r="D327" t="n">
        <v>2964924</v>
      </c>
      <c r="E327">
        <f>IF(A327="","",COUNTIFS($A$2:$A$20000,A327,$B$2:$B$20000,"&gt;"&amp;B327)+1)</f>
        <v/>
      </c>
    </row>
    <row r="328">
      <c r="A328" t="inlineStr">
        <is>
          <t>샘플종목03</t>
        </is>
      </c>
      <c r="B328" s="3" t="n">
        <v>46297</v>
      </c>
      <c r="C328" t="n">
        <v>29124</v>
      </c>
      <c r="D328" t="n">
        <v>5095782</v>
      </c>
      <c r="E328">
        <f>IF(A328="","",COUNTIFS($A$2:$A$20000,A328,$B$2:$B$20000,"&gt;"&amp;B328)+1)</f>
        <v/>
      </c>
    </row>
    <row r="329">
      <c r="A329" t="inlineStr">
        <is>
          <t>샘플종목03</t>
        </is>
      </c>
      <c r="B329" s="3" t="n">
        <v>46304</v>
      </c>
      <c r="C329" t="n">
        <v>29368</v>
      </c>
      <c r="D329" t="n">
        <v>4390651</v>
      </c>
      <c r="E329">
        <f>IF(A329="","",COUNTIFS($A$2:$A$20000,A329,$B$2:$B$20000,"&gt;"&amp;B329)+1)</f>
        <v/>
      </c>
    </row>
    <row r="330">
      <c r="A330" t="inlineStr">
        <is>
          <t>샘플종목03</t>
        </is>
      </c>
      <c r="B330" s="3" t="n">
        <v>46311</v>
      </c>
      <c r="C330" t="n">
        <v>29206</v>
      </c>
      <c r="D330" t="n">
        <v>4464912</v>
      </c>
      <c r="E330">
        <f>IF(A330="","",COUNTIFS($A$2:$A$20000,A330,$B$2:$B$20000,"&gt;"&amp;B330)+1)</f>
        <v/>
      </c>
    </row>
    <row r="331">
      <c r="A331" t="inlineStr">
        <is>
          <t>샘플종목03</t>
        </is>
      </c>
      <c r="B331" s="3" t="n">
        <v>46318</v>
      </c>
      <c r="C331" t="n">
        <v>26076</v>
      </c>
      <c r="D331" t="n">
        <v>6915060</v>
      </c>
      <c r="E331">
        <f>IF(A331="","",COUNTIFS($A$2:$A$20000,A331,$B$2:$B$20000,"&gt;"&amp;B331)+1)</f>
        <v/>
      </c>
    </row>
    <row r="332">
      <c r="A332" t="inlineStr">
        <is>
          <t>샘플종목04</t>
        </is>
      </c>
      <c r="B332" s="3" t="n">
        <v>45555</v>
      </c>
      <c r="C332" t="n">
        <v>131054</v>
      </c>
      <c r="D332" t="n">
        <v>6716393</v>
      </c>
      <c r="E332">
        <f>IF(A332="","",COUNTIFS($A$2:$A$20000,A332,$B$2:$B$20000,"&gt;"&amp;B332)+1)</f>
        <v/>
      </c>
    </row>
    <row r="333">
      <c r="A333" t="inlineStr">
        <is>
          <t>샘플종목04</t>
        </is>
      </c>
      <c r="B333" s="3" t="n">
        <v>45562</v>
      </c>
      <c r="C333" t="n">
        <v>137670</v>
      </c>
      <c r="D333" t="n">
        <v>2108946</v>
      </c>
      <c r="E333">
        <f>IF(A333="","",COUNTIFS($A$2:$A$20000,A333,$B$2:$B$20000,"&gt;"&amp;B333)+1)</f>
        <v/>
      </c>
    </row>
    <row r="334">
      <c r="A334" t="inlineStr">
        <is>
          <t>샘플종목04</t>
        </is>
      </c>
      <c r="B334" s="3" t="n">
        <v>45569</v>
      </c>
      <c r="C334" t="n">
        <v>139568</v>
      </c>
      <c r="D334" t="n">
        <v>3587522</v>
      </c>
      <c r="E334">
        <f>IF(A334="","",COUNTIFS($A$2:$A$20000,A334,$B$2:$B$20000,"&gt;"&amp;B334)+1)</f>
        <v/>
      </c>
    </row>
    <row r="335">
      <c r="A335" t="inlineStr">
        <is>
          <t>샘플종목04</t>
        </is>
      </c>
      <c r="B335" s="3" t="n">
        <v>45576</v>
      </c>
      <c r="C335" t="n">
        <v>142725</v>
      </c>
      <c r="D335" t="n">
        <v>8498754</v>
      </c>
      <c r="E335">
        <f>IF(A335="","",COUNTIFS($A$2:$A$20000,A335,$B$2:$B$20000,"&gt;"&amp;B335)+1)</f>
        <v/>
      </c>
    </row>
    <row r="336">
      <c r="A336" t="inlineStr">
        <is>
          <t>샘플종목04</t>
        </is>
      </c>
      <c r="B336" s="3" t="n">
        <v>45583</v>
      </c>
      <c r="C336" t="n">
        <v>148569</v>
      </c>
      <c r="D336" t="n">
        <v>3791411</v>
      </c>
      <c r="E336">
        <f>IF(A336="","",COUNTIFS($A$2:$A$20000,A336,$B$2:$B$20000,"&gt;"&amp;B336)+1)</f>
        <v/>
      </c>
    </row>
    <row r="337">
      <c r="A337" t="inlineStr">
        <is>
          <t>샘플종목04</t>
        </is>
      </c>
      <c r="B337" s="3" t="n">
        <v>45590</v>
      </c>
      <c r="C337" t="n">
        <v>144985</v>
      </c>
      <c r="D337" t="n">
        <v>7699845</v>
      </c>
      <c r="E337">
        <f>IF(A337="","",COUNTIFS($A$2:$A$20000,A337,$B$2:$B$20000,"&gt;"&amp;B337)+1)</f>
        <v/>
      </c>
    </row>
    <row r="338">
      <c r="A338" t="inlineStr">
        <is>
          <t>샘플종목04</t>
        </is>
      </c>
      <c r="B338" s="3" t="n">
        <v>45597</v>
      </c>
      <c r="C338" t="n">
        <v>161482</v>
      </c>
      <c r="D338" t="n">
        <v>7649083</v>
      </c>
      <c r="E338">
        <f>IF(A338="","",COUNTIFS($A$2:$A$20000,A338,$B$2:$B$20000,"&gt;"&amp;B338)+1)</f>
        <v/>
      </c>
    </row>
    <row r="339">
      <c r="A339" t="inlineStr">
        <is>
          <t>샘플종목04</t>
        </is>
      </c>
      <c r="B339" s="3" t="n">
        <v>45604</v>
      </c>
      <c r="C339" t="n">
        <v>149745</v>
      </c>
      <c r="D339" t="n">
        <v>7270968</v>
      </c>
      <c r="E339">
        <f>IF(A339="","",COUNTIFS($A$2:$A$20000,A339,$B$2:$B$20000,"&gt;"&amp;B339)+1)</f>
        <v/>
      </c>
    </row>
    <row r="340">
      <c r="A340" t="inlineStr">
        <is>
          <t>샘플종목04</t>
        </is>
      </c>
      <c r="B340" s="3" t="n">
        <v>45611</v>
      </c>
      <c r="C340" t="n">
        <v>152548</v>
      </c>
      <c r="D340" t="n">
        <v>1621936</v>
      </c>
      <c r="E340">
        <f>IF(A340="","",COUNTIFS($A$2:$A$20000,A340,$B$2:$B$20000,"&gt;"&amp;B340)+1)</f>
        <v/>
      </c>
    </row>
    <row r="341">
      <c r="A341" t="inlineStr">
        <is>
          <t>샘플종목04</t>
        </is>
      </c>
      <c r="B341" s="3" t="n">
        <v>45618</v>
      </c>
      <c r="C341" t="n">
        <v>155921</v>
      </c>
      <c r="D341" t="n">
        <v>3030897</v>
      </c>
      <c r="E341">
        <f>IF(A341="","",COUNTIFS($A$2:$A$20000,A341,$B$2:$B$20000,"&gt;"&amp;B341)+1)</f>
        <v/>
      </c>
    </row>
    <row r="342">
      <c r="A342" t="inlineStr">
        <is>
          <t>샘플종목04</t>
        </is>
      </c>
      <c r="B342" s="3" t="n">
        <v>45625</v>
      </c>
      <c r="C342" t="n">
        <v>154744</v>
      </c>
      <c r="D342" t="n">
        <v>4111878</v>
      </c>
      <c r="E342">
        <f>IF(A342="","",COUNTIFS($A$2:$A$20000,A342,$B$2:$B$20000,"&gt;"&amp;B342)+1)</f>
        <v/>
      </c>
    </row>
    <row r="343">
      <c r="A343" t="inlineStr">
        <is>
          <t>샘플종목04</t>
        </is>
      </c>
      <c r="B343" s="3" t="n">
        <v>45632</v>
      </c>
      <c r="C343" t="n">
        <v>157319</v>
      </c>
      <c r="D343" t="n">
        <v>6279138</v>
      </c>
      <c r="E343">
        <f>IF(A343="","",COUNTIFS($A$2:$A$20000,A343,$B$2:$B$20000,"&gt;"&amp;B343)+1)</f>
        <v/>
      </c>
    </row>
    <row r="344">
      <c r="A344" t="inlineStr">
        <is>
          <t>샘플종목04</t>
        </is>
      </c>
      <c r="B344" s="3" t="n">
        <v>45639</v>
      </c>
      <c r="C344" t="n">
        <v>157205</v>
      </c>
      <c r="D344" t="n">
        <v>436915</v>
      </c>
      <c r="E344">
        <f>IF(A344="","",COUNTIFS($A$2:$A$20000,A344,$B$2:$B$20000,"&gt;"&amp;B344)+1)</f>
        <v/>
      </c>
    </row>
    <row r="345">
      <c r="A345" t="inlineStr">
        <is>
          <t>샘플종목04</t>
        </is>
      </c>
      <c r="B345" s="3" t="n">
        <v>45646</v>
      </c>
      <c r="C345" t="n">
        <v>165674</v>
      </c>
      <c r="D345" t="n">
        <v>7025327</v>
      </c>
      <c r="E345">
        <f>IF(A345="","",COUNTIFS($A$2:$A$20000,A345,$B$2:$B$20000,"&gt;"&amp;B345)+1)</f>
        <v/>
      </c>
    </row>
    <row r="346">
      <c r="A346" t="inlineStr">
        <is>
          <t>샘플종목04</t>
        </is>
      </c>
      <c r="B346" s="3" t="n">
        <v>45653</v>
      </c>
      <c r="C346" t="n">
        <v>157877</v>
      </c>
      <c r="D346" t="n">
        <v>3623298</v>
      </c>
      <c r="E346">
        <f>IF(A346="","",COUNTIFS($A$2:$A$20000,A346,$B$2:$B$20000,"&gt;"&amp;B346)+1)</f>
        <v/>
      </c>
    </row>
    <row r="347">
      <c r="A347" t="inlineStr">
        <is>
          <t>샘플종목04</t>
        </is>
      </c>
      <c r="B347" s="3" t="n">
        <v>45660</v>
      </c>
      <c r="C347" t="n">
        <v>165211</v>
      </c>
      <c r="D347" t="n">
        <v>6422759</v>
      </c>
      <c r="E347">
        <f>IF(A347="","",COUNTIFS($A$2:$A$20000,A347,$B$2:$B$20000,"&gt;"&amp;B347)+1)</f>
        <v/>
      </c>
    </row>
    <row r="348">
      <c r="A348" t="inlineStr">
        <is>
          <t>샘플종목04</t>
        </is>
      </c>
      <c r="B348" s="3" t="n">
        <v>45667</v>
      </c>
      <c r="C348" t="n">
        <v>164141</v>
      </c>
      <c r="D348" t="n">
        <v>8457501</v>
      </c>
      <c r="E348">
        <f>IF(A348="","",COUNTIFS($A$2:$A$20000,A348,$B$2:$B$20000,"&gt;"&amp;B348)+1)</f>
        <v/>
      </c>
    </row>
    <row r="349">
      <c r="A349" t="inlineStr">
        <is>
          <t>샘플종목04</t>
        </is>
      </c>
      <c r="B349" s="3" t="n">
        <v>45674</v>
      </c>
      <c r="C349" t="n">
        <v>175347</v>
      </c>
      <c r="D349" t="n">
        <v>4755951</v>
      </c>
      <c r="E349">
        <f>IF(A349="","",COUNTIFS($A$2:$A$20000,A349,$B$2:$B$20000,"&gt;"&amp;B349)+1)</f>
        <v/>
      </c>
    </row>
    <row r="350">
      <c r="A350" t="inlineStr">
        <is>
          <t>샘플종목04</t>
        </is>
      </c>
      <c r="B350" s="3" t="n">
        <v>45681</v>
      </c>
      <c r="C350" t="n">
        <v>169778</v>
      </c>
      <c r="D350" t="n">
        <v>8545579</v>
      </c>
      <c r="E350">
        <f>IF(A350="","",COUNTIFS($A$2:$A$20000,A350,$B$2:$B$20000,"&gt;"&amp;B350)+1)</f>
        <v/>
      </c>
    </row>
    <row r="351">
      <c r="A351" t="inlineStr">
        <is>
          <t>샘플종목04</t>
        </is>
      </c>
      <c r="B351" s="3" t="n">
        <v>45688</v>
      </c>
      <c r="C351" t="n">
        <v>167230</v>
      </c>
      <c r="D351" t="n">
        <v>8978933</v>
      </c>
      <c r="E351">
        <f>IF(A351="","",COUNTIFS($A$2:$A$20000,A351,$B$2:$B$20000,"&gt;"&amp;B351)+1)</f>
        <v/>
      </c>
    </row>
    <row r="352">
      <c r="A352" t="inlineStr">
        <is>
          <t>샘플종목04</t>
        </is>
      </c>
      <c r="B352" s="3" t="n">
        <v>45695</v>
      </c>
      <c r="C352" t="n">
        <v>158414</v>
      </c>
      <c r="D352" t="n">
        <v>3723260</v>
      </c>
      <c r="E352">
        <f>IF(A352="","",COUNTIFS($A$2:$A$20000,A352,$B$2:$B$20000,"&gt;"&amp;B352)+1)</f>
        <v/>
      </c>
    </row>
    <row r="353">
      <c r="A353" t="inlineStr">
        <is>
          <t>샘플종목04</t>
        </is>
      </c>
      <c r="B353" s="3" t="n">
        <v>45702</v>
      </c>
      <c r="C353" t="n">
        <v>149543</v>
      </c>
      <c r="D353" t="n">
        <v>1653539</v>
      </c>
      <c r="E353">
        <f>IF(A353="","",COUNTIFS($A$2:$A$20000,A353,$B$2:$B$20000,"&gt;"&amp;B353)+1)</f>
        <v/>
      </c>
    </row>
    <row r="354">
      <c r="A354" t="inlineStr">
        <is>
          <t>샘플종목04</t>
        </is>
      </c>
      <c r="B354" s="3" t="n">
        <v>45709</v>
      </c>
      <c r="C354" t="n">
        <v>149247</v>
      </c>
      <c r="D354" t="n">
        <v>6806811</v>
      </c>
      <c r="E354">
        <f>IF(A354="","",COUNTIFS($A$2:$A$20000,A354,$B$2:$B$20000,"&gt;"&amp;B354)+1)</f>
        <v/>
      </c>
    </row>
    <row r="355">
      <c r="A355" t="inlineStr">
        <is>
          <t>샘플종목04</t>
        </is>
      </c>
      <c r="B355" s="3" t="n">
        <v>45716</v>
      </c>
      <c r="C355" t="n">
        <v>154018</v>
      </c>
      <c r="D355" t="n">
        <v>7580262</v>
      </c>
      <c r="E355">
        <f>IF(A355="","",COUNTIFS($A$2:$A$20000,A355,$B$2:$B$20000,"&gt;"&amp;B355)+1)</f>
        <v/>
      </c>
    </row>
    <row r="356">
      <c r="A356" t="inlineStr">
        <is>
          <t>샘플종목04</t>
        </is>
      </c>
      <c r="B356" s="3" t="n">
        <v>45723</v>
      </c>
      <c r="C356" t="n">
        <v>149480</v>
      </c>
      <c r="D356" t="n">
        <v>465919</v>
      </c>
      <c r="E356">
        <f>IF(A356="","",COUNTIFS($A$2:$A$20000,A356,$B$2:$B$20000,"&gt;"&amp;B356)+1)</f>
        <v/>
      </c>
    </row>
    <row r="357">
      <c r="A357" t="inlineStr">
        <is>
          <t>샘플종목04</t>
        </is>
      </c>
      <c r="B357" s="3" t="n">
        <v>45730</v>
      </c>
      <c r="C357" t="n">
        <v>151926</v>
      </c>
      <c r="D357" t="n">
        <v>2234850</v>
      </c>
      <c r="E357">
        <f>IF(A357="","",COUNTIFS($A$2:$A$20000,A357,$B$2:$B$20000,"&gt;"&amp;B357)+1)</f>
        <v/>
      </c>
    </row>
    <row r="358">
      <c r="A358" t="inlineStr">
        <is>
          <t>샘플종목04</t>
        </is>
      </c>
      <c r="B358" s="3" t="n">
        <v>45737</v>
      </c>
      <c r="C358" t="n">
        <v>161590</v>
      </c>
      <c r="D358" t="n">
        <v>8040124</v>
      </c>
      <c r="E358">
        <f>IF(A358="","",COUNTIFS($A$2:$A$20000,A358,$B$2:$B$20000,"&gt;"&amp;B358)+1)</f>
        <v/>
      </c>
    </row>
    <row r="359">
      <c r="A359" t="inlineStr">
        <is>
          <t>샘플종목04</t>
        </is>
      </c>
      <c r="B359" s="3" t="n">
        <v>45744</v>
      </c>
      <c r="C359" t="n">
        <v>163958</v>
      </c>
      <c r="D359" t="n">
        <v>9951186</v>
      </c>
      <c r="E359">
        <f>IF(A359="","",COUNTIFS($A$2:$A$20000,A359,$B$2:$B$20000,"&gt;"&amp;B359)+1)</f>
        <v/>
      </c>
    </row>
    <row r="360">
      <c r="A360" t="inlineStr">
        <is>
          <t>샘플종목04</t>
        </is>
      </c>
      <c r="B360" s="3" t="n">
        <v>45751</v>
      </c>
      <c r="C360" t="n">
        <v>161735</v>
      </c>
      <c r="D360" t="n">
        <v>8956044</v>
      </c>
      <c r="E360">
        <f>IF(A360="","",COUNTIFS($A$2:$A$20000,A360,$B$2:$B$20000,"&gt;"&amp;B360)+1)</f>
        <v/>
      </c>
    </row>
    <row r="361">
      <c r="A361" t="inlineStr">
        <is>
          <t>샘플종목04</t>
        </is>
      </c>
      <c r="B361" s="3" t="n">
        <v>45758</v>
      </c>
      <c r="C361" t="n">
        <v>162220</v>
      </c>
      <c r="D361" t="n">
        <v>7954277</v>
      </c>
      <c r="E361">
        <f>IF(A361="","",COUNTIFS($A$2:$A$20000,A361,$B$2:$B$20000,"&gt;"&amp;B361)+1)</f>
        <v/>
      </c>
    </row>
    <row r="362">
      <c r="A362" t="inlineStr">
        <is>
          <t>샘플종목04</t>
        </is>
      </c>
      <c r="B362" s="3" t="n">
        <v>45765</v>
      </c>
      <c r="C362" t="n">
        <v>167374</v>
      </c>
      <c r="D362" t="n">
        <v>1929488</v>
      </c>
      <c r="E362">
        <f>IF(A362="","",COUNTIFS($A$2:$A$20000,A362,$B$2:$B$20000,"&gt;"&amp;B362)+1)</f>
        <v/>
      </c>
    </row>
    <row r="363">
      <c r="A363" t="inlineStr">
        <is>
          <t>샘플종목04</t>
        </is>
      </c>
      <c r="B363" s="3" t="n">
        <v>45772</v>
      </c>
      <c r="C363" t="n">
        <v>166831</v>
      </c>
      <c r="D363" t="n">
        <v>3854747</v>
      </c>
      <c r="E363">
        <f>IF(A363="","",COUNTIFS($A$2:$A$20000,A363,$B$2:$B$20000,"&gt;"&amp;B363)+1)</f>
        <v/>
      </c>
    </row>
    <row r="364">
      <c r="A364" t="inlineStr">
        <is>
          <t>샘플종목04</t>
        </is>
      </c>
      <c r="B364" s="3" t="n">
        <v>45779</v>
      </c>
      <c r="C364" t="n">
        <v>171750</v>
      </c>
      <c r="D364" t="n">
        <v>1926877</v>
      </c>
      <c r="E364">
        <f>IF(A364="","",COUNTIFS($A$2:$A$20000,A364,$B$2:$B$20000,"&gt;"&amp;B364)+1)</f>
        <v/>
      </c>
    </row>
    <row r="365">
      <c r="A365" t="inlineStr">
        <is>
          <t>샘플종목04</t>
        </is>
      </c>
      <c r="B365" s="3" t="n">
        <v>45786</v>
      </c>
      <c r="C365" t="n">
        <v>178983</v>
      </c>
      <c r="D365" t="n">
        <v>7772641</v>
      </c>
      <c r="E365">
        <f>IF(A365="","",COUNTIFS($A$2:$A$20000,A365,$B$2:$B$20000,"&gt;"&amp;B365)+1)</f>
        <v/>
      </c>
    </row>
    <row r="366">
      <c r="A366" t="inlineStr">
        <is>
          <t>샘플종목04</t>
        </is>
      </c>
      <c r="B366" s="3" t="n">
        <v>45793</v>
      </c>
      <c r="C366" t="n">
        <v>190014</v>
      </c>
      <c r="D366" t="n">
        <v>122918</v>
      </c>
      <c r="E366">
        <f>IF(A366="","",COUNTIFS($A$2:$A$20000,A366,$B$2:$B$20000,"&gt;"&amp;B366)+1)</f>
        <v/>
      </c>
    </row>
    <row r="367">
      <c r="A367" t="inlineStr">
        <is>
          <t>샘플종목04</t>
        </is>
      </c>
      <c r="B367" s="3" t="n">
        <v>45800</v>
      </c>
      <c r="C367" t="n">
        <v>197096</v>
      </c>
      <c r="D367" t="n">
        <v>2208086</v>
      </c>
      <c r="E367">
        <f>IF(A367="","",COUNTIFS($A$2:$A$20000,A367,$B$2:$B$20000,"&gt;"&amp;B367)+1)</f>
        <v/>
      </c>
    </row>
    <row r="368">
      <c r="A368" t="inlineStr">
        <is>
          <t>샘플종목04</t>
        </is>
      </c>
      <c r="B368" s="3" t="n">
        <v>45807</v>
      </c>
      <c r="C368" t="n">
        <v>199425</v>
      </c>
      <c r="D368" t="n">
        <v>5196620</v>
      </c>
      <c r="E368">
        <f>IF(A368="","",COUNTIFS($A$2:$A$20000,A368,$B$2:$B$20000,"&gt;"&amp;B368)+1)</f>
        <v/>
      </c>
    </row>
    <row r="369">
      <c r="A369" t="inlineStr">
        <is>
          <t>샘플종목04</t>
        </is>
      </c>
      <c r="B369" s="3" t="n">
        <v>45814</v>
      </c>
      <c r="C369" t="n">
        <v>217642</v>
      </c>
      <c r="D369" t="n">
        <v>2246927</v>
      </c>
      <c r="E369">
        <f>IF(A369="","",COUNTIFS($A$2:$A$20000,A369,$B$2:$B$20000,"&gt;"&amp;B369)+1)</f>
        <v/>
      </c>
    </row>
    <row r="370">
      <c r="A370" t="inlineStr">
        <is>
          <t>샘플종목04</t>
        </is>
      </c>
      <c r="B370" s="3" t="n">
        <v>45821</v>
      </c>
      <c r="C370" t="n">
        <v>210602</v>
      </c>
      <c r="D370" t="n">
        <v>7438866</v>
      </c>
      <c r="E370">
        <f>IF(A370="","",COUNTIFS($A$2:$A$20000,A370,$B$2:$B$20000,"&gt;"&amp;B370)+1)</f>
        <v/>
      </c>
    </row>
    <row r="371">
      <c r="A371" t="inlineStr">
        <is>
          <t>샘플종목04</t>
        </is>
      </c>
      <c r="B371" s="3" t="n">
        <v>45828</v>
      </c>
      <c r="C371" t="n">
        <v>203654</v>
      </c>
      <c r="D371" t="n">
        <v>1981274</v>
      </c>
      <c r="E371">
        <f>IF(A371="","",COUNTIFS($A$2:$A$20000,A371,$B$2:$B$20000,"&gt;"&amp;B371)+1)</f>
        <v/>
      </c>
    </row>
    <row r="372">
      <c r="A372" t="inlineStr">
        <is>
          <t>샘플종목04</t>
        </is>
      </c>
      <c r="B372" s="3" t="n">
        <v>45835</v>
      </c>
      <c r="C372" t="n">
        <v>209645</v>
      </c>
      <c r="D372" t="n">
        <v>9879287</v>
      </c>
      <c r="E372">
        <f>IF(A372="","",COUNTIFS($A$2:$A$20000,A372,$B$2:$B$20000,"&gt;"&amp;B372)+1)</f>
        <v/>
      </c>
    </row>
    <row r="373">
      <c r="A373" t="inlineStr">
        <is>
          <t>샘플종목04</t>
        </is>
      </c>
      <c r="B373" s="3" t="n">
        <v>45842</v>
      </c>
      <c r="C373" t="n">
        <v>214210</v>
      </c>
      <c r="D373" t="n">
        <v>3316221</v>
      </c>
      <c r="E373">
        <f>IF(A373="","",COUNTIFS($A$2:$A$20000,A373,$B$2:$B$20000,"&gt;"&amp;B373)+1)</f>
        <v/>
      </c>
    </row>
    <row r="374">
      <c r="A374" t="inlineStr">
        <is>
          <t>샘플종목04</t>
        </is>
      </c>
      <c r="B374" s="3" t="n">
        <v>45849</v>
      </c>
      <c r="C374" t="n">
        <v>209989</v>
      </c>
      <c r="D374" t="n">
        <v>119327</v>
      </c>
      <c r="E374">
        <f>IF(A374="","",COUNTIFS($A$2:$A$20000,A374,$B$2:$B$20000,"&gt;"&amp;B374)+1)</f>
        <v/>
      </c>
    </row>
    <row r="375">
      <c r="A375" t="inlineStr">
        <is>
          <t>샘플종목04</t>
        </is>
      </c>
      <c r="B375" s="3" t="n">
        <v>45856</v>
      </c>
      <c r="C375" t="n">
        <v>214273</v>
      </c>
      <c r="D375" t="n">
        <v>275517</v>
      </c>
      <c r="E375">
        <f>IF(A375="","",COUNTIFS($A$2:$A$20000,A375,$B$2:$B$20000,"&gt;"&amp;B375)+1)</f>
        <v/>
      </c>
    </row>
    <row r="376">
      <c r="A376" t="inlineStr">
        <is>
          <t>샘플종목04</t>
        </is>
      </c>
      <c r="B376" s="3" t="n">
        <v>45863</v>
      </c>
      <c r="C376" t="n">
        <v>186761</v>
      </c>
      <c r="D376" t="n">
        <v>4774193</v>
      </c>
      <c r="E376">
        <f>IF(A376="","",COUNTIFS($A$2:$A$20000,A376,$B$2:$B$20000,"&gt;"&amp;B376)+1)</f>
        <v/>
      </c>
    </row>
    <row r="377">
      <c r="A377" t="inlineStr">
        <is>
          <t>샘플종목04</t>
        </is>
      </c>
      <c r="B377" s="3" t="n">
        <v>45870</v>
      </c>
      <c r="C377" t="n">
        <v>181291</v>
      </c>
      <c r="D377" t="n">
        <v>5407590</v>
      </c>
      <c r="E377">
        <f>IF(A377="","",COUNTIFS($A$2:$A$20000,A377,$B$2:$B$20000,"&gt;"&amp;B377)+1)</f>
        <v/>
      </c>
    </row>
    <row r="378">
      <c r="A378" t="inlineStr">
        <is>
          <t>샘플종목04</t>
        </is>
      </c>
      <c r="B378" s="3" t="n">
        <v>45877</v>
      </c>
      <c r="C378" t="n">
        <v>172401</v>
      </c>
      <c r="D378" t="n">
        <v>8074281</v>
      </c>
      <c r="E378">
        <f>IF(A378="","",COUNTIFS($A$2:$A$20000,A378,$B$2:$B$20000,"&gt;"&amp;B378)+1)</f>
        <v/>
      </c>
    </row>
    <row r="379">
      <c r="A379" t="inlineStr">
        <is>
          <t>샘플종목04</t>
        </is>
      </c>
      <c r="B379" s="3" t="n">
        <v>45884</v>
      </c>
      <c r="C379" t="n">
        <v>161464</v>
      </c>
      <c r="D379" t="n">
        <v>8929474</v>
      </c>
      <c r="E379">
        <f>IF(A379="","",COUNTIFS($A$2:$A$20000,A379,$B$2:$B$20000,"&gt;"&amp;B379)+1)</f>
        <v/>
      </c>
    </row>
    <row r="380">
      <c r="A380" t="inlineStr">
        <is>
          <t>샘플종목04</t>
        </is>
      </c>
      <c r="B380" s="3" t="n">
        <v>45891</v>
      </c>
      <c r="C380" t="n">
        <v>162252</v>
      </c>
      <c r="D380" t="n">
        <v>7009027</v>
      </c>
      <c r="E380">
        <f>IF(A380="","",COUNTIFS($A$2:$A$20000,A380,$B$2:$B$20000,"&gt;"&amp;B380)+1)</f>
        <v/>
      </c>
    </row>
    <row r="381">
      <c r="A381" t="inlineStr">
        <is>
          <t>샘플종목04</t>
        </is>
      </c>
      <c r="B381" s="3" t="n">
        <v>45898</v>
      </c>
      <c r="C381" t="n">
        <v>167444</v>
      </c>
      <c r="D381" t="n">
        <v>5257279</v>
      </c>
      <c r="E381">
        <f>IF(A381="","",COUNTIFS($A$2:$A$20000,A381,$B$2:$B$20000,"&gt;"&amp;B381)+1)</f>
        <v/>
      </c>
    </row>
    <row r="382">
      <c r="A382" t="inlineStr">
        <is>
          <t>샘플종목04</t>
        </is>
      </c>
      <c r="B382" s="3" t="n">
        <v>45905</v>
      </c>
      <c r="C382" t="n">
        <v>171916</v>
      </c>
      <c r="D382" t="n">
        <v>7146697</v>
      </c>
      <c r="E382">
        <f>IF(A382="","",COUNTIFS($A$2:$A$20000,A382,$B$2:$B$20000,"&gt;"&amp;B382)+1)</f>
        <v/>
      </c>
    </row>
    <row r="383">
      <c r="A383" t="inlineStr">
        <is>
          <t>샘플종목04</t>
        </is>
      </c>
      <c r="B383" s="3" t="n">
        <v>45912</v>
      </c>
      <c r="C383" t="n">
        <v>173798</v>
      </c>
      <c r="D383" t="n">
        <v>1460499</v>
      </c>
      <c r="E383">
        <f>IF(A383="","",COUNTIFS($A$2:$A$20000,A383,$B$2:$B$20000,"&gt;"&amp;B383)+1)</f>
        <v/>
      </c>
    </row>
    <row r="384">
      <c r="A384" t="inlineStr">
        <is>
          <t>샘플종목04</t>
        </is>
      </c>
      <c r="B384" s="3" t="n">
        <v>45919</v>
      </c>
      <c r="C384" t="n">
        <v>173676</v>
      </c>
      <c r="D384" t="n">
        <v>6311227</v>
      </c>
      <c r="E384">
        <f>IF(A384="","",COUNTIFS($A$2:$A$20000,A384,$B$2:$B$20000,"&gt;"&amp;B384)+1)</f>
        <v/>
      </c>
    </row>
    <row r="385">
      <c r="A385" t="inlineStr">
        <is>
          <t>샘플종목04</t>
        </is>
      </c>
      <c r="B385" s="3" t="n">
        <v>45926</v>
      </c>
      <c r="C385" t="n">
        <v>184320</v>
      </c>
      <c r="D385" t="n">
        <v>3904838</v>
      </c>
      <c r="E385">
        <f>IF(A385="","",COUNTIFS($A$2:$A$20000,A385,$B$2:$B$20000,"&gt;"&amp;B385)+1)</f>
        <v/>
      </c>
    </row>
    <row r="386">
      <c r="A386" t="inlineStr">
        <is>
          <t>샘플종목04</t>
        </is>
      </c>
      <c r="B386" s="3" t="n">
        <v>45933</v>
      </c>
      <c r="C386" t="n">
        <v>173325</v>
      </c>
      <c r="D386" t="n">
        <v>7155773</v>
      </c>
      <c r="E386">
        <f>IF(A386="","",COUNTIFS($A$2:$A$20000,A386,$B$2:$B$20000,"&gt;"&amp;B386)+1)</f>
        <v/>
      </c>
    </row>
    <row r="387">
      <c r="A387" t="inlineStr">
        <is>
          <t>샘플종목04</t>
        </is>
      </c>
      <c r="B387" s="3" t="n">
        <v>45940</v>
      </c>
      <c r="C387" t="n">
        <v>174145</v>
      </c>
      <c r="D387" t="n">
        <v>6178719</v>
      </c>
      <c r="E387">
        <f>IF(A387="","",COUNTIFS($A$2:$A$20000,A387,$B$2:$B$20000,"&gt;"&amp;B387)+1)</f>
        <v/>
      </c>
    </row>
    <row r="388">
      <c r="A388" t="inlineStr">
        <is>
          <t>샘플종목04</t>
        </is>
      </c>
      <c r="B388" s="3" t="n">
        <v>45947</v>
      </c>
      <c r="C388" t="n">
        <v>172591</v>
      </c>
      <c r="D388" t="n">
        <v>5000812</v>
      </c>
      <c r="E388">
        <f>IF(A388="","",COUNTIFS($A$2:$A$20000,A388,$B$2:$B$20000,"&gt;"&amp;B388)+1)</f>
        <v/>
      </c>
    </row>
    <row r="389">
      <c r="A389" t="inlineStr">
        <is>
          <t>샘플종목04</t>
        </is>
      </c>
      <c r="B389" s="3" t="n">
        <v>45954</v>
      </c>
      <c r="C389" t="n">
        <v>168754</v>
      </c>
      <c r="D389" t="n">
        <v>8570453</v>
      </c>
      <c r="E389">
        <f>IF(A389="","",COUNTIFS($A$2:$A$20000,A389,$B$2:$B$20000,"&gt;"&amp;B389)+1)</f>
        <v/>
      </c>
    </row>
    <row r="390">
      <c r="A390" t="inlineStr">
        <is>
          <t>샘플종목04</t>
        </is>
      </c>
      <c r="B390" s="3" t="n">
        <v>45961</v>
      </c>
      <c r="C390" t="n">
        <v>176292</v>
      </c>
      <c r="D390" t="n">
        <v>3462385</v>
      </c>
      <c r="E390">
        <f>IF(A390="","",COUNTIFS($A$2:$A$20000,A390,$B$2:$B$20000,"&gt;"&amp;B390)+1)</f>
        <v/>
      </c>
    </row>
    <row r="391">
      <c r="A391" t="inlineStr">
        <is>
          <t>샘플종목04</t>
        </is>
      </c>
      <c r="B391" s="3" t="n">
        <v>45968</v>
      </c>
      <c r="C391" t="n">
        <v>180037</v>
      </c>
      <c r="D391" t="n">
        <v>5329722</v>
      </c>
      <c r="E391">
        <f>IF(A391="","",COUNTIFS($A$2:$A$20000,A391,$B$2:$B$20000,"&gt;"&amp;B391)+1)</f>
        <v/>
      </c>
    </row>
    <row r="392">
      <c r="A392" t="inlineStr">
        <is>
          <t>샘플종목04</t>
        </is>
      </c>
      <c r="B392" s="3" t="n">
        <v>45975</v>
      </c>
      <c r="C392" t="n">
        <v>180867</v>
      </c>
      <c r="D392" t="n">
        <v>7903319</v>
      </c>
      <c r="E392">
        <f>IF(A392="","",COUNTIFS($A$2:$A$20000,A392,$B$2:$B$20000,"&gt;"&amp;B392)+1)</f>
        <v/>
      </c>
    </row>
    <row r="393">
      <c r="A393" t="inlineStr">
        <is>
          <t>샘플종목04</t>
        </is>
      </c>
      <c r="B393" s="3" t="n">
        <v>45982</v>
      </c>
      <c r="C393" t="n">
        <v>176502</v>
      </c>
      <c r="D393" t="n">
        <v>3815193</v>
      </c>
      <c r="E393">
        <f>IF(A393="","",COUNTIFS($A$2:$A$20000,A393,$B$2:$B$20000,"&gt;"&amp;B393)+1)</f>
        <v/>
      </c>
    </row>
    <row r="394">
      <c r="A394" t="inlineStr">
        <is>
          <t>샘플종목04</t>
        </is>
      </c>
      <c r="B394" s="3" t="n">
        <v>45989</v>
      </c>
      <c r="C394" t="n">
        <v>175459</v>
      </c>
      <c r="D394" t="n">
        <v>1928851</v>
      </c>
      <c r="E394">
        <f>IF(A394="","",COUNTIFS($A$2:$A$20000,A394,$B$2:$B$20000,"&gt;"&amp;B394)+1)</f>
        <v/>
      </c>
    </row>
    <row r="395">
      <c r="A395" t="inlineStr">
        <is>
          <t>샘플종목04</t>
        </is>
      </c>
      <c r="B395" s="3" t="n">
        <v>45996</v>
      </c>
      <c r="C395" t="n">
        <v>190470</v>
      </c>
      <c r="D395" t="n">
        <v>8417551</v>
      </c>
      <c r="E395">
        <f>IF(A395="","",COUNTIFS($A$2:$A$20000,A395,$B$2:$B$20000,"&gt;"&amp;B395)+1)</f>
        <v/>
      </c>
    </row>
    <row r="396">
      <c r="A396" t="inlineStr">
        <is>
          <t>샘플종목04</t>
        </is>
      </c>
      <c r="B396" s="3" t="n">
        <v>46003</v>
      </c>
      <c r="C396" t="n">
        <v>178355</v>
      </c>
      <c r="D396" t="n">
        <v>8237834</v>
      </c>
      <c r="E396">
        <f>IF(A396="","",COUNTIFS($A$2:$A$20000,A396,$B$2:$B$20000,"&gt;"&amp;B396)+1)</f>
        <v/>
      </c>
    </row>
    <row r="397">
      <c r="A397" t="inlineStr">
        <is>
          <t>샘플종목04</t>
        </is>
      </c>
      <c r="B397" s="3" t="n">
        <v>46010</v>
      </c>
      <c r="C397" t="n">
        <v>169019</v>
      </c>
      <c r="D397" t="n">
        <v>7096586</v>
      </c>
      <c r="E397">
        <f>IF(A397="","",COUNTIFS($A$2:$A$20000,A397,$B$2:$B$20000,"&gt;"&amp;B397)+1)</f>
        <v/>
      </c>
    </row>
    <row r="398">
      <c r="A398" t="inlineStr">
        <is>
          <t>샘플종목04</t>
        </is>
      </c>
      <c r="B398" s="3" t="n">
        <v>46017</v>
      </c>
      <c r="C398" t="n">
        <v>171306</v>
      </c>
      <c r="D398" t="n">
        <v>2555900</v>
      </c>
      <c r="E398">
        <f>IF(A398="","",COUNTIFS($A$2:$A$20000,A398,$B$2:$B$20000,"&gt;"&amp;B398)+1)</f>
        <v/>
      </c>
    </row>
    <row r="399">
      <c r="A399" t="inlineStr">
        <is>
          <t>샘플종목04</t>
        </is>
      </c>
      <c r="B399" s="3" t="n">
        <v>46024</v>
      </c>
      <c r="C399" t="n">
        <v>170402</v>
      </c>
      <c r="D399" t="n">
        <v>6701163</v>
      </c>
      <c r="E399">
        <f>IF(A399="","",COUNTIFS($A$2:$A$20000,A399,$B$2:$B$20000,"&gt;"&amp;B399)+1)</f>
        <v/>
      </c>
    </row>
    <row r="400">
      <c r="A400" t="inlineStr">
        <is>
          <t>샘플종목04</t>
        </is>
      </c>
      <c r="B400" s="3" t="n">
        <v>46031</v>
      </c>
      <c r="C400" t="n">
        <v>172147</v>
      </c>
      <c r="D400" t="n">
        <v>2480872</v>
      </c>
      <c r="E400">
        <f>IF(A400="","",COUNTIFS($A$2:$A$20000,A400,$B$2:$B$20000,"&gt;"&amp;B400)+1)</f>
        <v/>
      </c>
    </row>
    <row r="401">
      <c r="A401" t="inlineStr">
        <is>
          <t>샘플종목04</t>
        </is>
      </c>
      <c r="B401" s="3" t="n">
        <v>46038</v>
      </c>
      <c r="C401" t="n">
        <v>172996</v>
      </c>
      <c r="D401" t="n">
        <v>7069002</v>
      </c>
      <c r="E401">
        <f>IF(A401="","",COUNTIFS($A$2:$A$20000,A401,$B$2:$B$20000,"&gt;"&amp;B401)+1)</f>
        <v/>
      </c>
    </row>
    <row r="402">
      <c r="A402" t="inlineStr">
        <is>
          <t>샘플종목04</t>
        </is>
      </c>
      <c r="B402" s="3" t="n">
        <v>46045</v>
      </c>
      <c r="C402" t="n">
        <v>175651</v>
      </c>
      <c r="D402" t="n">
        <v>6698843</v>
      </c>
      <c r="E402">
        <f>IF(A402="","",COUNTIFS($A$2:$A$20000,A402,$B$2:$B$20000,"&gt;"&amp;B402)+1)</f>
        <v/>
      </c>
    </row>
    <row r="403">
      <c r="A403" t="inlineStr">
        <is>
          <t>샘플종목04</t>
        </is>
      </c>
      <c r="B403" s="3" t="n">
        <v>46052</v>
      </c>
      <c r="C403" t="n">
        <v>176794</v>
      </c>
      <c r="D403" t="n">
        <v>7643740</v>
      </c>
      <c r="E403">
        <f>IF(A403="","",COUNTIFS($A$2:$A$20000,A403,$B$2:$B$20000,"&gt;"&amp;B403)+1)</f>
        <v/>
      </c>
    </row>
    <row r="404">
      <c r="A404" t="inlineStr">
        <is>
          <t>샘플종목04</t>
        </is>
      </c>
      <c r="B404" s="3" t="n">
        <v>46059</v>
      </c>
      <c r="C404" t="n">
        <v>188913</v>
      </c>
      <c r="D404" t="n">
        <v>1999274</v>
      </c>
      <c r="E404">
        <f>IF(A404="","",COUNTIFS($A$2:$A$20000,A404,$B$2:$B$20000,"&gt;"&amp;B404)+1)</f>
        <v/>
      </c>
    </row>
    <row r="405">
      <c r="A405" t="inlineStr">
        <is>
          <t>샘플종목04</t>
        </is>
      </c>
      <c r="B405" s="3" t="n">
        <v>46066</v>
      </c>
      <c r="C405" t="n">
        <v>179934</v>
      </c>
      <c r="D405" t="n">
        <v>1431459</v>
      </c>
      <c r="E405">
        <f>IF(A405="","",COUNTIFS($A$2:$A$20000,A405,$B$2:$B$20000,"&gt;"&amp;B405)+1)</f>
        <v/>
      </c>
    </row>
    <row r="406">
      <c r="A406" t="inlineStr">
        <is>
          <t>샘플종목04</t>
        </is>
      </c>
      <c r="B406" s="3" t="n">
        <v>46073</v>
      </c>
      <c r="C406" t="n">
        <v>186141</v>
      </c>
      <c r="D406" t="n">
        <v>3212378</v>
      </c>
      <c r="E406">
        <f>IF(A406="","",COUNTIFS($A$2:$A$20000,A406,$B$2:$B$20000,"&gt;"&amp;B406)+1)</f>
        <v/>
      </c>
    </row>
    <row r="407">
      <c r="A407" t="inlineStr">
        <is>
          <t>샘플종목04</t>
        </is>
      </c>
      <c r="B407" s="3" t="n">
        <v>46080</v>
      </c>
      <c r="C407" t="n">
        <v>183740</v>
      </c>
      <c r="D407" t="n">
        <v>8904642</v>
      </c>
      <c r="E407">
        <f>IF(A407="","",COUNTIFS($A$2:$A$20000,A407,$B$2:$B$20000,"&gt;"&amp;B407)+1)</f>
        <v/>
      </c>
    </row>
    <row r="408">
      <c r="A408" t="inlineStr">
        <is>
          <t>샘플종목04</t>
        </is>
      </c>
      <c r="B408" s="3" t="n">
        <v>46087</v>
      </c>
      <c r="C408" t="n">
        <v>184065</v>
      </c>
      <c r="D408" t="n">
        <v>6452179</v>
      </c>
      <c r="E408">
        <f>IF(A408="","",COUNTIFS($A$2:$A$20000,A408,$B$2:$B$20000,"&gt;"&amp;B408)+1)</f>
        <v/>
      </c>
    </row>
    <row r="409">
      <c r="A409" t="inlineStr">
        <is>
          <t>샘플종목04</t>
        </is>
      </c>
      <c r="B409" s="3" t="n">
        <v>46094</v>
      </c>
      <c r="C409" t="n">
        <v>182559</v>
      </c>
      <c r="D409" t="n">
        <v>6372726</v>
      </c>
      <c r="E409">
        <f>IF(A409="","",COUNTIFS($A$2:$A$20000,A409,$B$2:$B$20000,"&gt;"&amp;B409)+1)</f>
        <v/>
      </c>
    </row>
    <row r="410">
      <c r="A410" t="inlineStr">
        <is>
          <t>샘플종목04</t>
        </is>
      </c>
      <c r="B410" s="3" t="n">
        <v>46101</v>
      </c>
      <c r="C410" t="n">
        <v>190782</v>
      </c>
      <c r="D410" t="n">
        <v>1928005</v>
      </c>
      <c r="E410">
        <f>IF(A410="","",COUNTIFS($A$2:$A$20000,A410,$B$2:$B$20000,"&gt;"&amp;B410)+1)</f>
        <v/>
      </c>
    </row>
    <row r="411">
      <c r="A411" t="inlineStr">
        <is>
          <t>샘플종목04</t>
        </is>
      </c>
      <c r="B411" s="3" t="n">
        <v>46108</v>
      </c>
      <c r="C411" t="n">
        <v>190386</v>
      </c>
      <c r="D411" t="n">
        <v>148162</v>
      </c>
      <c r="E411">
        <f>IF(A411="","",COUNTIFS($A$2:$A$20000,A411,$B$2:$B$20000,"&gt;"&amp;B411)+1)</f>
        <v/>
      </c>
    </row>
    <row r="412">
      <c r="A412" t="inlineStr">
        <is>
          <t>샘플종목04</t>
        </is>
      </c>
      <c r="B412" s="3" t="n">
        <v>46115</v>
      </c>
      <c r="C412" t="n">
        <v>193522</v>
      </c>
      <c r="D412" t="n">
        <v>7149503</v>
      </c>
      <c r="E412">
        <f>IF(A412="","",COUNTIFS($A$2:$A$20000,A412,$B$2:$B$20000,"&gt;"&amp;B412)+1)</f>
        <v/>
      </c>
    </row>
    <row r="413">
      <c r="A413" t="inlineStr">
        <is>
          <t>샘플종목04</t>
        </is>
      </c>
      <c r="B413" s="3" t="n">
        <v>46122</v>
      </c>
      <c r="C413" t="n">
        <v>195409</v>
      </c>
      <c r="D413" t="n">
        <v>2175480</v>
      </c>
      <c r="E413">
        <f>IF(A413="","",COUNTIFS($A$2:$A$20000,A413,$B$2:$B$20000,"&gt;"&amp;B413)+1)</f>
        <v/>
      </c>
    </row>
    <row r="414">
      <c r="A414" t="inlineStr">
        <is>
          <t>샘플종목04</t>
        </is>
      </c>
      <c r="B414" s="3" t="n">
        <v>46129</v>
      </c>
      <c r="C414" t="n">
        <v>183578</v>
      </c>
      <c r="D414" t="n">
        <v>6477517</v>
      </c>
      <c r="E414">
        <f>IF(A414="","",COUNTIFS($A$2:$A$20000,A414,$B$2:$B$20000,"&gt;"&amp;B414)+1)</f>
        <v/>
      </c>
    </row>
    <row r="415">
      <c r="A415" t="inlineStr">
        <is>
          <t>샘플종목04</t>
        </is>
      </c>
      <c r="B415" s="3" t="n">
        <v>46136</v>
      </c>
      <c r="C415" t="n">
        <v>179304</v>
      </c>
      <c r="D415" t="n">
        <v>6083245</v>
      </c>
      <c r="E415">
        <f>IF(A415="","",COUNTIFS($A$2:$A$20000,A415,$B$2:$B$20000,"&gt;"&amp;B415)+1)</f>
        <v/>
      </c>
    </row>
    <row r="416">
      <c r="A416" t="inlineStr">
        <is>
          <t>샘플종목04</t>
        </is>
      </c>
      <c r="B416" s="3" t="n">
        <v>46143</v>
      </c>
      <c r="C416" t="n">
        <v>180387</v>
      </c>
      <c r="D416" t="n">
        <v>7355295</v>
      </c>
      <c r="E416">
        <f>IF(A416="","",COUNTIFS($A$2:$A$20000,A416,$B$2:$B$20000,"&gt;"&amp;B416)+1)</f>
        <v/>
      </c>
    </row>
    <row r="417">
      <c r="A417" t="inlineStr">
        <is>
          <t>샘플종목04</t>
        </is>
      </c>
      <c r="B417" s="3" t="n">
        <v>46150</v>
      </c>
      <c r="C417" t="n">
        <v>174590</v>
      </c>
      <c r="D417" t="n">
        <v>1572372</v>
      </c>
      <c r="E417">
        <f>IF(A417="","",COUNTIFS($A$2:$A$20000,A417,$B$2:$B$20000,"&gt;"&amp;B417)+1)</f>
        <v/>
      </c>
    </row>
    <row r="418">
      <c r="A418" t="inlineStr">
        <is>
          <t>샘플종목04</t>
        </is>
      </c>
      <c r="B418" s="3" t="n">
        <v>46157</v>
      </c>
      <c r="C418" t="n">
        <v>182473</v>
      </c>
      <c r="D418" t="n">
        <v>6353109</v>
      </c>
      <c r="E418">
        <f>IF(A418="","",COUNTIFS($A$2:$A$20000,A418,$B$2:$B$20000,"&gt;"&amp;B418)+1)</f>
        <v/>
      </c>
    </row>
    <row r="419">
      <c r="A419" t="inlineStr">
        <is>
          <t>샘플종목04</t>
        </is>
      </c>
      <c r="B419" s="3" t="n">
        <v>46164</v>
      </c>
      <c r="C419" t="n">
        <v>185356</v>
      </c>
      <c r="D419" t="n">
        <v>9185349</v>
      </c>
      <c r="E419">
        <f>IF(A419="","",COUNTIFS($A$2:$A$20000,A419,$B$2:$B$20000,"&gt;"&amp;B419)+1)</f>
        <v/>
      </c>
    </row>
    <row r="420">
      <c r="A420" t="inlineStr">
        <is>
          <t>샘플종목04</t>
        </is>
      </c>
      <c r="B420" s="3" t="n">
        <v>46171</v>
      </c>
      <c r="C420" t="n">
        <v>189975</v>
      </c>
      <c r="D420" t="n">
        <v>6211081</v>
      </c>
      <c r="E420">
        <f>IF(A420="","",COUNTIFS($A$2:$A$20000,A420,$B$2:$B$20000,"&gt;"&amp;B420)+1)</f>
        <v/>
      </c>
    </row>
    <row r="421">
      <c r="A421" t="inlineStr">
        <is>
          <t>샘플종목04</t>
        </is>
      </c>
      <c r="B421" s="3" t="n">
        <v>46178</v>
      </c>
      <c r="C421" t="n">
        <v>187944</v>
      </c>
      <c r="D421" t="n">
        <v>8061365</v>
      </c>
      <c r="E421">
        <f>IF(A421="","",COUNTIFS($A$2:$A$20000,A421,$B$2:$B$20000,"&gt;"&amp;B421)+1)</f>
        <v/>
      </c>
    </row>
    <row r="422">
      <c r="A422" t="inlineStr">
        <is>
          <t>샘플종목04</t>
        </is>
      </c>
      <c r="B422" s="3" t="n">
        <v>46185</v>
      </c>
      <c r="C422" t="n">
        <v>195913</v>
      </c>
      <c r="D422" t="n">
        <v>6890957</v>
      </c>
      <c r="E422">
        <f>IF(A422="","",COUNTIFS($A$2:$A$20000,A422,$B$2:$B$20000,"&gt;"&amp;B422)+1)</f>
        <v/>
      </c>
    </row>
    <row r="423">
      <c r="A423" t="inlineStr">
        <is>
          <t>샘플종목04</t>
        </is>
      </c>
      <c r="B423" s="3" t="n">
        <v>46192</v>
      </c>
      <c r="C423" t="n">
        <v>197829</v>
      </c>
      <c r="D423" t="n">
        <v>781985</v>
      </c>
      <c r="E423">
        <f>IF(A423="","",COUNTIFS($A$2:$A$20000,A423,$B$2:$B$20000,"&gt;"&amp;B423)+1)</f>
        <v/>
      </c>
    </row>
    <row r="424">
      <c r="A424" t="inlineStr">
        <is>
          <t>샘플종목04</t>
        </is>
      </c>
      <c r="B424" s="3" t="n">
        <v>46199</v>
      </c>
      <c r="C424" t="n">
        <v>191953</v>
      </c>
      <c r="D424" t="n">
        <v>1140252</v>
      </c>
      <c r="E424">
        <f>IF(A424="","",COUNTIFS($A$2:$A$20000,A424,$B$2:$B$20000,"&gt;"&amp;B424)+1)</f>
        <v/>
      </c>
    </row>
    <row r="425">
      <c r="A425" t="inlineStr">
        <is>
          <t>샘플종목04</t>
        </is>
      </c>
      <c r="B425" s="3" t="n">
        <v>46206</v>
      </c>
      <c r="C425" t="n">
        <v>198379</v>
      </c>
      <c r="D425" t="n">
        <v>4412012</v>
      </c>
      <c r="E425">
        <f>IF(A425="","",COUNTIFS($A$2:$A$20000,A425,$B$2:$B$20000,"&gt;"&amp;B425)+1)</f>
        <v/>
      </c>
    </row>
    <row r="426">
      <c r="A426" t="inlineStr">
        <is>
          <t>샘플종목04</t>
        </is>
      </c>
      <c r="B426" s="3" t="n">
        <v>46213</v>
      </c>
      <c r="C426" t="n">
        <v>199745</v>
      </c>
      <c r="D426" t="n">
        <v>5788642</v>
      </c>
      <c r="E426">
        <f>IF(A426="","",COUNTIFS($A$2:$A$20000,A426,$B$2:$B$20000,"&gt;"&amp;B426)+1)</f>
        <v/>
      </c>
    </row>
    <row r="427">
      <c r="A427" t="inlineStr">
        <is>
          <t>샘플종목04</t>
        </is>
      </c>
      <c r="B427" s="3" t="n">
        <v>46220</v>
      </c>
      <c r="C427" t="n">
        <v>202853</v>
      </c>
      <c r="D427" t="n">
        <v>6189698</v>
      </c>
      <c r="E427">
        <f>IF(A427="","",COUNTIFS($A$2:$A$20000,A427,$B$2:$B$20000,"&gt;"&amp;B427)+1)</f>
        <v/>
      </c>
    </row>
    <row r="428">
      <c r="A428" t="inlineStr">
        <is>
          <t>샘플종목04</t>
        </is>
      </c>
      <c r="B428" s="3" t="n">
        <v>46227</v>
      </c>
      <c r="C428" t="n">
        <v>200407</v>
      </c>
      <c r="D428" t="n">
        <v>831244</v>
      </c>
      <c r="E428">
        <f>IF(A428="","",COUNTIFS($A$2:$A$20000,A428,$B$2:$B$20000,"&gt;"&amp;B428)+1)</f>
        <v/>
      </c>
    </row>
    <row r="429">
      <c r="A429" t="inlineStr">
        <is>
          <t>샘플종목04</t>
        </is>
      </c>
      <c r="B429" s="3" t="n">
        <v>46234</v>
      </c>
      <c r="C429" t="n">
        <v>220771</v>
      </c>
      <c r="D429" t="n">
        <v>4498524</v>
      </c>
      <c r="E429">
        <f>IF(A429="","",COUNTIFS($A$2:$A$20000,A429,$B$2:$B$20000,"&gt;"&amp;B429)+1)</f>
        <v/>
      </c>
    </row>
    <row r="430">
      <c r="A430" t="inlineStr">
        <is>
          <t>샘플종목04</t>
        </is>
      </c>
      <c r="B430" s="3" t="n">
        <v>46241</v>
      </c>
      <c r="C430" t="n">
        <v>220910</v>
      </c>
      <c r="D430" t="n">
        <v>4724309</v>
      </c>
      <c r="E430">
        <f>IF(A430="","",COUNTIFS($A$2:$A$20000,A430,$B$2:$B$20000,"&gt;"&amp;B430)+1)</f>
        <v/>
      </c>
    </row>
    <row r="431">
      <c r="A431" t="inlineStr">
        <is>
          <t>샘플종목04</t>
        </is>
      </c>
      <c r="B431" s="3" t="n">
        <v>46248</v>
      </c>
      <c r="C431" t="n">
        <v>207840</v>
      </c>
      <c r="D431" t="n">
        <v>5089642</v>
      </c>
      <c r="E431">
        <f>IF(A431="","",COUNTIFS($A$2:$A$20000,A431,$B$2:$B$20000,"&gt;"&amp;B431)+1)</f>
        <v/>
      </c>
    </row>
    <row r="432">
      <c r="A432" t="inlineStr">
        <is>
          <t>샘플종목04</t>
        </is>
      </c>
      <c r="B432" s="3" t="n">
        <v>46255</v>
      </c>
      <c r="C432" t="n">
        <v>222208</v>
      </c>
      <c r="D432" t="n">
        <v>1196090</v>
      </c>
      <c r="E432">
        <f>IF(A432="","",COUNTIFS($A$2:$A$20000,A432,$B$2:$B$20000,"&gt;"&amp;B432)+1)</f>
        <v/>
      </c>
    </row>
    <row r="433">
      <c r="A433" t="inlineStr">
        <is>
          <t>샘플종목04</t>
        </is>
      </c>
      <c r="B433" s="3" t="n">
        <v>46262</v>
      </c>
      <c r="C433" t="n">
        <v>223006</v>
      </c>
      <c r="D433" t="n">
        <v>506959</v>
      </c>
      <c r="E433">
        <f>IF(A433="","",COUNTIFS($A$2:$A$20000,A433,$B$2:$B$20000,"&gt;"&amp;B433)+1)</f>
        <v/>
      </c>
    </row>
    <row r="434">
      <c r="A434" t="inlineStr">
        <is>
          <t>샘플종목04</t>
        </is>
      </c>
      <c r="B434" s="3" t="n">
        <v>46269</v>
      </c>
      <c r="C434" t="n">
        <v>225405</v>
      </c>
      <c r="D434" t="n">
        <v>7913886</v>
      </c>
      <c r="E434">
        <f>IF(A434="","",COUNTIFS($A$2:$A$20000,A434,$B$2:$B$20000,"&gt;"&amp;B434)+1)</f>
        <v/>
      </c>
    </row>
    <row r="435">
      <c r="A435" t="inlineStr">
        <is>
          <t>샘플종목04</t>
        </is>
      </c>
      <c r="B435" s="3" t="n">
        <v>46276</v>
      </c>
      <c r="C435" t="n">
        <v>222042</v>
      </c>
      <c r="D435" t="n">
        <v>6584642</v>
      </c>
      <c r="E435">
        <f>IF(A435="","",COUNTIFS($A$2:$A$20000,A435,$B$2:$B$20000,"&gt;"&amp;B435)+1)</f>
        <v/>
      </c>
    </row>
    <row r="436">
      <c r="A436" t="inlineStr">
        <is>
          <t>샘플종목04</t>
        </is>
      </c>
      <c r="B436" s="3" t="n">
        <v>46283</v>
      </c>
      <c r="C436" t="n">
        <v>227349</v>
      </c>
      <c r="D436" t="n">
        <v>8379117</v>
      </c>
      <c r="E436">
        <f>IF(A436="","",COUNTIFS($A$2:$A$20000,A436,$B$2:$B$20000,"&gt;"&amp;B436)+1)</f>
        <v/>
      </c>
    </row>
    <row r="437">
      <c r="A437" t="inlineStr">
        <is>
          <t>샘플종목04</t>
        </is>
      </c>
      <c r="B437" s="3" t="n">
        <v>46290</v>
      </c>
      <c r="C437" t="n">
        <v>208307</v>
      </c>
      <c r="D437" t="n">
        <v>2326458</v>
      </c>
      <c r="E437">
        <f>IF(A437="","",COUNTIFS($A$2:$A$20000,A437,$B$2:$B$20000,"&gt;"&amp;B437)+1)</f>
        <v/>
      </c>
    </row>
    <row r="438">
      <c r="A438" t="inlineStr">
        <is>
          <t>샘플종목04</t>
        </is>
      </c>
      <c r="B438" s="3" t="n">
        <v>46297</v>
      </c>
      <c r="C438" t="n">
        <v>213489</v>
      </c>
      <c r="D438" t="n">
        <v>5188777</v>
      </c>
      <c r="E438">
        <f>IF(A438="","",COUNTIFS($A$2:$A$20000,A438,$B$2:$B$20000,"&gt;"&amp;B438)+1)</f>
        <v/>
      </c>
    </row>
    <row r="439">
      <c r="A439" t="inlineStr">
        <is>
          <t>샘플종목04</t>
        </is>
      </c>
      <c r="B439" s="3" t="n">
        <v>46304</v>
      </c>
      <c r="C439" t="n">
        <v>211546</v>
      </c>
      <c r="D439" t="n">
        <v>2638648</v>
      </c>
      <c r="E439">
        <f>IF(A439="","",COUNTIFS($A$2:$A$20000,A439,$B$2:$B$20000,"&gt;"&amp;B439)+1)</f>
        <v/>
      </c>
    </row>
    <row r="440">
      <c r="A440" t="inlineStr">
        <is>
          <t>샘플종목04</t>
        </is>
      </c>
      <c r="B440" s="3" t="n">
        <v>46311</v>
      </c>
      <c r="C440" t="n">
        <v>206076</v>
      </c>
      <c r="D440" t="n">
        <v>5461138</v>
      </c>
      <c r="E440">
        <f>IF(A440="","",COUNTIFS($A$2:$A$20000,A440,$B$2:$B$20000,"&gt;"&amp;B440)+1)</f>
        <v/>
      </c>
    </row>
    <row r="441">
      <c r="A441" t="inlineStr">
        <is>
          <t>샘플종목04</t>
        </is>
      </c>
      <c r="B441" s="3" t="n">
        <v>46318</v>
      </c>
      <c r="C441" t="n">
        <v>201904</v>
      </c>
      <c r="D441" t="n">
        <v>7830625</v>
      </c>
      <c r="E441">
        <f>IF(A441="","",COUNTIFS($A$2:$A$20000,A441,$B$2:$B$20000,"&gt;"&amp;B441)+1)</f>
        <v/>
      </c>
    </row>
    <row r="442">
      <c r="A442" t="inlineStr">
        <is>
          <t>샘플종목05</t>
        </is>
      </c>
      <c r="B442" s="3" t="n">
        <v>45555</v>
      </c>
      <c r="C442" t="n">
        <v>75960</v>
      </c>
      <c r="D442" t="n">
        <v>3410342</v>
      </c>
      <c r="E442">
        <f>IF(A442="","",COUNTIFS($A$2:$A$20000,A442,$B$2:$B$20000,"&gt;"&amp;B442)+1)</f>
        <v/>
      </c>
    </row>
    <row r="443">
      <c r="A443" t="inlineStr">
        <is>
          <t>샘플종목05</t>
        </is>
      </c>
      <c r="B443" s="3" t="n">
        <v>45562</v>
      </c>
      <c r="C443" t="n">
        <v>74905</v>
      </c>
      <c r="D443" t="n">
        <v>6671390</v>
      </c>
      <c r="E443">
        <f>IF(A443="","",COUNTIFS($A$2:$A$20000,A443,$B$2:$B$20000,"&gt;"&amp;B443)+1)</f>
        <v/>
      </c>
    </row>
    <row r="444">
      <c r="A444" t="inlineStr">
        <is>
          <t>샘플종목05</t>
        </is>
      </c>
      <c r="B444" s="3" t="n">
        <v>45569</v>
      </c>
      <c r="C444" t="n">
        <v>75095</v>
      </c>
      <c r="D444" t="n">
        <v>1186039</v>
      </c>
      <c r="E444">
        <f>IF(A444="","",COUNTIFS($A$2:$A$20000,A444,$B$2:$B$20000,"&gt;"&amp;B444)+1)</f>
        <v/>
      </c>
    </row>
    <row r="445">
      <c r="A445" t="inlineStr">
        <is>
          <t>샘플종목05</t>
        </is>
      </c>
      <c r="B445" s="3" t="n">
        <v>45576</v>
      </c>
      <c r="C445" t="n">
        <v>72982</v>
      </c>
      <c r="D445" t="n">
        <v>668138</v>
      </c>
      <c r="E445">
        <f>IF(A445="","",COUNTIFS($A$2:$A$20000,A445,$B$2:$B$20000,"&gt;"&amp;B445)+1)</f>
        <v/>
      </c>
    </row>
    <row r="446">
      <c r="A446" t="inlineStr">
        <is>
          <t>샘플종목05</t>
        </is>
      </c>
      <c r="B446" s="3" t="n">
        <v>45583</v>
      </c>
      <c r="C446" t="n">
        <v>69490</v>
      </c>
      <c r="D446" t="n">
        <v>2795970</v>
      </c>
      <c r="E446">
        <f>IF(A446="","",COUNTIFS($A$2:$A$20000,A446,$B$2:$B$20000,"&gt;"&amp;B446)+1)</f>
        <v/>
      </c>
    </row>
    <row r="447">
      <c r="A447" t="inlineStr">
        <is>
          <t>샘플종목05</t>
        </is>
      </c>
      <c r="B447" s="3" t="n">
        <v>45590</v>
      </c>
      <c r="C447" t="n">
        <v>70029</v>
      </c>
      <c r="D447" t="n">
        <v>7256393</v>
      </c>
      <c r="E447">
        <f>IF(A447="","",COUNTIFS($A$2:$A$20000,A447,$B$2:$B$20000,"&gt;"&amp;B447)+1)</f>
        <v/>
      </c>
    </row>
    <row r="448">
      <c r="A448" t="inlineStr">
        <is>
          <t>샘플종목05</t>
        </is>
      </c>
      <c r="B448" s="3" t="n">
        <v>45597</v>
      </c>
      <c r="C448" t="n">
        <v>76356</v>
      </c>
      <c r="D448" t="n">
        <v>4544138</v>
      </c>
      <c r="E448">
        <f>IF(A448="","",COUNTIFS($A$2:$A$20000,A448,$B$2:$B$20000,"&gt;"&amp;B448)+1)</f>
        <v/>
      </c>
    </row>
    <row r="449">
      <c r="A449" t="inlineStr">
        <is>
          <t>샘플종목05</t>
        </is>
      </c>
      <c r="B449" s="3" t="n">
        <v>45604</v>
      </c>
      <c r="C449" t="n">
        <v>70446</v>
      </c>
      <c r="D449" t="n">
        <v>1510671</v>
      </c>
      <c r="E449">
        <f>IF(A449="","",COUNTIFS($A$2:$A$20000,A449,$B$2:$B$20000,"&gt;"&amp;B449)+1)</f>
        <v/>
      </c>
    </row>
    <row r="450">
      <c r="A450" t="inlineStr">
        <is>
          <t>샘플종목05</t>
        </is>
      </c>
      <c r="B450" s="3" t="n">
        <v>45611</v>
      </c>
      <c r="C450" t="n">
        <v>71349</v>
      </c>
      <c r="D450" t="n">
        <v>7598796</v>
      </c>
      <c r="E450">
        <f>IF(A450="","",COUNTIFS($A$2:$A$20000,A450,$B$2:$B$20000,"&gt;"&amp;B450)+1)</f>
        <v/>
      </c>
    </row>
    <row r="451">
      <c r="A451" t="inlineStr">
        <is>
          <t>샘플종목05</t>
        </is>
      </c>
      <c r="B451" s="3" t="n">
        <v>45618</v>
      </c>
      <c r="C451" t="n">
        <v>74374</v>
      </c>
      <c r="D451" t="n">
        <v>3005677</v>
      </c>
      <c r="E451">
        <f>IF(A451="","",COUNTIFS($A$2:$A$20000,A451,$B$2:$B$20000,"&gt;"&amp;B451)+1)</f>
        <v/>
      </c>
    </row>
    <row r="452">
      <c r="A452" t="inlineStr">
        <is>
          <t>샘플종목05</t>
        </is>
      </c>
      <c r="B452" s="3" t="n">
        <v>45625</v>
      </c>
      <c r="C452" t="n">
        <v>74829</v>
      </c>
      <c r="D452" t="n">
        <v>4041526</v>
      </c>
      <c r="E452">
        <f>IF(A452="","",COUNTIFS($A$2:$A$20000,A452,$B$2:$B$20000,"&gt;"&amp;B452)+1)</f>
        <v/>
      </c>
    </row>
    <row r="453">
      <c r="A453" t="inlineStr">
        <is>
          <t>샘플종목05</t>
        </is>
      </c>
      <c r="B453" s="3" t="n">
        <v>45632</v>
      </c>
      <c r="C453" t="n">
        <v>78072</v>
      </c>
      <c r="D453" t="n">
        <v>9135614</v>
      </c>
      <c r="E453">
        <f>IF(A453="","",COUNTIFS($A$2:$A$20000,A453,$B$2:$B$20000,"&gt;"&amp;B453)+1)</f>
        <v/>
      </c>
    </row>
    <row r="454">
      <c r="A454" t="inlineStr">
        <is>
          <t>샘플종목05</t>
        </is>
      </c>
      <c r="B454" s="3" t="n">
        <v>45639</v>
      </c>
      <c r="C454" t="n">
        <v>80870</v>
      </c>
      <c r="D454" t="n">
        <v>2132806</v>
      </c>
      <c r="E454">
        <f>IF(A454="","",COUNTIFS($A$2:$A$20000,A454,$B$2:$B$20000,"&gt;"&amp;B454)+1)</f>
        <v/>
      </c>
    </row>
    <row r="455">
      <c r="A455" t="inlineStr">
        <is>
          <t>샘플종목05</t>
        </is>
      </c>
      <c r="B455" s="3" t="n">
        <v>45646</v>
      </c>
      <c r="C455" t="n">
        <v>77112</v>
      </c>
      <c r="D455" t="n">
        <v>5031216</v>
      </c>
      <c r="E455">
        <f>IF(A455="","",COUNTIFS($A$2:$A$20000,A455,$B$2:$B$20000,"&gt;"&amp;B455)+1)</f>
        <v/>
      </c>
    </row>
    <row r="456">
      <c r="A456" t="inlineStr">
        <is>
          <t>샘플종목05</t>
        </is>
      </c>
      <c r="B456" s="3" t="n">
        <v>45653</v>
      </c>
      <c r="C456" t="n">
        <v>76182</v>
      </c>
      <c r="D456" t="n">
        <v>6357415</v>
      </c>
      <c r="E456">
        <f>IF(A456="","",COUNTIFS($A$2:$A$20000,A456,$B$2:$B$20000,"&gt;"&amp;B456)+1)</f>
        <v/>
      </c>
    </row>
    <row r="457">
      <c r="A457" t="inlineStr">
        <is>
          <t>샘플종목05</t>
        </is>
      </c>
      <c r="B457" s="3" t="n">
        <v>45660</v>
      </c>
      <c r="C457" t="n">
        <v>80128</v>
      </c>
      <c r="D457" t="n">
        <v>4362360</v>
      </c>
      <c r="E457">
        <f>IF(A457="","",COUNTIFS($A$2:$A$20000,A457,$B$2:$B$20000,"&gt;"&amp;B457)+1)</f>
        <v/>
      </c>
    </row>
    <row r="458">
      <c r="A458" t="inlineStr">
        <is>
          <t>샘플종목05</t>
        </is>
      </c>
      <c r="B458" s="3" t="n">
        <v>45667</v>
      </c>
      <c r="C458" t="n">
        <v>80128</v>
      </c>
      <c r="D458" t="n">
        <v>4251171</v>
      </c>
      <c r="E458">
        <f>IF(A458="","",COUNTIFS($A$2:$A$20000,A458,$B$2:$B$20000,"&gt;"&amp;B458)+1)</f>
        <v/>
      </c>
    </row>
    <row r="459">
      <c r="A459" t="inlineStr">
        <is>
          <t>샘플종목05</t>
        </is>
      </c>
      <c r="B459" s="3" t="n">
        <v>45674</v>
      </c>
      <c r="C459" t="n">
        <v>78158</v>
      </c>
      <c r="D459" t="n">
        <v>3216140</v>
      </c>
      <c r="E459">
        <f>IF(A459="","",COUNTIFS($A$2:$A$20000,A459,$B$2:$B$20000,"&gt;"&amp;B459)+1)</f>
        <v/>
      </c>
    </row>
    <row r="460">
      <c r="A460" t="inlineStr">
        <is>
          <t>샘플종목05</t>
        </is>
      </c>
      <c r="B460" s="3" t="n">
        <v>45681</v>
      </c>
      <c r="C460" t="n">
        <v>78368</v>
      </c>
      <c r="D460" t="n">
        <v>9801941</v>
      </c>
      <c r="E460">
        <f>IF(A460="","",COUNTIFS($A$2:$A$20000,A460,$B$2:$B$20000,"&gt;"&amp;B460)+1)</f>
        <v/>
      </c>
    </row>
    <row r="461">
      <c r="A461" t="inlineStr">
        <is>
          <t>샘플종목05</t>
        </is>
      </c>
      <c r="B461" s="3" t="n">
        <v>45688</v>
      </c>
      <c r="C461" t="n">
        <v>80332</v>
      </c>
      <c r="D461" t="n">
        <v>3258313</v>
      </c>
      <c r="E461">
        <f>IF(A461="","",COUNTIFS($A$2:$A$20000,A461,$B$2:$B$20000,"&gt;"&amp;B461)+1)</f>
        <v/>
      </c>
    </row>
    <row r="462">
      <c r="A462" t="inlineStr">
        <is>
          <t>샘플종목05</t>
        </is>
      </c>
      <c r="B462" s="3" t="n">
        <v>45695</v>
      </c>
      <c r="C462" t="n">
        <v>79004</v>
      </c>
      <c r="D462" t="n">
        <v>4226343</v>
      </c>
      <c r="E462">
        <f>IF(A462="","",COUNTIFS($A$2:$A$20000,A462,$B$2:$B$20000,"&gt;"&amp;B462)+1)</f>
        <v/>
      </c>
    </row>
    <row r="463">
      <c r="A463" t="inlineStr">
        <is>
          <t>샘플종목05</t>
        </is>
      </c>
      <c r="B463" s="3" t="n">
        <v>45702</v>
      </c>
      <c r="C463" t="n">
        <v>81977</v>
      </c>
      <c r="D463" t="n">
        <v>8611492</v>
      </c>
      <c r="E463">
        <f>IF(A463="","",COUNTIFS($A$2:$A$20000,A463,$B$2:$B$20000,"&gt;"&amp;B463)+1)</f>
        <v/>
      </c>
    </row>
    <row r="464">
      <c r="A464" t="inlineStr">
        <is>
          <t>샘플종목05</t>
        </is>
      </c>
      <c r="B464" s="3" t="n">
        <v>45709</v>
      </c>
      <c r="C464" t="n">
        <v>77457</v>
      </c>
      <c r="D464" t="n">
        <v>1786822</v>
      </c>
      <c r="E464">
        <f>IF(A464="","",COUNTIFS($A$2:$A$20000,A464,$B$2:$B$20000,"&gt;"&amp;B464)+1)</f>
        <v/>
      </c>
    </row>
    <row r="465">
      <c r="A465" t="inlineStr">
        <is>
          <t>샘플종목05</t>
        </is>
      </c>
      <c r="B465" s="3" t="n">
        <v>45716</v>
      </c>
      <c r="C465" t="n">
        <v>76873</v>
      </c>
      <c r="D465" t="n">
        <v>7883213</v>
      </c>
      <c r="E465">
        <f>IF(A465="","",COUNTIFS($A$2:$A$20000,A465,$B$2:$B$20000,"&gt;"&amp;B465)+1)</f>
        <v/>
      </c>
    </row>
    <row r="466">
      <c r="A466" t="inlineStr">
        <is>
          <t>샘플종목05</t>
        </is>
      </c>
      <c r="B466" s="3" t="n">
        <v>45723</v>
      </c>
      <c r="C466" t="n">
        <v>78453</v>
      </c>
      <c r="D466" t="n">
        <v>8065197</v>
      </c>
      <c r="E466">
        <f>IF(A466="","",COUNTIFS($A$2:$A$20000,A466,$B$2:$B$20000,"&gt;"&amp;B466)+1)</f>
        <v/>
      </c>
    </row>
    <row r="467">
      <c r="A467" t="inlineStr">
        <is>
          <t>샘플종목05</t>
        </is>
      </c>
      <c r="B467" s="3" t="n">
        <v>45730</v>
      </c>
      <c r="C467" t="n">
        <v>78528</v>
      </c>
      <c r="D467" t="n">
        <v>3977442</v>
      </c>
      <c r="E467">
        <f>IF(A467="","",COUNTIFS($A$2:$A$20000,A467,$B$2:$B$20000,"&gt;"&amp;B467)+1)</f>
        <v/>
      </c>
    </row>
    <row r="468">
      <c r="A468" t="inlineStr">
        <is>
          <t>샘플종목05</t>
        </is>
      </c>
      <c r="B468" s="3" t="n">
        <v>45737</v>
      </c>
      <c r="C468" t="n">
        <v>82437</v>
      </c>
      <c r="D468" t="n">
        <v>777159</v>
      </c>
      <c r="E468">
        <f>IF(A468="","",COUNTIFS($A$2:$A$20000,A468,$B$2:$B$20000,"&gt;"&amp;B468)+1)</f>
        <v/>
      </c>
    </row>
    <row r="469">
      <c r="A469" t="inlineStr">
        <is>
          <t>샘플종목05</t>
        </is>
      </c>
      <c r="B469" s="3" t="n">
        <v>45744</v>
      </c>
      <c r="C469" t="n">
        <v>76443</v>
      </c>
      <c r="D469" t="n">
        <v>5027090</v>
      </c>
      <c r="E469">
        <f>IF(A469="","",COUNTIFS($A$2:$A$20000,A469,$B$2:$B$20000,"&gt;"&amp;B469)+1)</f>
        <v/>
      </c>
    </row>
    <row r="470">
      <c r="A470" t="inlineStr">
        <is>
          <t>샘플종목05</t>
        </is>
      </c>
      <c r="B470" s="3" t="n">
        <v>45751</v>
      </c>
      <c r="C470" t="n">
        <v>76701</v>
      </c>
      <c r="D470" t="n">
        <v>9884367</v>
      </c>
      <c r="E470">
        <f>IF(A470="","",COUNTIFS($A$2:$A$20000,A470,$B$2:$B$20000,"&gt;"&amp;B470)+1)</f>
        <v/>
      </c>
    </row>
    <row r="471">
      <c r="A471" t="inlineStr">
        <is>
          <t>샘플종목05</t>
        </is>
      </c>
      <c r="B471" s="3" t="n">
        <v>45758</v>
      </c>
      <c r="C471" t="n">
        <v>77835</v>
      </c>
      <c r="D471" t="n">
        <v>3357491</v>
      </c>
      <c r="E471">
        <f>IF(A471="","",COUNTIFS($A$2:$A$20000,A471,$B$2:$B$20000,"&gt;"&amp;B471)+1)</f>
        <v/>
      </c>
    </row>
    <row r="472">
      <c r="A472" t="inlineStr">
        <is>
          <t>샘플종목05</t>
        </is>
      </c>
      <c r="B472" s="3" t="n">
        <v>45765</v>
      </c>
      <c r="C472" t="n">
        <v>80711</v>
      </c>
      <c r="D472" t="n">
        <v>3082301</v>
      </c>
      <c r="E472">
        <f>IF(A472="","",COUNTIFS($A$2:$A$20000,A472,$B$2:$B$20000,"&gt;"&amp;B472)+1)</f>
        <v/>
      </c>
    </row>
    <row r="473">
      <c r="A473" t="inlineStr">
        <is>
          <t>샘플종목05</t>
        </is>
      </c>
      <c r="B473" s="3" t="n">
        <v>45772</v>
      </c>
      <c r="C473" t="n">
        <v>79549</v>
      </c>
      <c r="D473" t="n">
        <v>7634880</v>
      </c>
      <c r="E473">
        <f>IF(A473="","",COUNTIFS($A$2:$A$20000,A473,$B$2:$B$20000,"&gt;"&amp;B473)+1)</f>
        <v/>
      </c>
    </row>
    <row r="474">
      <c r="A474" t="inlineStr">
        <is>
          <t>샘플종목05</t>
        </is>
      </c>
      <c r="B474" s="3" t="n">
        <v>45779</v>
      </c>
      <c r="C474" t="n">
        <v>75324</v>
      </c>
      <c r="D474" t="n">
        <v>206359</v>
      </c>
      <c r="E474">
        <f>IF(A474="","",COUNTIFS($A$2:$A$20000,A474,$B$2:$B$20000,"&gt;"&amp;B474)+1)</f>
        <v/>
      </c>
    </row>
    <row r="475">
      <c r="A475" t="inlineStr">
        <is>
          <t>샘플종목05</t>
        </is>
      </c>
      <c r="B475" s="3" t="n">
        <v>45786</v>
      </c>
      <c r="C475" t="n">
        <v>72336</v>
      </c>
      <c r="D475" t="n">
        <v>1874694</v>
      </c>
      <c r="E475">
        <f>IF(A475="","",COUNTIFS($A$2:$A$20000,A475,$B$2:$B$20000,"&gt;"&amp;B475)+1)</f>
        <v/>
      </c>
    </row>
    <row r="476">
      <c r="A476" t="inlineStr">
        <is>
          <t>샘플종목05</t>
        </is>
      </c>
      <c r="B476" s="3" t="n">
        <v>45793</v>
      </c>
      <c r="C476" t="n">
        <v>69524</v>
      </c>
      <c r="D476" t="n">
        <v>5966986</v>
      </c>
      <c r="E476">
        <f>IF(A476="","",COUNTIFS($A$2:$A$20000,A476,$B$2:$B$20000,"&gt;"&amp;B476)+1)</f>
        <v/>
      </c>
    </row>
    <row r="477">
      <c r="A477" t="inlineStr">
        <is>
          <t>샘플종목05</t>
        </is>
      </c>
      <c r="B477" s="3" t="n">
        <v>45800</v>
      </c>
      <c r="C477" t="n">
        <v>66338</v>
      </c>
      <c r="D477" t="n">
        <v>3751484</v>
      </c>
      <c r="E477">
        <f>IF(A477="","",COUNTIFS($A$2:$A$20000,A477,$B$2:$B$20000,"&gt;"&amp;B477)+1)</f>
        <v/>
      </c>
    </row>
    <row r="478">
      <c r="A478" t="inlineStr">
        <is>
          <t>샘플종목05</t>
        </is>
      </c>
      <c r="B478" s="3" t="n">
        <v>45807</v>
      </c>
      <c r="C478" t="n">
        <v>68823</v>
      </c>
      <c r="D478" t="n">
        <v>840991</v>
      </c>
      <c r="E478">
        <f>IF(A478="","",COUNTIFS($A$2:$A$20000,A478,$B$2:$B$20000,"&gt;"&amp;B478)+1)</f>
        <v/>
      </c>
    </row>
    <row r="479">
      <c r="A479" t="inlineStr">
        <is>
          <t>샘플종목05</t>
        </is>
      </c>
      <c r="B479" s="3" t="n">
        <v>45814</v>
      </c>
      <c r="C479" t="n">
        <v>69546</v>
      </c>
      <c r="D479" t="n">
        <v>3522156</v>
      </c>
      <c r="E479">
        <f>IF(A479="","",COUNTIFS($A$2:$A$20000,A479,$B$2:$B$20000,"&gt;"&amp;B479)+1)</f>
        <v/>
      </c>
    </row>
    <row r="480">
      <c r="A480" t="inlineStr">
        <is>
          <t>샘플종목05</t>
        </is>
      </c>
      <c r="B480" s="3" t="n">
        <v>45821</v>
      </c>
      <c r="C480" t="n">
        <v>70462</v>
      </c>
      <c r="D480" t="n">
        <v>3513186</v>
      </c>
      <c r="E480">
        <f>IF(A480="","",COUNTIFS($A$2:$A$20000,A480,$B$2:$B$20000,"&gt;"&amp;B480)+1)</f>
        <v/>
      </c>
    </row>
    <row r="481">
      <c r="A481" t="inlineStr">
        <is>
          <t>샘플종목05</t>
        </is>
      </c>
      <c r="B481" s="3" t="n">
        <v>45828</v>
      </c>
      <c r="C481" t="n">
        <v>70602</v>
      </c>
      <c r="D481" t="n">
        <v>290921</v>
      </c>
      <c r="E481">
        <f>IF(A481="","",COUNTIFS($A$2:$A$20000,A481,$B$2:$B$20000,"&gt;"&amp;B481)+1)</f>
        <v/>
      </c>
    </row>
    <row r="482">
      <c r="A482" t="inlineStr">
        <is>
          <t>샘플종목05</t>
        </is>
      </c>
      <c r="B482" s="3" t="n">
        <v>45835</v>
      </c>
      <c r="C482" t="n">
        <v>71957</v>
      </c>
      <c r="D482" t="n">
        <v>6337924</v>
      </c>
      <c r="E482">
        <f>IF(A482="","",COUNTIFS($A$2:$A$20000,A482,$B$2:$B$20000,"&gt;"&amp;B482)+1)</f>
        <v/>
      </c>
    </row>
    <row r="483">
      <c r="A483" t="inlineStr">
        <is>
          <t>샘플종목05</t>
        </is>
      </c>
      <c r="B483" s="3" t="n">
        <v>45842</v>
      </c>
      <c r="C483" t="n">
        <v>69421</v>
      </c>
      <c r="D483" t="n">
        <v>3206219</v>
      </c>
      <c r="E483">
        <f>IF(A483="","",COUNTIFS($A$2:$A$20000,A483,$B$2:$B$20000,"&gt;"&amp;B483)+1)</f>
        <v/>
      </c>
    </row>
    <row r="484">
      <c r="A484" t="inlineStr">
        <is>
          <t>샘플종목05</t>
        </is>
      </c>
      <c r="B484" s="3" t="n">
        <v>45849</v>
      </c>
      <c r="C484" t="n">
        <v>68749</v>
      </c>
      <c r="D484" t="n">
        <v>627921</v>
      </c>
      <c r="E484">
        <f>IF(A484="","",COUNTIFS($A$2:$A$20000,A484,$B$2:$B$20000,"&gt;"&amp;B484)+1)</f>
        <v/>
      </c>
    </row>
    <row r="485">
      <c r="A485" t="inlineStr">
        <is>
          <t>샘플종목05</t>
        </is>
      </c>
      <c r="B485" s="3" t="n">
        <v>45856</v>
      </c>
      <c r="C485" t="n">
        <v>68123</v>
      </c>
      <c r="D485" t="n">
        <v>8415211</v>
      </c>
      <c r="E485">
        <f>IF(A485="","",COUNTIFS($A$2:$A$20000,A485,$B$2:$B$20000,"&gt;"&amp;B485)+1)</f>
        <v/>
      </c>
    </row>
    <row r="486">
      <c r="A486" t="inlineStr">
        <is>
          <t>샘플종목05</t>
        </is>
      </c>
      <c r="B486" s="3" t="n">
        <v>45863</v>
      </c>
      <c r="C486" t="n">
        <v>67319</v>
      </c>
      <c r="D486" t="n">
        <v>1801004</v>
      </c>
      <c r="E486">
        <f>IF(A486="","",COUNTIFS($A$2:$A$20000,A486,$B$2:$B$20000,"&gt;"&amp;B486)+1)</f>
        <v/>
      </c>
    </row>
    <row r="487">
      <c r="A487" t="inlineStr">
        <is>
          <t>샘플종목05</t>
        </is>
      </c>
      <c r="B487" s="3" t="n">
        <v>45870</v>
      </c>
      <c r="C487" t="n">
        <v>67164</v>
      </c>
      <c r="D487" t="n">
        <v>6731978</v>
      </c>
      <c r="E487">
        <f>IF(A487="","",COUNTIFS($A$2:$A$20000,A487,$B$2:$B$20000,"&gt;"&amp;B487)+1)</f>
        <v/>
      </c>
    </row>
    <row r="488">
      <c r="A488" t="inlineStr">
        <is>
          <t>샘플종목05</t>
        </is>
      </c>
      <c r="B488" s="3" t="n">
        <v>45877</v>
      </c>
      <c r="C488" t="n">
        <v>66498</v>
      </c>
      <c r="D488" t="n">
        <v>9058985</v>
      </c>
      <c r="E488">
        <f>IF(A488="","",COUNTIFS($A$2:$A$20000,A488,$B$2:$B$20000,"&gt;"&amp;B488)+1)</f>
        <v/>
      </c>
    </row>
    <row r="489">
      <c r="A489" t="inlineStr">
        <is>
          <t>샘플종목05</t>
        </is>
      </c>
      <c r="B489" s="3" t="n">
        <v>45884</v>
      </c>
      <c r="C489" t="n">
        <v>65309</v>
      </c>
      <c r="D489" t="n">
        <v>1629286</v>
      </c>
      <c r="E489">
        <f>IF(A489="","",COUNTIFS($A$2:$A$20000,A489,$B$2:$B$20000,"&gt;"&amp;B489)+1)</f>
        <v/>
      </c>
    </row>
    <row r="490">
      <c r="A490" t="inlineStr">
        <is>
          <t>샘플종목05</t>
        </is>
      </c>
      <c r="B490" s="3" t="n">
        <v>45891</v>
      </c>
      <c r="C490" t="n">
        <v>63934</v>
      </c>
      <c r="D490" t="n">
        <v>4649425</v>
      </c>
      <c r="E490">
        <f>IF(A490="","",COUNTIFS($A$2:$A$20000,A490,$B$2:$B$20000,"&gt;"&amp;B490)+1)</f>
        <v/>
      </c>
    </row>
    <row r="491">
      <c r="A491" t="inlineStr">
        <is>
          <t>샘플종목05</t>
        </is>
      </c>
      <c r="B491" s="3" t="n">
        <v>45898</v>
      </c>
      <c r="C491" t="n">
        <v>61950</v>
      </c>
      <c r="D491" t="n">
        <v>6975117</v>
      </c>
      <c r="E491">
        <f>IF(A491="","",COUNTIFS($A$2:$A$20000,A491,$B$2:$B$20000,"&gt;"&amp;B491)+1)</f>
        <v/>
      </c>
    </row>
    <row r="492">
      <c r="A492" t="inlineStr">
        <is>
          <t>샘플종목05</t>
        </is>
      </c>
      <c r="B492" s="3" t="n">
        <v>45905</v>
      </c>
      <c r="C492" t="n">
        <v>65743</v>
      </c>
      <c r="D492" t="n">
        <v>7110282</v>
      </c>
      <c r="E492">
        <f>IF(A492="","",COUNTIFS($A$2:$A$20000,A492,$B$2:$B$20000,"&gt;"&amp;B492)+1)</f>
        <v/>
      </c>
    </row>
    <row r="493">
      <c r="A493" t="inlineStr">
        <is>
          <t>샘플종목05</t>
        </is>
      </c>
      <c r="B493" s="3" t="n">
        <v>45912</v>
      </c>
      <c r="C493" t="n">
        <v>65586</v>
      </c>
      <c r="D493" t="n">
        <v>961689</v>
      </c>
      <c r="E493">
        <f>IF(A493="","",COUNTIFS($A$2:$A$20000,A493,$B$2:$B$20000,"&gt;"&amp;B493)+1)</f>
        <v/>
      </c>
    </row>
    <row r="494">
      <c r="A494" t="inlineStr">
        <is>
          <t>샘플종목05</t>
        </is>
      </c>
      <c r="B494" s="3" t="n">
        <v>45919</v>
      </c>
      <c r="C494" t="n">
        <v>64422</v>
      </c>
      <c r="D494" t="n">
        <v>6092514</v>
      </c>
      <c r="E494">
        <f>IF(A494="","",COUNTIFS($A$2:$A$20000,A494,$B$2:$B$20000,"&gt;"&amp;B494)+1)</f>
        <v/>
      </c>
    </row>
    <row r="495">
      <c r="A495" t="inlineStr">
        <is>
          <t>샘플종목05</t>
        </is>
      </c>
      <c r="B495" s="3" t="n">
        <v>45926</v>
      </c>
      <c r="C495" t="n">
        <v>67630</v>
      </c>
      <c r="D495" t="n">
        <v>7047110</v>
      </c>
      <c r="E495">
        <f>IF(A495="","",COUNTIFS($A$2:$A$20000,A495,$B$2:$B$20000,"&gt;"&amp;B495)+1)</f>
        <v/>
      </c>
    </row>
    <row r="496">
      <c r="A496" t="inlineStr">
        <is>
          <t>샘플종목05</t>
        </is>
      </c>
      <c r="B496" s="3" t="n">
        <v>45933</v>
      </c>
      <c r="C496" t="n">
        <v>63087</v>
      </c>
      <c r="D496" t="n">
        <v>6203238</v>
      </c>
      <c r="E496">
        <f>IF(A496="","",COUNTIFS($A$2:$A$20000,A496,$B$2:$B$20000,"&gt;"&amp;B496)+1)</f>
        <v/>
      </c>
    </row>
    <row r="497">
      <c r="A497" t="inlineStr">
        <is>
          <t>샘플종목05</t>
        </is>
      </c>
      <c r="B497" s="3" t="n">
        <v>45940</v>
      </c>
      <c r="C497" t="n">
        <v>65741</v>
      </c>
      <c r="D497" t="n">
        <v>3408493</v>
      </c>
      <c r="E497">
        <f>IF(A497="","",COUNTIFS($A$2:$A$20000,A497,$B$2:$B$20000,"&gt;"&amp;B497)+1)</f>
        <v/>
      </c>
    </row>
    <row r="498">
      <c r="A498" t="inlineStr">
        <is>
          <t>샘플종목05</t>
        </is>
      </c>
      <c r="B498" s="3" t="n">
        <v>45947</v>
      </c>
      <c r="C498" t="n">
        <v>63800</v>
      </c>
      <c r="D498" t="n">
        <v>198592</v>
      </c>
      <c r="E498">
        <f>IF(A498="","",COUNTIFS($A$2:$A$20000,A498,$B$2:$B$20000,"&gt;"&amp;B498)+1)</f>
        <v/>
      </c>
    </row>
    <row r="499">
      <c r="A499" t="inlineStr">
        <is>
          <t>샘플종목05</t>
        </is>
      </c>
      <c r="B499" s="3" t="n">
        <v>45954</v>
      </c>
      <c r="C499" t="n">
        <v>65576</v>
      </c>
      <c r="D499" t="n">
        <v>7384067</v>
      </c>
      <c r="E499">
        <f>IF(A499="","",COUNTIFS($A$2:$A$20000,A499,$B$2:$B$20000,"&gt;"&amp;B499)+1)</f>
        <v/>
      </c>
    </row>
    <row r="500">
      <c r="A500" t="inlineStr">
        <is>
          <t>샘플종목05</t>
        </is>
      </c>
      <c r="B500" s="3" t="n">
        <v>45961</v>
      </c>
      <c r="C500" t="n">
        <v>67952</v>
      </c>
      <c r="D500" t="n">
        <v>1618137</v>
      </c>
      <c r="E500">
        <f>IF(A500="","",COUNTIFS($A$2:$A$20000,A500,$B$2:$B$20000,"&gt;"&amp;B500)+1)</f>
        <v/>
      </c>
    </row>
    <row r="501">
      <c r="A501" t="inlineStr">
        <is>
          <t>샘플종목05</t>
        </is>
      </c>
      <c r="B501" s="3" t="n">
        <v>45968</v>
      </c>
      <c r="C501" t="n">
        <v>66434</v>
      </c>
      <c r="D501" t="n">
        <v>6915201</v>
      </c>
      <c r="E501">
        <f>IF(A501="","",COUNTIFS($A$2:$A$20000,A501,$B$2:$B$20000,"&gt;"&amp;B501)+1)</f>
        <v/>
      </c>
    </row>
    <row r="502">
      <c r="A502" t="inlineStr">
        <is>
          <t>샘플종목05</t>
        </is>
      </c>
      <c r="B502" s="3" t="n">
        <v>45975</v>
      </c>
      <c r="C502" t="n">
        <v>64332</v>
      </c>
      <c r="D502" t="n">
        <v>2827045</v>
      </c>
      <c r="E502">
        <f>IF(A502="","",COUNTIFS($A$2:$A$20000,A502,$B$2:$B$20000,"&gt;"&amp;B502)+1)</f>
        <v/>
      </c>
    </row>
    <row r="503">
      <c r="A503" t="inlineStr">
        <is>
          <t>샘플종목05</t>
        </is>
      </c>
      <c r="B503" s="3" t="n">
        <v>45982</v>
      </c>
      <c r="C503" t="n">
        <v>63309</v>
      </c>
      <c r="D503" t="n">
        <v>2280620</v>
      </c>
      <c r="E503">
        <f>IF(A503="","",COUNTIFS($A$2:$A$20000,A503,$B$2:$B$20000,"&gt;"&amp;B503)+1)</f>
        <v/>
      </c>
    </row>
    <row r="504">
      <c r="A504" t="inlineStr">
        <is>
          <t>샘플종목05</t>
        </is>
      </c>
      <c r="B504" s="3" t="n">
        <v>45989</v>
      </c>
      <c r="C504" t="n">
        <v>66629</v>
      </c>
      <c r="D504" t="n">
        <v>6755842</v>
      </c>
      <c r="E504">
        <f>IF(A504="","",COUNTIFS($A$2:$A$20000,A504,$B$2:$B$20000,"&gt;"&amp;B504)+1)</f>
        <v/>
      </c>
    </row>
    <row r="505">
      <c r="A505" t="inlineStr">
        <is>
          <t>샘플종목05</t>
        </is>
      </c>
      <c r="B505" s="3" t="n">
        <v>45996</v>
      </c>
      <c r="C505" t="n">
        <v>67077</v>
      </c>
      <c r="D505" t="n">
        <v>1593694</v>
      </c>
      <c r="E505">
        <f>IF(A505="","",COUNTIFS($A$2:$A$20000,A505,$B$2:$B$20000,"&gt;"&amp;B505)+1)</f>
        <v/>
      </c>
    </row>
    <row r="506">
      <c r="A506" t="inlineStr">
        <is>
          <t>샘플종목05</t>
        </is>
      </c>
      <c r="B506" s="3" t="n">
        <v>46003</v>
      </c>
      <c r="C506" t="n">
        <v>61701</v>
      </c>
      <c r="D506" t="n">
        <v>8563485</v>
      </c>
      <c r="E506">
        <f>IF(A506="","",COUNTIFS($A$2:$A$20000,A506,$B$2:$B$20000,"&gt;"&amp;B506)+1)</f>
        <v/>
      </c>
    </row>
    <row r="507">
      <c r="A507" t="inlineStr">
        <is>
          <t>샘플종목05</t>
        </is>
      </c>
      <c r="B507" s="3" t="n">
        <v>46010</v>
      </c>
      <c r="C507" t="n">
        <v>59327</v>
      </c>
      <c r="D507" t="n">
        <v>2980407</v>
      </c>
      <c r="E507">
        <f>IF(A507="","",COUNTIFS($A$2:$A$20000,A507,$B$2:$B$20000,"&gt;"&amp;B507)+1)</f>
        <v/>
      </c>
    </row>
    <row r="508">
      <c r="A508" t="inlineStr">
        <is>
          <t>샘플종목05</t>
        </is>
      </c>
      <c r="B508" s="3" t="n">
        <v>46017</v>
      </c>
      <c r="C508" t="n">
        <v>60624</v>
      </c>
      <c r="D508" t="n">
        <v>8843595</v>
      </c>
      <c r="E508">
        <f>IF(A508="","",COUNTIFS($A$2:$A$20000,A508,$B$2:$B$20000,"&gt;"&amp;B508)+1)</f>
        <v/>
      </c>
    </row>
    <row r="509">
      <c r="A509" t="inlineStr">
        <is>
          <t>샘플종목05</t>
        </is>
      </c>
      <c r="B509" s="3" t="n">
        <v>46024</v>
      </c>
      <c r="C509" t="n">
        <v>62316</v>
      </c>
      <c r="D509" t="n">
        <v>2982079</v>
      </c>
      <c r="E509">
        <f>IF(A509="","",COUNTIFS($A$2:$A$20000,A509,$B$2:$B$20000,"&gt;"&amp;B509)+1)</f>
        <v/>
      </c>
    </row>
    <row r="510">
      <c r="A510" t="inlineStr">
        <is>
          <t>샘플종목05</t>
        </is>
      </c>
      <c r="B510" s="3" t="n">
        <v>46031</v>
      </c>
      <c r="C510" t="n">
        <v>63509</v>
      </c>
      <c r="D510" t="n">
        <v>8329386</v>
      </c>
      <c r="E510">
        <f>IF(A510="","",COUNTIFS($A$2:$A$20000,A510,$B$2:$B$20000,"&gt;"&amp;B510)+1)</f>
        <v/>
      </c>
    </row>
    <row r="511">
      <c r="A511" t="inlineStr">
        <is>
          <t>샘플종목05</t>
        </is>
      </c>
      <c r="B511" s="3" t="n">
        <v>46038</v>
      </c>
      <c r="C511" t="n">
        <v>63085</v>
      </c>
      <c r="D511" t="n">
        <v>3410844</v>
      </c>
      <c r="E511">
        <f>IF(A511="","",COUNTIFS($A$2:$A$20000,A511,$B$2:$B$20000,"&gt;"&amp;B511)+1)</f>
        <v/>
      </c>
    </row>
    <row r="512">
      <c r="A512" t="inlineStr">
        <is>
          <t>샘플종목05</t>
        </is>
      </c>
      <c r="B512" s="3" t="n">
        <v>46045</v>
      </c>
      <c r="C512" t="n">
        <v>61679</v>
      </c>
      <c r="D512" t="n">
        <v>829764</v>
      </c>
      <c r="E512">
        <f>IF(A512="","",COUNTIFS($A$2:$A$20000,A512,$B$2:$B$20000,"&gt;"&amp;B512)+1)</f>
        <v/>
      </c>
    </row>
    <row r="513">
      <c r="A513" t="inlineStr">
        <is>
          <t>샘플종목05</t>
        </is>
      </c>
      <c r="B513" s="3" t="n">
        <v>46052</v>
      </c>
      <c r="C513" t="n">
        <v>66259</v>
      </c>
      <c r="D513" t="n">
        <v>8198974</v>
      </c>
      <c r="E513">
        <f>IF(A513="","",COUNTIFS($A$2:$A$20000,A513,$B$2:$B$20000,"&gt;"&amp;B513)+1)</f>
        <v/>
      </c>
    </row>
    <row r="514">
      <c r="A514" t="inlineStr">
        <is>
          <t>샘플종목05</t>
        </is>
      </c>
      <c r="B514" s="3" t="n">
        <v>46059</v>
      </c>
      <c r="C514" t="n">
        <v>64962</v>
      </c>
      <c r="D514" t="n">
        <v>6607801</v>
      </c>
      <c r="E514">
        <f>IF(A514="","",COUNTIFS($A$2:$A$20000,A514,$B$2:$B$20000,"&gt;"&amp;B514)+1)</f>
        <v/>
      </c>
    </row>
    <row r="515">
      <c r="A515" t="inlineStr">
        <is>
          <t>샘플종목05</t>
        </is>
      </c>
      <c r="B515" s="3" t="n">
        <v>46066</v>
      </c>
      <c r="C515" t="n">
        <v>68358</v>
      </c>
      <c r="D515" t="n">
        <v>1547780</v>
      </c>
      <c r="E515">
        <f>IF(A515="","",COUNTIFS($A$2:$A$20000,A515,$B$2:$B$20000,"&gt;"&amp;B515)+1)</f>
        <v/>
      </c>
    </row>
    <row r="516">
      <c r="A516" t="inlineStr">
        <is>
          <t>샘플종목05</t>
        </is>
      </c>
      <c r="B516" s="3" t="n">
        <v>46073</v>
      </c>
      <c r="C516" t="n">
        <v>71632</v>
      </c>
      <c r="D516" t="n">
        <v>2788987</v>
      </c>
      <c r="E516">
        <f>IF(A516="","",COUNTIFS($A$2:$A$20000,A516,$B$2:$B$20000,"&gt;"&amp;B516)+1)</f>
        <v/>
      </c>
    </row>
    <row r="517">
      <c r="A517" t="inlineStr">
        <is>
          <t>샘플종목05</t>
        </is>
      </c>
      <c r="B517" s="3" t="n">
        <v>46080</v>
      </c>
      <c r="C517" t="n">
        <v>69517</v>
      </c>
      <c r="D517" t="n">
        <v>3825801</v>
      </c>
      <c r="E517">
        <f>IF(A517="","",COUNTIFS($A$2:$A$20000,A517,$B$2:$B$20000,"&gt;"&amp;B517)+1)</f>
        <v/>
      </c>
    </row>
    <row r="518">
      <c r="A518" t="inlineStr">
        <is>
          <t>샘플종목05</t>
        </is>
      </c>
      <c r="B518" s="3" t="n">
        <v>46087</v>
      </c>
      <c r="C518" t="n">
        <v>66874</v>
      </c>
      <c r="D518" t="n">
        <v>3390229</v>
      </c>
      <c r="E518">
        <f>IF(A518="","",COUNTIFS($A$2:$A$20000,A518,$B$2:$B$20000,"&gt;"&amp;B518)+1)</f>
        <v/>
      </c>
    </row>
    <row r="519">
      <c r="A519" t="inlineStr">
        <is>
          <t>샘플종목05</t>
        </is>
      </c>
      <c r="B519" s="3" t="n">
        <v>46094</v>
      </c>
      <c r="C519" t="n">
        <v>64461</v>
      </c>
      <c r="D519" t="n">
        <v>8034871</v>
      </c>
      <c r="E519">
        <f>IF(A519="","",COUNTIFS($A$2:$A$20000,A519,$B$2:$B$20000,"&gt;"&amp;B519)+1)</f>
        <v/>
      </c>
    </row>
    <row r="520">
      <c r="A520" t="inlineStr">
        <is>
          <t>샘플종목05</t>
        </is>
      </c>
      <c r="B520" s="3" t="n">
        <v>46101</v>
      </c>
      <c r="C520" t="n">
        <v>65329</v>
      </c>
      <c r="D520" t="n">
        <v>6806617</v>
      </c>
      <c r="E520">
        <f>IF(A520="","",COUNTIFS($A$2:$A$20000,A520,$B$2:$B$20000,"&gt;"&amp;B520)+1)</f>
        <v/>
      </c>
    </row>
    <row r="521">
      <c r="A521" t="inlineStr">
        <is>
          <t>샘플종목05</t>
        </is>
      </c>
      <c r="B521" s="3" t="n">
        <v>46108</v>
      </c>
      <c r="C521" t="n">
        <v>67133</v>
      </c>
      <c r="D521" t="n">
        <v>8788794</v>
      </c>
      <c r="E521">
        <f>IF(A521="","",COUNTIFS($A$2:$A$20000,A521,$B$2:$B$20000,"&gt;"&amp;B521)+1)</f>
        <v/>
      </c>
    </row>
    <row r="522">
      <c r="A522" t="inlineStr">
        <is>
          <t>샘플종목05</t>
        </is>
      </c>
      <c r="B522" s="3" t="n">
        <v>46115</v>
      </c>
      <c r="C522" t="n">
        <v>68672</v>
      </c>
      <c r="D522" t="n">
        <v>2607642</v>
      </c>
      <c r="E522">
        <f>IF(A522="","",COUNTIFS($A$2:$A$20000,A522,$B$2:$B$20000,"&gt;"&amp;B522)+1)</f>
        <v/>
      </c>
    </row>
    <row r="523">
      <c r="A523" t="inlineStr">
        <is>
          <t>샘플종목05</t>
        </is>
      </c>
      <c r="B523" s="3" t="n">
        <v>46122</v>
      </c>
      <c r="C523" t="n">
        <v>70966</v>
      </c>
      <c r="D523" t="n">
        <v>4244960</v>
      </c>
      <c r="E523">
        <f>IF(A523="","",COUNTIFS($A$2:$A$20000,A523,$B$2:$B$20000,"&gt;"&amp;B523)+1)</f>
        <v/>
      </c>
    </row>
    <row r="524">
      <c r="A524" t="inlineStr">
        <is>
          <t>샘플종목05</t>
        </is>
      </c>
      <c r="B524" s="3" t="n">
        <v>46129</v>
      </c>
      <c r="C524" t="n">
        <v>76240</v>
      </c>
      <c r="D524" t="n">
        <v>3331219</v>
      </c>
      <c r="E524">
        <f>IF(A524="","",COUNTIFS($A$2:$A$20000,A524,$B$2:$B$20000,"&gt;"&amp;B524)+1)</f>
        <v/>
      </c>
    </row>
    <row r="525">
      <c r="A525" t="inlineStr">
        <is>
          <t>샘플종목05</t>
        </is>
      </c>
      <c r="B525" s="3" t="n">
        <v>46136</v>
      </c>
      <c r="C525" t="n">
        <v>75366</v>
      </c>
      <c r="D525" t="n">
        <v>789527</v>
      </c>
      <c r="E525">
        <f>IF(A525="","",COUNTIFS($A$2:$A$20000,A525,$B$2:$B$20000,"&gt;"&amp;B525)+1)</f>
        <v/>
      </c>
    </row>
    <row r="526">
      <c r="A526" t="inlineStr">
        <is>
          <t>샘플종목05</t>
        </is>
      </c>
      <c r="B526" s="3" t="n">
        <v>46143</v>
      </c>
      <c r="C526" t="n">
        <v>79836</v>
      </c>
      <c r="D526" t="n">
        <v>739693</v>
      </c>
      <c r="E526">
        <f>IF(A526="","",COUNTIFS($A$2:$A$20000,A526,$B$2:$B$20000,"&gt;"&amp;B526)+1)</f>
        <v/>
      </c>
    </row>
    <row r="527">
      <c r="A527" t="inlineStr">
        <is>
          <t>샘플종목05</t>
        </is>
      </c>
      <c r="B527" s="3" t="n">
        <v>46150</v>
      </c>
      <c r="C527" t="n">
        <v>75903</v>
      </c>
      <c r="D527" t="n">
        <v>5539220</v>
      </c>
      <c r="E527">
        <f>IF(A527="","",COUNTIFS($A$2:$A$20000,A527,$B$2:$B$20000,"&gt;"&amp;B527)+1)</f>
        <v/>
      </c>
    </row>
    <row r="528">
      <c r="A528" t="inlineStr">
        <is>
          <t>샘플종목05</t>
        </is>
      </c>
      <c r="B528" s="3" t="n">
        <v>46157</v>
      </c>
      <c r="C528" t="n">
        <v>79089</v>
      </c>
      <c r="D528" t="n">
        <v>9328338</v>
      </c>
      <c r="E528">
        <f>IF(A528="","",COUNTIFS($A$2:$A$20000,A528,$B$2:$B$20000,"&gt;"&amp;B528)+1)</f>
        <v/>
      </c>
    </row>
    <row r="529">
      <c r="A529" t="inlineStr">
        <is>
          <t>샘플종목05</t>
        </is>
      </c>
      <c r="B529" s="3" t="n">
        <v>46164</v>
      </c>
      <c r="C529" t="n">
        <v>82132</v>
      </c>
      <c r="D529" t="n">
        <v>5237420</v>
      </c>
      <c r="E529">
        <f>IF(A529="","",COUNTIFS($A$2:$A$20000,A529,$B$2:$B$20000,"&gt;"&amp;B529)+1)</f>
        <v/>
      </c>
    </row>
    <row r="530">
      <c r="A530" t="inlineStr">
        <is>
          <t>샘플종목05</t>
        </is>
      </c>
      <c r="B530" s="3" t="n">
        <v>46171</v>
      </c>
      <c r="C530" t="n">
        <v>80624</v>
      </c>
      <c r="D530" t="n">
        <v>4281869</v>
      </c>
      <c r="E530">
        <f>IF(A530="","",COUNTIFS($A$2:$A$20000,A530,$B$2:$B$20000,"&gt;"&amp;B530)+1)</f>
        <v/>
      </c>
    </row>
    <row r="531">
      <c r="A531" t="inlineStr">
        <is>
          <t>샘플종목05</t>
        </is>
      </c>
      <c r="B531" s="3" t="n">
        <v>46178</v>
      </c>
      <c r="C531" t="n">
        <v>78556</v>
      </c>
      <c r="D531" t="n">
        <v>7242729</v>
      </c>
      <c r="E531">
        <f>IF(A531="","",COUNTIFS($A$2:$A$20000,A531,$B$2:$B$20000,"&gt;"&amp;B531)+1)</f>
        <v/>
      </c>
    </row>
    <row r="532">
      <c r="A532" t="inlineStr">
        <is>
          <t>샘플종목05</t>
        </is>
      </c>
      <c r="B532" s="3" t="n">
        <v>46185</v>
      </c>
      <c r="C532" t="n">
        <v>76405</v>
      </c>
      <c r="D532" t="n">
        <v>8548643</v>
      </c>
      <c r="E532">
        <f>IF(A532="","",COUNTIFS($A$2:$A$20000,A532,$B$2:$B$20000,"&gt;"&amp;B532)+1)</f>
        <v/>
      </c>
    </row>
    <row r="533">
      <c r="A533" t="inlineStr">
        <is>
          <t>샘플종목05</t>
        </is>
      </c>
      <c r="B533" s="3" t="n">
        <v>46192</v>
      </c>
      <c r="C533" t="n">
        <v>78434</v>
      </c>
      <c r="D533" t="n">
        <v>7454336</v>
      </c>
      <c r="E533">
        <f>IF(A533="","",COUNTIFS($A$2:$A$20000,A533,$B$2:$B$20000,"&gt;"&amp;B533)+1)</f>
        <v/>
      </c>
    </row>
    <row r="534">
      <c r="A534" t="inlineStr">
        <is>
          <t>샘플종목05</t>
        </is>
      </c>
      <c r="B534" s="3" t="n">
        <v>46199</v>
      </c>
      <c r="C534" t="n">
        <v>78704</v>
      </c>
      <c r="D534" t="n">
        <v>8312474</v>
      </c>
      <c r="E534">
        <f>IF(A534="","",COUNTIFS($A$2:$A$20000,A534,$B$2:$B$20000,"&gt;"&amp;B534)+1)</f>
        <v/>
      </c>
    </row>
    <row r="535">
      <c r="A535" t="inlineStr">
        <is>
          <t>샘플종목05</t>
        </is>
      </c>
      <c r="B535" s="3" t="n">
        <v>46206</v>
      </c>
      <c r="C535" t="n">
        <v>79100</v>
      </c>
      <c r="D535" t="n">
        <v>7905987</v>
      </c>
      <c r="E535">
        <f>IF(A535="","",COUNTIFS($A$2:$A$20000,A535,$B$2:$B$20000,"&gt;"&amp;B535)+1)</f>
        <v/>
      </c>
    </row>
    <row r="536">
      <c r="A536" t="inlineStr">
        <is>
          <t>샘플종목05</t>
        </is>
      </c>
      <c r="B536" s="3" t="n">
        <v>46213</v>
      </c>
      <c r="C536" t="n">
        <v>79755</v>
      </c>
      <c r="D536" t="n">
        <v>7788814</v>
      </c>
      <c r="E536">
        <f>IF(A536="","",COUNTIFS($A$2:$A$20000,A536,$B$2:$B$20000,"&gt;"&amp;B536)+1)</f>
        <v/>
      </c>
    </row>
    <row r="537">
      <c r="A537" t="inlineStr">
        <is>
          <t>샘플종목05</t>
        </is>
      </c>
      <c r="B537" s="3" t="n">
        <v>46220</v>
      </c>
      <c r="C537" t="n">
        <v>85309</v>
      </c>
      <c r="D537" t="n">
        <v>3112668</v>
      </c>
      <c r="E537">
        <f>IF(A537="","",COUNTIFS($A$2:$A$20000,A537,$B$2:$B$20000,"&gt;"&amp;B537)+1)</f>
        <v/>
      </c>
    </row>
    <row r="538">
      <c r="A538" t="inlineStr">
        <is>
          <t>샘플종목05</t>
        </is>
      </c>
      <c r="B538" s="3" t="n">
        <v>46227</v>
      </c>
      <c r="C538" t="n">
        <v>86761</v>
      </c>
      <c r="D538" t="n">
        <v>1226097</v>
      </c>
      <c r="E538">
        <f>IF(A538="","",COUNTIFS($A$2:$A$20000,A538,$B$2:$B$20000,"&gt;"&amp;B538)+1)</f>
        <v/>
      </c>
    </row>
    <row r="539">
      <c r="A539" t="inlineStr">
        <is>
          <t>샘플종목05</t>
        </is>
      </c>
      <c r="B539" s="3" t="n">
        <v>46234</v>
      </c>
      <c r="C539" t="n">
        <v>83676</v>
      </c>
      <c r="D539" t="n">
        <v>2255132</v>
      </c>
      <c r="E539">
        <f>IF(A539="","",COUNTIFS($A$2:$A$20000,A539,$B$2:$B$20000,"&gt;"&amp;B539)+1)</f>
        <v/>
      </c>
    </row>
    <row r="540">
      <c r="A540" t="inlineStr">
        <is>
          <t>샘플종목05</t>
        </is>
      </c>
      <c r="B540" s="3" t="n">
        <v>46241</v>
      </c>
      <c r="C540" t="n">
        <v>81831</v>
      </c>
      <c r="D540" t="n">
        <v>7514978</v>
      </c>
      <c r="E540">
        <f>IF(A540="","",COUNTIFS($A$2:$A$20000,A540,$B$2:$B$20000,"&gt;"&amp;B540)+1)</f>
        <v/>
      </c>
    </row>
    <row r="541">
      <c r="A541" t="inlineStr">
        <is>
          <t>샘플종목05</t>
        </is>
      </c>
      <c r="B541" s="3" t="n">
        <v>46248</v>
      </c>
      <c r="C541" t="n">
        <v>84417</v>
      </c>
      <c r="D541" t="n">
        <v>8561455</v>
      </c>
      <c r="E541">
        <f>IF(A541="","",COUNTIFS($A$2:$A$20000,A541,$B$2:$B$20000,"&gt;"&amp;B541)+1)</f>
        <v/>
      </c>
    </row>
    <row r="542">
      <c r="A542" t="inlineStr">
        <is>
          <t>샘플종목05</t>
        </is>
      </c>
      <c r="B542" s="3" t="n">
        <v>46255</v>
      </c>
      <c r="C542" t="n">
        <v>83614</v>
      </c>
      <c r="D542" t="n">
        <v>2285584</v>
      </c>
      <c r="E542">
        <f>IF(A542="","",COUNTIFS($A$2:$A$20000,A542,$B$2:$B$20000,"&gt;"&amp;B542)+1)</f>
        <v/>
      </c>
    </row>
    <row r="543">
      <c r="A543" t="inlineStr">
        <is>
          <t>샘플종목05</t>
        </is>
      </c>
      <c r="B543" s="3" t="n">
        <v>46262</v>
      </c>
      <c r="C543" t="n">
        <v>83719</v>
      </c>
      <c r="D543" t="n">
        <v>1479775</v>
      </c>
      <c r="E543">
        <f>IF(A543="","",COUNTIFS($A$2:$A$20000,A543,$B$2:$B$20000,"&gt;"&amp;B543)+1)</f>
        <v/>
      </c>
    </row>
    <row r="544">
      <c r="A544" t="inlineStr">
        <is>
          <t>샘플종목05</t>
        </is>
      </c>
      <c r="B544" s="3" t="n">
        <v>46269</v>
      </c>
      <c r="C544" t="n">
        <v>86452</v>
      </c>
      <c r="D544" t="n">
        <v>8681239</v>
      </c>
      <c r="E544">
        <f>IF(A544="","",COUNTIFS($A$2:$A$20000,A544,$B$2:$B$20000,"&gt;"&amp;B544)+1)</f>
        <v/>
      </c>
    </row>
    <row r="545">
      <c r="A545" t="inlineStr">
        <is>
          <t>샘플종목05</t>
        </is>
      </c>
      <c r="B545" s="3" t="n">
        <v>46276</v>
      </c>
      <c r="C545" t="n">
        <v>85214</v>
      </c>
      <c r="D545" t="n">
        <v>1441639</v>
      </c>
      <c r="E545">
        <f>IF(A545="","",COUNTIFS($A$2:$A$20000,A545,$B$2:$B$20000,"&gt;"&amp;B545)+1)</f>
        <v/>
      </c>
    </row>
    <row r="546">
      <c r="A546" t="inlineStr">
        <is>
          <t>샘플종목05</t>
        </is>
      </c>
      <c r="B546" s="3" t="n">
        <v>46283</v>
      </c>
      <c r="C546" t="n">
        <v>89188</v>
      </c>
      <c r="D546" t="n">
        <v>6439482</v>
      </c>
      <c r="E546">
        <f>IF(A546="","",COUNTIFS($A$2:$A$20000,A546,$B$2:$B$20000,"&gt;"&amp;B546)+1)</f>
        <v/>
      </c>
    </row>
    <row r="547">
      <c r="A547" t="inlineStr">
        <is>
          <t>샘플종목05</t>
        </is>
      </c>
      <c r="B547" s="3" t="n">
        <v>46290</v>
      </c>
      <c r="C547" t="n">
        <v>90779</v>
      </c>
      <c r="D547" t="n">
        <v>2384817</v>
      </c>
      <c r="E547">
        <f>IF(A547="","",COUNTIFS($A$2:$A$20000,A547,$B$2:$B$20000,"&gt;"&amp;B547)+1)</f>
        <v/>
      </c>
    </row>
    <row r="548">
      <c r="A548" t="inlineStr">
        <is>
          <t>샘플종목05</t>
        </is>
      </c>
      <c r="B548" s="3" t="n">
        <v>46297</v>
      </c>
      <c r="C548" t="n">
        <v>92289</v>
      </c>
      <c r="D548" t="n">
        <v>1938582</v>
      </c>
      <c r="E548">
        <f>IF(A548="","",COUNTIFS($A$2:$A$20000,A548,$B$2:$B$20000,"&gt;"&amp;B548)+1)</f>
        <v/>
      </c>
    </row>
    <row r="549">
      <c r="A549" t="inlineStr">
        <is>
          <t>샘플종목05</t>
        </is>
      </c>
      <c r="B549" s="3" t="n">
        <v>46304</v>
      </c>
      <c r="C549" t="n">
        <v>92695</v>
      </c>
      <c r="D549" t="n">
        <v>3349869</v>
      </c>
      <c r="E549">
        <f>IF(A549="","",COUNTIFS($A$2:$A$20000,A549,$B$2:$B$20000,"&gt;"&amp;B549)+1)</f>
        <v/>
      </c>
    </row>
    <row r="550">
      <c r="A550" t="inlineStr">
        <is>
          <t>샘플종목05</t>
        </is>
      </c>
      <c r="B550" s="3" t="n">
        <v>46311</v>
      </c>
      <c r="C550" t="n">
        <v>98109</v>
      </c>
      <c r="D550" t="n">
        <v>4929851</v>
      </c>
      <c r="E550">
        <f>IF(A550="","",COUNTIFS($A$2:$A$20000,A550,$B$2:$B$20000,"&gt;"&amp;B550)+1)</f>
        <v/>
      </c>
    </row>
    <row r="551">
      <c r="A551" t="inlineStr">
        <is>
          <t>샘플종목05</t>
        </is>
      </c>
      <c r="B551" s="3" t="n">
        <v>46318</v>
      </c>
      <c r="C551" t="n">
        <v>104320</v>
      </c>
      <c r="D551" t="n">
        <v>2870111</v>
      </c>
      <c r="E551">
        <f>IF(A551="","",COUNTIFS($A$2:$A$20000,A551,$B$2:$B$20000,"&gt;"&amp;B551)+1)</f>
        <v/>
      </c>
    </row>
    <row r="552">
      <c r="A552" t="inlineStr">
        <is>
          <t>샘플종목06</t>
        </is>
      </c>
      <c r="B552" s="3" t="n">
        <v>45555</v>
      </c>
      <c r="C552" t="n">
        <v>138364</v>
      </c>
      <c r="D552" t="n">
        <v>5987081</v>
      </c>
      <c r="E552">
        <f>IF(A552="","",COUNTIFS($A$2:$A$20000,A552,$B$2:$B$20000,"&gt;"&amp;B552)+1)</f>
        <v/>
      </c>
    </row>
    <row r="553">
      <c r="A553" t="inlineStr">
        <is>
          <t>샘플종목06</t>
        </is>
      </c>
      <c r="B553" s="3" t="n">
        <v>45562</v>
      </c>
      <c r="C553" t="n">
        <v>134793</v>
      </c>
      <c r="D553" t="n">
        <v>4331562</v>
      </c>
      <c r="E553">
        <f>IF(A553="","",COUNTIFS($A$2:$A$20000,A553,$B$2:$B$20000,"&gt;"&amp;B553)+1)</f>
        <v/>
      </c>
    </row>
    <row r="554">
      <c r="A554" t="inlineStr">
        <is>
          <t>샘플종목06</t>
        </is>
      </c>
      <c r="B554" s="3" t="n">
        <v>45569</v>
      </c>
      <c r="C554" t="n">
        <v>141291</v>
      </c>
      <c r="D554" t="n">
        <v>4713610</v>
      </c>
      <c r="E554">
        <f>IF(A554="","",COUNTIFS($A$2:$A$20000,A554,$B$2:$B$20000,"&gt;"&amp;B554)+1)</f>
        <v/>
      </c>
    </row>
    <row r="555">
      <c r="A555" t="inlineStr">
        <is>
          <t>샘플종목06</t>
        </is>
      </c>
      <c r="B555" s="3" t="n">
        <v>45576</v>
      </c>
      <c r="C555" t="n">
        <v>151688</v>
      </c>
      <c r="D555" t="n">
        <v>7757169</v>
      </c>
      <c r="E555">
        <f>IF(A555="","",COUNTIFS($A$2:$A$20000,A555,$B$2:$B$20000,"&gt;"&amp;B555)+1)</f>
        <v/>
      </c>
    </row>
    <row r="556">
      <c r="A556" t="inlineStr">
        <is>
          <t>샘플종목06</t>
        </is>
      </c>
      <c r="B556" s="3" t="n">
        <v>45583</v>
      </c>
      <c r="C556" t="n">
        <v>156434</v>
      </c>
      <c r="D556" t="n">
        <v>8154868</v>
      </c>
      <c r="E556">
        <f>IF(A556="","",COUNTIFS($A$2:$A$20000,A556,$B$2:$B$20000,"&gt;"&amp;B556)+1)</f>
        <v/>
      </c>
    </row>
    <row r="557">
      <c r="A557" t="inlineStr">
        <is>
          <t>샘플종목06</t>
        </is>
      </c>
      <c r="B557" s="3" t="n">
        <v>45590</v>
      </c>
      <c r="C557" t="n">
        <v>162546</v>
      </c>
      <c r="D557" t="n">
        <v>3595085</v>
      </c>
      <c r="E557">
        <f>IF(A557="","",COUNTIFS($A$2:$A$20000,A557,$B$2:$B$20000,"&gt;"&amp;B557)+1)</f>
        <v/>
      </c>
    </row>
    <row r="558">
      <c r="A558" t="inlineStr">
        <is>
          <t>샘플종목06</t>
        </is>
      </c>
      <c r="B558" s="3" t="n">
        <v>45597</v>
      </c>
      <c r="C558" t="n">
        <v>155335</v>
      </c>
      <c r="D558" t="n">
        <v>4082897</v>
      </c>
      <c r="E558">
        <f>IF(A558="","",COUNTIFS($A$2:$A$20000,A558,$B$2:$B$20000,"&gt;"&amp;B558)+1)</f>
        <v/>
      </c>
    </row>
    <row r="559">
      <c r="A559" t="inlineStr">
        <is>
          <t>샘플종목06</t>
        </is>
      </c>
      <c r="B559" s="3" t="n">
        <v>45604</v>
      </c>
      <c r="C559" t="n">
        <v>150955</v>
      </c>
      <c r="D559" t="n">
        <v>5453232</v>
      </c>
      <c r="E559">
        <f>IF(A559="","",COUNTIFS($A$2:$A$20000,A559,$B$2:$B$20000,"&gt;"&amp;B559)+1)</f>
        <v/>
      </c>
    </row>
    <row r="560">
      <c r="A560" t="inlineStr">
        <is>
          <t>샘플종목06</t>
        </is>
      </c>
      <c r="B560" s="3" t="n">
        <v>45611</v>
      </c>
      <c r="C560" t="n">
        <v>148462</v>
      </c>
      <c r="D560" t="n">
        <v>6869027</v>
      </c>
      <c r="E560">
        <f>IF(A560="","",COUNTIFS($A$2:$A$20000,A560,$B$2:$B$20000,"&gt;"&amp;B560)+1)</f>
        <v/>
      </c>
    </row>
    <row r="561">
      <c r="A561" t="inlineStr">
        <is>
          <t>샘플종목06</t>
        </is>
      </c>
      <c r="B561" s="3" t="n">
        <v>45618</v>
      </c>
      <c r="C561" t="n">
        <v>151603</v>
      </c>
      <c r="D561" t="n">
        <v>2804979</v>
      </c>
      <c r="E561">
        <f>IF(A561="","",COUNTIFS($A$2:$A$20000,A561,$B$2:$B$20000,"&gt;"&amp;B561)+1)</f>
        <v/>
      </c>
    </row>
    <row r="562">
      <c r="A562" t="inlineStr">
        <is>
          <t>샘플종목06</t>
        </is>
      </c>
      <c r="B562" s="3" t="n">
        <v>45625</v>
      </c>
      <c r="C562" t="n">
        <v>148705</v>
      </c>
      <c r="D562" t="n">
        <v>5599979</v>
      </c>
      <c r="E562">
        <f>IF(A562="","",COUNTIFS($A$2:$A$20000,A562,$B$2:$B$20000,"&gt;"&amp;B562)+1)</f>
        <v/>
      </c>
    </row>
    <row r="563">
      <c r="A563" t="inlineStr">
        <is>
          <t>샘플종목06</t>
        </is>
      </c>
      <c r="B563" s="3" t="n">
        <v>45632</v>
      </c>
      <c r="C563" t="n">
        <v>145368</v>
      </c>
      <c r="D563" t="n">
        <v>6422340</v>
      </c>
      <c r="E563">
        <f>IF(A563="","",COUNTIFS($A$2:$A$20000,A563,$B$2:$B$20000,"&gt;"&amp;B563)+1)</f>
        <v/>
      </c>
    </row>
    <row r="564">
      <c r="A564" t="inlineStr">
        <is>
          <t>샘플종목06</t>
        </is>
      </c>
      <c r="B564" s="3" t="n">
        <v>45639</v>
      </c>
      <c r="C564" t="n">
        <v>150640</v>
      </c>
      <c r="D564" t="n">
        <v>2030700</v>
      </c>
      <c r="E564">
        <f>IF(A564="","",COUNTIFS($A$2:$A$20000,A564,$B$2:$B$20000,"&gt;"&amp;B564)+1)</f>
        <v/>
      </c>
    </row>
    <row r="565">
      <c r="A565" t="inlineStr">
        <is>
          <t>샘플종목06</t>
        </is>
      </c>
      <c r="B565" s="3" t="n">
        <v>45646</v>
      </c>
      <c r="C565" t="n">
        <v>160157</v>
      </c>
      <c r="D565" t="n">
        <v>9004024</v>
      </c>
      <c r="E565">
        <f>IF(A565="","",COUNTIFS($A$2:$A$20000,A565,$B$2:$B$20000,"&gt;"&amp;B565)+1)</f>
        <v/>
      </c>
    </row>
    <row r="566">
      <c r="A566" t="inlineStr">
        <is>
          <t>샘플종목06</t>
        </is>
      </c>
      <c r="B566" s="3" t="n">
        <v>45653</v>
      </c>
      <c r="C566" t="n">
        <v>172556</v>
      </c>
      <c r="D566" t="n">
        <v>7700726</v>
      </c>
      <c r="E566">
        <f>IF(A566="","",COUNTIFS($A$2:$A$20000,A566,$B$2:$B$20000,"&gt;"&amp;B566)+1)</f>
        <v/>
      </c>
    </row>
    <row r="567">
      <c r="A567" t="inlineStr">
        <is>
          <t>샘플종목06</t>
        </is>
      </c>
      <c r="B567" s="3" t="n">
        <v>45660</v>
      </c>
      <c r="C567" t="n">
        <v>177001</v>
      </c>
      <c r="D567" t="n">
        <v>9414376</v>
      </c>
      <c r="E567">
        <f>IF(A567="","",COUNTIFS($A$2:$A$20000,A567,$B$2:$B$20000,"&gt;"&amp;B567)+1)</f>
        <v/>
      </c>
    </row>
    <row r="568">
      <c r="A568" t="inlineStr">
        <is>
          <t>샘플종목06</t>
        </is>
      </c>
      <c r="B568" s="3" t="n">
        <v>45667</v>
      </c>
      <c r="C568" t="n">
        <v>166637</v>
      </c>
      <c r="D568" t="n">
        <v>1855044</v>
      </c>
      <c r="E568">
        <f>IF(A568="","",COUNTIFS($A$2:$A$20000,A568,$B$2:$B$20000,"&gt;"&amp;B568)+1)</f>
        <v/>
      </c>
    </row>
    <row r="569">
      <c r="A569" t="inlineStr">
        <is>
          <t>샘플종목06</t>
        </is>
      </c>
      <c r="B569" s="3" t="n">
        <v>45674</v>
      </c>
      <c r="C569" t="n">
        <v>165601</v>
      </c>
      <c r="D569" t="n">
        <v>4328388</v>
      </c>
      <c r="E569">
        <f>IF(A569="","",COUNTIFS($A$2:$A$20000,A569,$B$2:$B$20000,"&gt;"&amp;B569)+1)</f>
        <v/>
      </c>
    </row>
    <row r="570">
      <c r="A570" t="inlineStr">
        <is>
          <t>샘플종목06</t>
        </is>
      </c>
      <c r="B570" s="3" t="n">
        <v>45681</v>
      </c>
      <c r="C570" t="n">
        <v>175261</v>
      </c>
      <c r="D570" t="n">
        <v>6714524</v>
      </c>
      <c r="E570">
        <f>IF(A570="","",COUNTIFS($A$2:$A$20000,A570,$B$2:$B$20000,"&gt;"&amp;B570)+1)</f>
        <v/>
      </c>
    </row>
    <row r="571">
      <c r="A571" t="inlineStr">
        <is>
          <t>샘플종목06</t>
        </is>
      </c>
      <c r="B571" s="3" t="n">
        <v>45688</v>
      </c>
      <c r="C571" t="n">
        <v>175175</v>
      </c>
      <c r="D571" t="n">
        <v>6332169</v>
      </c>
      <c r="E571">
        <f>IF(A571="","",COUNTIFS($A$2:$A$20000,A571,$B$2:$B$20000,"&gt;"&amp;B571)+1)</f>
        <v/>
      </c>
    </row>
    <row r="572">
      <c r="A572" t="inlineStr">
        <is>
          <t>샘플종목06</t>
        </is>
      </c>
      <c r="B572" s="3" t="n">
        <v>45695</v>
      </c>
      <c r="C572" t="n">
        <v>173546</v>
      </c>
      <c r="D572" t="n">
        <v>9786502</v>
      </c>
      <c r="E572">
        <f>IF(A572="","",COUNTIFS($A$2:$A$20000,A572,$B$2:$B$20000,"&gt;"&amp;B572)+1)</f>
        <v/>
      </c>
    </row>
    <row r="573">
      <c r="A573" t="inlineStr">
        <is>
          <t>샘플종목06</t>
        </is>
      </c>
      <c r="B573" s="3" t="n">
        <v>45702</v>
      </c>
      <c r="C573" t="n">
        <v>194986</v>
      </c>
      <c r="D573" t="n">
        <v>2552752</v>
      </c>
      <c r="E573">
        <f>IF(A573="","",COUNTIFS($A$2:$A$20000,A573,$B$2:$B$20000,"&gt;"&amp;B573)+1)</f>
        <v/>
      </c>
    </row>
    <row r="574">
      <c r="A574" t="inlineStr">
        <is>
          <t>샘플종목06</t>
        </is>
      </c>
      <c r="B574" s="3" t="n">
        <v>45709</v>
      </c>
      <c r="C574" t="n">
        <v>186903</v>
      </c>
      <c r="D574" t="n">
        <v>7520254</v>
      </c>
      <c r="E574">
        <f>IF(A574="","",COUNTIFS($A$2:$A$20000,A574,$B$2:$B$20000,"&gt;"&amp;B574)+1)</f>
        <v/>
      </c>
    </row>
    <row r="575">
      <c r="A575" t="inlineStr">
        <is>
          <t>샘플종목06</t>
        </is>
      </c>
      <c r="B575" s="3" t="n">
        <v>45716</v>
      </c>
      <c r="C575" t="n">
        <v>197062</v>
      </c>
      <c r="D575" t="n">
        <v>3959553</v>
      </c>
      <c r="E575">
        <f>IF(A575="","",COUNTIFS($A$2:$A$20000,A575,$B$2:$B$20000,"&gt;"&amp;B575)+1)</f>
        <v/>
      </c>
    </row>
    <row r="576">
      <c r="A576" t="inlineStr">
        <is>
          <t>샘플종목06</t>
        </is>
      </c>
      <c r="B576" s="3" t="n">
        <v>45723</v>
      </c>
      <c r="C576" t="n">
        <v>203232</v>
      </c>
      <c r="D576" t="n">
        <v>910196</v>
      </c>
      <c r="E576">
        <f>IF(A576="","",COUNTIFS($A$2:$A$20000,A576,$B$2:$B$20000,"&gt;"&amp;B576)+1)</f>
        <v/>
      </c>
    </row>
    <row r="577">
      <c r="A577" t="inlineStr">
        <is>
          <t>샘플종목06</t>
        </is>
      </c>
      <c r="B577" s="3" t="n">
        <v>45730</v>
      </c>
      <c r="C577" t="n">
        <v>215656</v>
      </c>
      <c r="D577" t="n">
        <v>5072488</v>
      </c>
      <c r="E577">
        <f>IF(A577="","",COUNTIFS($A$2:$A$20000,A577,$B$2:$B$20000,"&gt;"&amp;B577)+1)</f>
        <v/>
      </c>
    </row>
    <row r="578">
      <c r="A578" t="inlineStr">
        <is>
          <t>샘플종목06</t>
        </is>
      </c>
      <c r="B578" s="3" t="n">
        <v>45737</v>
      </c>
      <c r="C578" t="n">
        <v>218890</v>
      </c>
      <c r="D578" t="n">
        <v>9929272</v>
      </c>
      <c r="E578">
        <f>IF(A578="","",COUNTIFS($A$2:$A$20000,A578,$B$2:$B$20000,"&gt;"&amp;B578)+1)</f>
        <v/>
      </c>
    </row>
    <row r="579">
      <c r="A579" t="inlineStr">
        <is>
          <t>샘플종목06</t>
        </is>
      </c>
      <c r="B579" s="3" t="n">
        <v>45744</v>
      </c>
      <c r="C579" t="n">
        <v>213264</v>
      </c>
      <c r="D579" t="n">
        <v>5345376</v>
      </c>
      <c r="E579">
        <f>IF(A579="","",COUNTIFS($A$2:$A$20000,A579,$B$2:$B$20000,"&gt;"&amp;B579)+1)</f>
        <v/>
      </c>
    </row>
    <row r="580">
      <c r="A580" t="inlineStr">
        <is>
          <t>샘플종목06</t>
        </is>
      </c>
      <c r="B580" s="3" t="n">
        <v>45751</v>
      </c>
      <c r="C580" t="n">
        <v>212186</v>
      </c>
      <c r="D580" t="n">
        <v>3818460</v>
      </c>
      <c r="E580">
        <f>IF(A580="","",COUNTIFS($A$2:$A$20000,A580,$B$2:$B$20000,"&gt;"&amp;B580)+1)</f>
        <v/>
      </c>
    </row>
    <row r="581">
      <c r="A581" t="inlineStr">
        <is>
          <t>샘플종목06</t>
        </is>
      </c>
      <c r="B581" s="3" t="n">
        <v>45758</v>
      </c>
      <c r="C581" t="n">
        <v>198617</v>
      </c>
      <c r="D581" t="n">
        <v>2605924</v>
      </c>
      <c r="E581">
        <f>IF(A581="","",COUNTIFS($A$2:$A$20000,A581,$B$2:$B$20000,"&gt;"&amp;B581)+1)</f>
        <v/>
      </c>
    </row>
    <row r="582">
      <c r="A582" t="inlineStr">
        <is>
          <t>샘플종목06</t>
        </is>
      </c>
      <c r="B582" s="3" t="n">
        <v>45765</v>
      </c>
      <c r="C582" t="n">
        <v>196178</v>
      </c>
      <c r="D582" t="n">
        <v>7107624</v>
      </c>
      <c r="E582">
        <f>IF(A582="","",COUNTIFS($A$2:$A$20000,A582,$B$2:$B$20000,"&gt;"&amp;B582)+1)</f>
        <v/>
      </c>
    </row>
    <row r="583">
      <c r="A583" t="inlineStr">
        <is>
          <t>샘플종목06</t>
        </is>
      </c>
      <c r="B583" s="3" t="n">
        <v>45772</v>
      </c>
      <c r="C583" t="n">
        <v>207208</v>
      </c>
      <c r="D583" t="n">
        <v>8701309</v>
      </c>
      <c r="E583">
        <f>IF(A583="","",COUNTIFS($A$2:$A$20000,A583,$B$2:$B$20000,"&gt;"&amp;B583)+1)</f>
        <v/>
      </c>
    </row>
    <row r="584">
      <c r="A584" t="inlineStr">
        <is>
          <t>샘플종목06</t>
        </is>
      </c>
      <c r="B584" s="3" t="n">
        <v>45779</v>
      </c>
      <c r="C584" t="n">
        <v>205919</v>
      </c>
      <c r="D584" t="n">
        <v>8293900</v>
      </c>
      <c r="E584">
        <f>IF(A584="","",COUNTIFS($A$2:$A$20000,A584,$B$2:$B$20000,"&gt;"&amp;B584)+1)</f>
        <v/>
      </c>
    </row>
    <row r="585">
      <c r="A585" t="inlineStr">
        <is>
          <t>샘플종목06</t>
        </is>
      </c>
      <c r="B585" s="3" t="n">
        <v>45786</v>
      </c>
      <c r="C585" t="n">
        <v>208273</v>
      </c>
      <c r="D585" t="n">
        <v>3912784</v>
      </c>
      <c r="E585">
        <f>IF(A585="","",COUNTIFS($A$2:$A$20000,A585,$B$2:$B$20000,"&gt;"&amp;B585)+1)</f>
        <v/>
      </c>
    </row>
    <row r="586">
      <c r="A586" t="inlineStr">
        <is>
          <t>샘플종목06</t>
        </is>
      </c>
      <c r="B586" s="3" t="n">
        <v>45793</v>
      </c>
      <c r="C586" t="n">
        <v>206755</v>
      </c>
      <c r="D586" t="n">
        <v>1012563</v>
      </c>
      <c r="E586">
        <f>IF(A586="","",COUNTIFS($A$2:$A$20000,A586,$B$2:$B$20000,"&gt;"&amp;B586)+1)</f>
        <v/>
      </c>
    </row>
    <row r="587">
      <c r="A587" t="inlineStr">
        <is>
          <t>샘플종목06</t>
        </is>
      </c>
      <c r="B587" s="3" t="n">
        <v>45800</v>
      </c>
      <c r="C587" t="n">
        <v>205528</v>
      </c>
      <c r="D587" t="n">
        <v>143880</v>
      </c>
      <c r="E587">
        <f>IF(A587="","",COUNTIFS($A$2:$A$20000,A587,$B$2:$B$20000,"&gt;"&amp;B587)+1)</f>
        <v/>
      </c>
    </row>
    <row r="588">
      <c r="A588" t="inlineStr">
        <is>
          <t>샘플종목06</t>
        </is>
      </c>
      <c r="B588" s="3" t="n">
        <v>45807</v>
      </c>
      <c r="C588" t="n">
        <v>199556</v>
      </c>
      <c r="D588" t="n">
        <v>8875973</v>
      </c>
      <c r="E588">
        <f>IF(A588="","",COUNTIFS($A$2:$A$20000,A588,$B$2:$B$20000,"&gt;"&amp;B588)+1)</f>
        <v/>
      </c>
    </row>
    <row r="589">
      <c r="A589" t="inlineStr">
        <is>
          <t>샘플종목06</t>
        </is>
      </c>
      <c r="B589" s="3" t="n">
        <v>45814</v>
      </c>
      <c r="C589" t="n">
        <v>197175</v>
      </c>
      <c r="D589" t="n">
        <v>6092008</v>
      </c>
      <c r="E589">
        <f>IF(A589="","",COUNTIFS($A$2:$A$20000,A589,$B$2:$B$20000,"&gt;"&amp;B589)+1)</f>
        <v/>
      </c>
    </row>
    <row r="590">
      <c r="A590" t="inlineStr">
        <is>
          <t>샘플종목06</t>
        </is>
      </c>
      <c r="B590" s="3" t="n">
        <v>45821</v>
      </c>
      <c r="C590" t="n">
        <v>189611</v>
      </c>
      <c r="D590" t="n">
        <v>5152542</v>
      </c>
      <c r="E590">
        <f>IF(A590="","",COUNTIFS($A$2:$A$20000,A590,$B$2:$B$20000,"&gt;"&amp;B590)+1)</f>
        <v/>
      </c>
    </row>
    <row r="591">
      <c r="A591" t="inlineStr">
        <is>
          <t>샘플종목06</t>
        </is>
      </c>
      <c r="B591" s="3" t="n">
        <v>45828</v>
      </c>
      <c r="C591" t="n">
        <v>188325</v>
      </c>
      <c r="D591" t="n">
        <v>9983317</v>
      </c>
      <c r="E591">
        <f>IF(A591="","",COUNTIFS($A$2:$A$20000,A591,$B$2:$B$20000,"&gt;"&amp;B591)+1)</f>
        <v/>
      </c>
    </row>
    <row r="592">
      <c r="A592" t="inlineStr">
        <is>
          <t>샘플종목06</t>
        </is>
      </c>
      <c r="B592" s="3" t="n">
        <v>45835</v>
      </c>
      <c r="C592" t="n">
        <v>193502</v>
      </c>
      <c r="D592" t="n">
        <v>8067530</v>
      </c>
      <c r="E592">
        <f>IF(A592="","",COUNTIFS($A$2:$A$20000,A592,$B$2:$B$20000,"&gt;"&amp;B592)+1)</f>
        <v/>
      </c>
    </row>
    <row r="593">
      <c r="A593" t="inlineStr">
        <is>
          <t>샘플종목06</t>
        </is>
      </c>
      <c r="B593" s="3" t="n">
        <v>45842</v>
      </c>
      <c r="C593" t="n">
        <v>199395</v>
      </c>
      <c r="D593" t="n">
        <v>2761259</v>
      </c>
      <c r="E593">
        <f>IF(A593="","",COUNTIFS($A$2:$A$20000,A593,$B$2:$B$20000,"&gt;"&amp;B593)+1)</f>
        <v/>
      </c>
    </row>
    <row r="594">
      <c r="A594" t="inlineStr">
        <is>
          <t>샘플종목06</t>
        </is>
      </c>
      <c r="B594" s="3" t="n">
        <v>45849</v>
      </c>
      <c r="C594" t="n">
        <v>212204</v>
      </c>
      <c r="D594" t="n">
        <v>4186732</v>
      </c>
      <c r="E594">
        <f>IF(A594="","",COUNTIFS($A$2:$A$20000,A594,$B$2:$B$20000,"&gt;"&amp;B594)+1)</f>
        <v/>
      </c>
    </row>
    <row r="595">
      <c r="A595" t="inlineStr">
        <is>
          <t>샘플종목06</t>
        </is>
      </c>
      <c r="B595" s="3" t="n">
        <v>45856</v>
      </c>
      <c r="C595" t="n">
        <v>227562</v>
      </c>
      <c r="D595" t="n">
        <v>2605057</v>
      </c>
      <c r="E595">
        <f>IF(A595="","",COUNTIFS($A$2:$A$20000,A595,$B$2:$B$20000,"&gt;"&amp;B595)+1)</f>
        <v/>
      </c>
    </row>
    <row r="596">
      <c r="A596" t="inlineStr">
        <is>
          <t>샘플종목06</t>
        </is>
      </c>
      <c r="B596" s="3" t="n">
        <v>45863</v>
      </c>
      <c r="C596" t="n">
        <v>224871</v>
      </c>
      <c r="D596" t="n">
        <v>2527522</v>
      </c>
      <c r="E596">
        <f>IF(A596="","",COUNTIFS($A$2:$A$20000,A596,$B$2:$B$20000,"&gt;"&amp;B596)+1)</f>
        <v/>
      </c>
    </row>
    <row r="597">
      <c r="A597" t="inlineStr">
        <is>
          <t>샘플종목06</t>
        </is>
      </c>
      <c r="B597" s="3" t="n">
        <v>45870</v>
      </c>
      <c r="C597" t="n">
        <v>226313</v>
      </c>
      <c r="D597" t="n">
        <v>4625824</v>
      </c>
      <c r="E597">
        <f>IF(A597="","",COUNTIFS($A$2:$A$20000,A597,$B$2:$B$20000,"&gt;"&amp;B597)+1)</f>
        <v/>
      </c>
    </row>
    <row r="598">
      <c r="A598" t="inlineStr">
        <is>
          <t>샘플종목06</t>
        </is>
      </c>
      <c r="B598" s="3" t="n">
        <v>45877</v>
      </c>
      <c r="C598" t="n">
        <v>220977</v>
      </c>
      <c r="D598" t="n">
        <v>292871</v>
      </c>
      <c r="E598">
        <f>IF(A598="","",COUNTIFS($A$2:$A$20000,A598,$B$2:$B$20000,"&gt;"&amp;B598)+1)</f>
        <v/>
      </c>
    </row>
    <row r="599">
      <c r="A599" t="inlineStr">
        <is>
          <t>샘플종목06</t>
        </is>
      </c>
      <c r="B599" s="3" t="n">
        <v>45884</v>
      </c>
      <c r="C599" t="n">
        <v>225420</v>
      </c>
      <c r="D599" t="n">
        <v>1041714</v>
      </c>
      <c r="E599">
        <f>IF(A599="","",COUNTIFS($A$2:$A$20000,A599,$B$2:$B$20000,"&gt;"&amp;B599)+1)</f>
        <v/>
      </c>
    </row>
    <row r="600">
      <c r="A600" t="inlineStr">
        <is>
          <t>샘플종목06</t>
        </is>
      </c>
      <c r="B600" s="3" t="n">
        <v>45891</v>
      </c>
      <c r="C600" t="n">
        <v>218764</v>
      </c>
      <c r="D600" t="n">
        <v>5977607</v>
      </c>
      <c r="E600">
        <f>IF(A600="","",COUNTIFS($A$2:$A$20000,A600,$B$2:$B$20000,"&gt;"&amp;B600)+1)</f>
        <v/>
      </c>
    </row>
    <row r="601">
      <c r="A601" t="inlineStr">
        <is>
          <t>샘플종목06</t>
        </is>
      </c>
      <c r="B601" s="3" t="n">
        <v>45898</v>
      </c>
      <c r="C601" t="n">
        <v>210315</v>
      </c>
      <c r="D601" t="n">
        <v>9805158</v>
      </c>
      <c r="E601">
        <f>IF(A601="","",COUNTIFS($A$2:$A$20000,A601,$B$2:$B$20000,"&gt;"&amp;B601)+1)</f>
        <v/>
      </c>
    </row>
    <row r="602">
      <c r="A602" t="inlineStr">
        <is>
          <t>샘플종목06</t>
        </is>
      </c>
      <c r="B602" s="3" t="n">
        <v>45905</v>
      </c>
      <c r="C602" t="n">
        <v>192168</v>
      </c>
      <c r="D602" t="n">
        <v>8368678</v>
      </c>
      <c r="E602">
        <f>IF(A602="","",COUNTIFS($A$2:$A$20000,A602,$B$2:$B$20000,"&gt;"&amp;B602)+1)</f>
        <v/>
      </c>
    </row>
    <row r="603">
      <c r="A603" t="inlineStr">
        <is>
          <t>샘플종목06</t>
        </is>
      </c>
      <c r="B603" s="3" t="n">
        <v>45912</v>
      </c>
      <c r="C603" t="n">
        <v>198811</v>
      </c>
      <c r="D603" t="n">
        <v>4269088</v>
      </c>
      <c r="E603">
        <f>IF(A603="","",COUNTIFS($A$2:$A$20000,A603,$B$2:$B$20000,"&gt;"&amp;B603)+1)</f>
        <v/>
      </c>
    </row>
    <row r="604">
      <c r="A604" t="inlineStr">
        <is>
          <t>샘플종목06</t>
        </is>
      </c>
      <c r="B604" s="3" t="n">
        <v>45919</v>
      </c>
      <c r="C604" t="n">
        <v>199323</v>
      </c>
      <c r="D604" t="n">
        <v>1132277</v>
      </c>
      <c r="E604">
        <f>IF(A604="","",COUNTIFS($A$2:$A$20000,A604,$B$2:$B$20000,"&gt;"&amp;B604)+1)</f>
        <v/>
      </c>
    </row>
    <row r="605">
      <c r="A605" t="inlineStr">
        <is>
          <t>샘플종목06</t>
        </is>
      </c>
      <c r="B605" s="3" t="n">
        <v>45926</v>
      </c>
      <c r="C605" t="n">
        <v>199915</v>
      </c>
      <c r="D605" t="n">
        <v>9017550</v>
      </c>
      <c r="E605">
        <f>IF(A605="","",COUNTIFS($A$2:$A$20000,A605,$B$2:$B$20000,"&gt;"&amp;B605)+1)</f>
        <v/>
      </c>
    </row>
    <row r="606">
      <c r="A606" t="inlineStr">
        <is>
          <t>샘플종목06</t>
        </is>
      </c>
      <c r="B606" s="3" t="n">
        <v>45933</v>
      </c>
      <c r="C606" t="n">
        <v>205376</v>
      </c>
      <c r="D606" t="n">
        <v>2771211</v>
      </c>
      <c r="E606">
        <f>IF(A606="","",COUNTIFS($A$2:$A$20000,A606,$B$2:$B$20000,"&gt;"&amp;B606)+1)</f>
        <v/>
      </c>
    </row>
    <row r="607">
      <c r="A607" t="inlineStr">
        <is>
          <t>샘플종목06</t>
        </is>
      </c>
      <c r="B607" s="3" t="n">
        <v>45940</v>
      </c>
      <c r="C607" t="n">
        <v>206618</v>
      </c>
      <c r="D607" t="n">
        <v>1079440</v>
      </c>
      <c r="E607">
        <f>IF(A607="","",COUNTIFS($A$2:$A$20000,A607,$B$2:$B$20000,"&gt;"&amp;B607)+1)</f>
        <v/>
      </c>
    </row>
    <row r="608">
      <c r="A608" t="inlineStr">
        <is>
          <t>샘플종목06</t>
        </is>
      </c>
      <c r="B608" s="3" t="n">
        <v>45947</v>
      </c>
      <c r="C608" t="n">
        <v>210339</v>
      </c>
      <c r="D608" t="n">
        <v>9342953</v>
      </c>
      <c r="E608">
        <f>IF(A608="","",COUNTIFS($A$2:$A$20000,A608,$B$2:$B$20000,"&gt;"&amp;B608)+1)</f>
        <v/>
      </c>
    </row>
    <row r="609">
      <c r="A609" t="inlineStr">
        <is>
          <t>샘플종목06</t>
        </is>
      </c>
      <c r="B609" s="3" t="n">
        <v>45954</v>
      </c>
      <c r="C609" t="n">
        <v>208674</v>
      </c>
      <c r="D609" t="n">
        <v>3409442</v>
      </c>
      <c r="E609">
        <f>IF(A609="","",COUNTIFS($A$2:$A$20000,A609,$B$2:$B$20000,"&gt;"&amp;B609)+1)</f>
        <v/>
      </c>
    </row>
    <row r="610">
      <c r="A610" t="inlineStr">
        <is>
          <t>샘플종목06</t>
        </is>
      </c>
      <c r="B610" s="3" t="n">
        <v>45961</v>
      </c>
      <c r="C610" t="n">
        <v>212579</v>
      </c>
      <c r="D610" t="n">
        <v>8605179</v>
      </c>
      <c r="E610">
        <f>IF(A610="","",COUNTIFS($A$2:$A$20000,A610,$B$2:$B$20000,"&gt;"&amp;B610)+1)</f>
        <v/>
      </c>
    </row>
    <row r="611">
      <c r="A611" t="inlineStr">
        <is>
          <t>샘플종목06</t>
        </is>
      </c>
      <c r="B611" s="3" t="n">
        <v>45968</v>
      </c>
      <c r="C611" t="n">
        <v>217427</v>
      </c>
      <c r="D611" t="n">
        <v>7066646</v>
      </c>
      <c r="E611">
        <f>IF(A611="","",COUNTIFS($A$2:$A$20000,A611,$B$2:$B$20000,"&gt;"&amp;B611)+1)</f>
        <v/>
      </c>
    </row>
    <row r="612">
      <c r="A612" t="inlineStr">
        <is>
          <t>샘플종목06</t>
        </is>
      </c>
      <c r="B612" s="3" t="n">
        <v>45975</v>
      </c>
      <c r="C612" t="n">
        <v>219951</v>
      </c>
      <c r="D612" t="n">
        <v>5290576</v>
      </c>
      <c r="E612">
        <f>IF(A612="","",COUNTIFS($A$2:$A$20000,A612,$B$2:$B$20000,"&gt;"&amp;B612)+1)</f>
        <v/>
      </c>
    </row>
    <row r="613">
      <c r="A613" t="inlineStr">
        <is>
          <t>샘플종목06</t>
        </is>
      </c>
      <c r="B613" s="3" t="n">
        <v>45982</v>
      </c>
      <c r="C613" t="n">
        <v>215367</v>
      </c>
      <c r="D613" t="n">
        <v>1169835</v>
      </c>
      <c r="E613">
        <f>IF(A613="","",COUNTIFS($A$2:$A$20000,A613,$B$2:$B$20000,"&gt;"&amp;B613)+1)</f>
        <v/>
      </c>
    </row>
    <row r="614">
      <c r="A614" t="inlineStr">
        <is>
          <t>샘플종목06</t>
        </is>
      </c>
      <c r="B614" s="3" t="n">
        <v>45989</v>
      </c>
      <c r="C614" t="n">
        <v>214954</v>
      </c>
      <c r="D614" t="n">
        <v>8118255</v>
      </c>
      <c r="E614">
        <f>IF(A614="","",COUNTIFS($A$2:$A$20000,A614,$B$2:$B$20000,"&gt;"&amp;B614)+1)</f>
        <v/>
      </c>
    </row>
    <row r="615">
      <c r="A615" t="inlineStr">
        <is>
          <t>샘플종목06</t>
        </is>
      </c>
      <c r="B615" s="3" t="n">
        <v>45996</v>
      </c>
      <c r="C615" t="n">
        <v>217960</v>
      </c>
      <c r="D615" t="n">
        <v>9132959</v>
      </c>
      <c r="E615">
        <f>IF(A615="","",COUNTIFS($A$2:$A$20000,A615,$B$2:$B$20000,"&gt;"&amp;B615)+1)</f>
        <v/>
      </c>
    </row>
    <row r="616">
      <c r="A616" t="inlineStr">
        <is>
          <t>샘플종목06</t>
        </is>
      </c>
      <c r="B616" s="3" t="n">
        <v>46003</v>
      </c>
      <c r="C616" t="n">
        <v>235201</v>
      </c>
      <c r="D616" t="n">
        <v>7905860</v>
      </c>
      <c r="E616">
        <f>IF(A616="","",COUNTIFS($A$2:$A$20000,A616,$B$2:$B$20000,"&gt;"&amp;B616)+1)</f>
        <v/>
      </c>
    </row>
    <row r="617">
      <c r="A617" t="inlineStr">
        <is>
          <t>샘플종목06</t>
        </is>
      </c>
      <c r="B617" s="3" t="n">
        <v>46010</v>
      </c>
      <c r="C617" t="n">
        <v>236396</v>
      </c>
      <c r="D617" t="n">
        <v>1450206</v>
      </c>
      <c r="E617">
        <f>IF(A617="","",COUNTIFS($A$2:$A$20000,A617,$B$2:$B$20000,"&gt;"&amp;B617)+1)</f>
        <v/>
      </c>
    </row>
    <row r="618">
      <c r="A618" t="inlineStr">
        <is>
          <t>샘플종목06</t>
        </is>
      </c>
      <c r="B618" s="3" t="n">
        <v>46017</v>
      </c>
      <c r="C618" t="n">
        <v>236331</v>
      </c>
      <c r="D618" t="n">
        <v>3890785</v>
      </c>
      <c r="E618">
        <f>IF(A618="","",COUNTIFS($A$2:$A$20000,A618,$B$2:$B$20000,"&gt;"&amp;B618)+1)</f>
        <v/>
      </c>
    </row>
    <row r="619">
      <c r="A619" t="inlineStr">
        <is>
          <t>샘플종목06</t>
        </is>
      </c>
      <c r="B619" s="3" t="n">
        <v>46024</v>
      </c>
      <c r="C619" t="n">
        <v>226442</v>
      </c>
      <c r="D619" t="n">
        <v>1866333</v>
      </c>
      <c r="E619">
        <f>IF(A619="","",COUNTIFS($A$2:$A$20000,A619,$B$2:$B$20000,"&gt;"&amp;B619)+1)</f>
        <v/>
      </c>
    </row>
    <row r="620">
      <c r="A620" t="inlineStr">
        <is>
          <t>샘플종목06</t>
        </is>
      </c>
      <c r="B620" s="3" t="n">
        <v>46031</v>
      </c>
      <c r="C620" t="n">
        <v>225961</v>
      </c>
      <c r="D620" t="n">
        <v>2168069</v>
      </c>
      <c r="E620">
        <f>IF(A620="","",COUNTIFS($A$2:$A$20000,A620,$B$2:$B$20000,"&gt;"&amp;B620)+1)</f>
        <v/>
      </c>
    </row>
    <row r="621">
      <c r="A621" t="inlineStr">
        <is>
          <t>샘플종목06</t>
        </is>
      </c>
      <c r="B621" s="3" t="n">
        <v>46038</v>
      </c>
      <c r="C621" t="n">
        <v>239370</v>
      </c>
      <c r="D621" t="n">
        <v>5729025</v>
      </c>
      <c r="E621">
        <f>IF(A621="","",COUNTIFS($A$2:$A$20000,A621,$B$2:$B$20000,"&gt;"&amp;B621)+1)</f>
        <v/>
      </c>
    </row>
    <row r="622">
      <c r="A622" t="inlineStr">
        <is>
          <t>샘플종목06</t>
        </is>
      </c>
      <c r="B622" s="3" t="n">
        <v>46045</v>
      </c>
      <c r="C622" t="n">
        <v>256759</v>
      </c>
      <c r="D622" t="n">
        <v>4517416</v>
      </c>
      <c r="E622">
        <f>IF(A622="","",COUNTIFS($A$2:$A$20000,A622,$B$2:$B$20000,"&gt;"&amp;B622)+1)</f>
        <v/>
      </c>
    </row>
    <row r="623">
      <c r="A623" t="inlineStr">
        <is>
          <t>샘플종목06</t>
        </is>
      </c>
      <c r="B623" s="3" t="n">
        <v>46052</v>
      </c>
      <c r="C623" t="n">
        <v>242510</v>
      </c>
      <c r="D623" t="n">
        <v>981355</v>
      </c>
      <c r="E623">
        <f>IF(A623="","",COUNTIFS($A$2:$A$20000,A623,$B$2:$B$20000,"&gt;"&amp;B623)+1)</f>
        <v/>
      </c>
    </row>
    <row r="624">
      <c r="A624" t="inlineStr">
        <is>
          <t>샘플종목06</t>
        </is>
      </c>
      <c r="B624" s="3" t="n">
        <v>46059</v>
      </c>
      <c r="C624" t="n">
        <v>241759</v>
      </c>
      <c r="D624" t="n">
        <v>7415750</v>
      </c>
      <c r="E624">
        <f>IF(A624="","",COUNTIFS($A$2:$A$20000,A624,$B$2:$B$20000,"&gt;"&amp;B624)+1)</f>
        <v/>
      </c>
    </row>
    <row r="625">
      <c r="A625" t="inlineStr">
        <is>
          <t>샘플종목06</t>
        </is>
      </c>
      <c r="B625" s="3" t="n">
        <v>46066</v>
      </c>
      <c r="C625" t="n">
        <v>254466</v>
      </c>
      <c r="D625" t="n">
        <v>8878588</v>
      </c>
      <c r="E625">
        <f>IF(A625="","",COUNTIFS($A$2:$A$20000,A625,$B$2:$B$20000,"&gt;"&amp;B625)+1)</f>
        <v/>
      </c>
    </row>
    <row r="626">
      <c r="A626" t="inlineStr">
        <is>
          <t>샘플종목06</t>
        </is>
      </c>
      <c r="B626" s="3" t="n">
        <v>46073</v>
      </c>
      <c r="C626" t="n">
        <v>263363</v>
      </c>
      <c r="D626" t="n">
        <v>3740580</v>
      </c>
      <c r="E626">
        <f>IF(A626="","",COUNTIFS($A$2:$A$20000,A626,$B$2:$B$20000,"&gt;"&amp;B626)+1)</f>
        <v/>
      </c>
    </row>
    <row r="627">
      <c r="A627" t="inlineStr">
        <is>
          <t>샘플종목06</t>
        </is>
      </c>
      <c r="B627" s="3" t="n">
        <v>46080</v>
      </c>
      <c r="C627" t="n">
        <v>262341</v>
      </c>
      <c r="D627" t="n">
        <v>1533128</v>
      </c>
      <c r="E627">
        <f>IF(A627="","",COUNTIFS($A$2:$A$20000,A627,$B$2:$B$20000,"&gt;"&amp;B627)+1)</f>
        <v/>
      </c>
    </row>
    <row r="628">
      <c r="A628" t="inlineStr">
        <is>
          <t>샘플종목06</t>
        </is>
      </c>
      <c r="B628" s="3" t="n">
        <v>46087</v>
      </c>
      <c r="C628" t="n">
        <v>264206</v>
      </c>
      <c r="D628" t="n">
        <v>4468261</v>
      </c>
      <c r="E628">
        <f>IF(A628="","",COUNTIFS($A$2:$A$20000,A628,$B$2:$B$20000,"&gt;"&amp;B628)+1)</f>
        <v/>
      </c>
    </row>
    <row r="629">
      <c r="A629" t="inlineStr">
        <is>
          <t>샘플종목06</t>
        </is>
      </c>
      <c r="B629" s="3" t="n">
        <v>46094</v>
      </c>
      <c r="C629" t="n">
        <v>263467</v>
      </c>
      <c r="D629" t="n">
        <v>4061256</v>
      </c>
      <c r="E629">
        <f>IF(A629="","",COUNTIFS($A$2:$A$20000,A629,$B$2:$B$20000,"&gt;"&amp;B629)+1)</f>
        <v/>
      </c>
    </row>
    <row r="630">
      <c r="A630" t="inlineStr">
        <is>
          <t>샘플종목06</t>
        </is>
      </c>
      <c r="B630" s="3" t="n">
        <v>46101</v>
      </c>
      <c r="C630" t="n">
        <v>267860</v>
      </c>
      <c r="D630" t="n">
        <v>2770703</v>
      </c>
      <c r="E630">
        <f>IF(A630="","",COUNTIFS($A$2:$A$20000,A630,$B$2:$B$20000,"&gt;"&amp;B630)+1)</f>
        <v/>
      </c>
    </row>
    <row r="631">
      <c r="A631" t="inlineStr">
        <is>
          <t>샘플종목06</t>
        </is>
      </c>
      <c r="B631" s="3" t="n">
        <v>46108</v>
      </c>
      <c r="C631" t="n">
        <v>262348</v>
      </c>
      <c r="D631" t="n">
        <v>5583992</v>
      </c>
      <c r="E631">
        <f>IF(A631="","",COUNTIFS($A$2:$A$20000,A631,$B$2:$B$20000,"&gt;"&amp;B631)+1)</f>
        <v/>
      </c>
    </row>
    <row r="632">
      <c r="A632" t="inlineStr">
        <is>
          <t>샘플종목06</t>
        </is>
      </c>
      <c r="B632" s="3" t="n">
        <v>46115</v>
      </c>
      <c r="C632" t="n">
        <v>266587</v>
      </c>
      <c r="D632" t="n">
        <v>4112569</v>
      </c>
      <c r="E632">
        <f>IF(A632="","",COUNTIFS($A$2:$A$20000,A632,$B$2:$B$20000,"&gt;"&amp;B632)+1)</f>
        <v/>
      </c>
    </row>
    <row r="633">
      <c r="A633" t="inlineStr">
        <is>
          <t>샘플종목06</t>
        </is>
      </c>
      <c r="B633" s="3" t="n">
        <v>46122</v>
      </c>
      <c r="C633" t="n">
        <v>277004</v>
      </c>
      <c r="D633" t="n">
        <v>6466096</v>
      </c>
      <c r="E633">
        <f>IF(A633="","",COUNTIFS($A$2:$A$20000,A633,$B$2:$B$20000,"&gt;"&amp;B633)+1)</f>
        <v/>
      </c>
    </row>
    <row r="634">
      <c r="A634" t="inlineStr">
        <is>
          <t>샘플종목06</t>
        </is>
      </c>
      <c r="B634" s="3" t="n">
        <v>46129</v>
      </c>
      <c r="C634" t="n">
        <v>290633</v>
      </c>
      <c r="D634" t="n">
        <v>9098559</v>
      </c>
      <c r="E634">
        <f>IF(A634="","",COUNTIFS($A$2:$A$20000,A634,$B$2:$B$20000,"&gt;"&amp;B634)+1)</f>
        <v/>
      </c>
    </row>
    <row r="635">
      <c r="A635" t="inlineStr">
        <is>
          <t>샘플종목06</t>
        </is>
      </c>
      <c r="B635" s="3" t="n">
        <v>46136</v>
      </c>
      <c r="C635" t="n">
        <v>282212</v>
      </c>
      <c r="D635" t="n">
        <v>7976784</v>
      </c>
      <c r="E635">
        <f>IF(A635="","",COUNTIFS($A$2:$A$20000,A635,$B$2:$B$20000,"&gt;"&amp;B635)+1)</f>
        <v/>
      </c>
    </row>
    <row r="636">
      <c r="A636" t="inlineStr">
        <is>
          <t>샘플종목06</t>
        </is>
      </c>
      <c r="B636" s="3" t="n">
        <v>46143</v>
      </c>
      <c r="C636" t="n">
        <v>269104</v>
      </c>
      <c r="D636" t="n">
        <v>207067</v>
      </c>
      <c r="E636">
        <f>IF(A636="","",COUNTIFS($A$2:$A$20000,A636,$B$2:$B$20000,"&gt;"&amp;B636)+1)</f>
        <v/>
      </c>
    </row>
    <row r="637">
      <c r="A637" t="inlineStr">
        <is>
          <t>샘플종목06</t>
        </is>
      </c>
      <c r="B637" s="3" t="n">
        <v>46150</v>
      </c>
      <c r="C637" t="n">
        <v>271948</v>
      </c>
      <c r="D637" t="n">
        <v>544877</v>
      </c>
      <c r="E637">
        <f>IF(A637="","",COUNTIFS($A$2:$A$20000,A637,$B$2:$B$20000,"&gt;"&amp;B637)+1)</f>
        <v/>
      </c>
    </row>
    <row r="638">
      <c r="A638" t="inlineStr">
        <is>
          <t>샘플종목06</t>
        </is>
      </c>
      <c r="B638" s="3" t="n">
        <v>46157</v>
      </c>
      <c r="C638" t="n">
        <v>256364</v>
      </c>
      <c r="D638" t="n">
        <v>9668725</v>
      </c>
      <c r="E638">
        <f>IF(A638="","",COUNTIFS($A$2:$A$20000,A638,$B$2:$B$20000,"&gt;"&amp;B638)+1)</f>
        <v/>
      </c>
    </row>
    <row r="639">
      <c r="A639" t="inlineStr">
        <is>
          <t>샘플종목06</t>
        </is>
      </c>
      <c r="B639" s="3" t="n">
        <v>46164</v>
      </c>
      <c r="C639" t="n">
        <v>263206</v>
      </c>
      <c r="D639" t="n">
        <v>5263202</v>
      </c>
      <c r="E639">
        <f>IF(A639="","",COUNTIFS($A$2:$A$20000,A639,$B$2:$B$20000,"&gt;"&amp;B639)+1)</f>
        <v/>
      </c>
    </row>
    <row r="640">
      <c r="A640" t="inlineStr">
        <is>
          <t>샘플종목06</t>
        </is>
      </c>
      <c r="B640" s="3" t="n">
        <v>46171</v>
      </c>
      <c r="C640" t="n">
        <v>266292</v>
      </c>
      <c r="D640" t="n">
        <v>9920246</v>
      </c>
      <c r="E640">
        <f>IF(A640="","",COUNTIFS($A$2:$A$20000,A640,$B$2:$B$20000,"&gt;"&amp;B640)+1)</f>
        <v/>
      </c>
    </row>
    <row r="641">
      <c r="A641" t="inlineStr">
        <is>
          <t>샘플종목06</t>
        </is>
      </c>
      <c r="B641" s="3" t="n">
        <v>46178</v>
      </c>
      <c r="C641" t="n">
        <v>256527</v>
      </c>
      <c r="D641" t="n">
        <v>1405306</v>
      </c>
      <c r="E641">
        <f>IF(A641="","",COUNTIFS($A$2:$A$20000,A641,$B$2:$B$20000,"&gt;"&amp;B641)+1)</f>
        <v/>
      </c>
    </row>
    <row r="642">
      <c r="A642" t="inlineStr">
        <is>
          <t>샘플종목06</t>
        </is>
      </c>
      <c r="B642" s="3" t="n">
        <v>46185</v>
      </c>
      <c r="C642" t="n">
        <v>251266</v>
      </c>
      <c r="D642" t="n">
        <v>652198</v>
      </c>
      <c r="E642">
        <f>IF(A642="","",COUNTIFS($A$2:$A$20000,A642,$B$2:$B$20000,"&gt;"&amp;B642)+1)</f>
        <v/>
      </c>
    </row>
    <row r="643">
      <c r="A643" t="inlineStr">
        <is>
          <t>샘플종목06</t>
        </is>
      </c>
      <c r="B643" s="3" t="n">
        <v>46192</v>
      </c>
      <c r="C643" t="n">
        <v>249312</v>
      </c>
      <c r="D643" t="n">
        <v>551349</v>
      </c>
      <c r="E643">
        <f>IF(A643="","",COUNTIFS($A$2:$A$20000,A643,$B$2:$B$20000,"&gt;"&amp;B643)+1)</f>
        <v/>
      </c>
    </row>
    <row r="644">
      <c r="A644" t="inlineStr">
        <is>
          <t>샘플종목06</t>
        </is>
      </c>
      <c r="B644" s="3" t="n">
        <v>46199</v>
      </c>
      <c r="C644" t="n">
        <v>260422</v>
      </c>
      <c r="D644" t="n">
        <v>2814742</v>
      </c>
      <c r="E644">
        <f>IF(A644="","",COUNTIFS($A$2:$A$20000,A644,$B$2:$B$20000,"&gt;"&amp;B644)+1)</f>
        <v/>
      </c>
    </row>
    <row r="645">
      <c r="A645" t="inlineStr">
        <is>
          <t>샘플종목06</t>
        </is>
      </c>
      <c r="B645" s="3" t="n">
        <v>46206</v>
      </c>
      <c r="C645" t="n">
        <v>270337</v>
      </c>
      <c r="D645" t="n">
        <v>5885852</v>
      </c>
      <c r="E645">
        <f>IF(A645="","",COUNTIFS($A$2:$A$20000,A645,$B$2:$B$20000,"&gt;"&amp;B645)+1)</f>
        <v/>
      </c>
    </row>
    <row r="646">
      <c r="A646" t="inlineStr">
        <is>
          <t>샘플종목06</t>
        </is>
      </c>
      <c r="B646" s="3" t="n">
        <v>46213</v>
      </c>
      <c r="C646" t="n">
        <v>287506</v>
      </c>
      <c r="D646" t="n">
        <v>617910</v>
      </c>
      <c r="E646">
        <f>IF(A646="","",COUNTIFS($A$2:$A$20000,A646,$B$2:$B$20000,"&gt;"&amp;B646)+1)</f>
        <v/>
      </c>
    </row>
    <row r="647">
      <c r="A647" t="inlineStr">
        <is>
          <t>샘플종목06</t>
        </is>
      </c>
      <c r="B647" s="3" t="n">
        <v>46220</v>
      </c>
      <c r="C647" t="n">
        <v>285554</v>
      </c>
      <c r="D647" t="n">
        <v>798761</v>
      </c>
      <c r="E647">
        <f>IF(A647="","",COUNTIFS($A$2:$A$20000,A647,$B$2:$B$20000,"&gt;"&amp;B647)+1)</f>
        <v/>
      </c>
    </row>
    <row r="648">
      <c r="A648" t="inlineStr">
        <is>
          <t>샘플종목06</t>
        </is>
      </c>
      <c r="B648" s="3" t="n">
        <v>46227</v>
      </c>
      <c r="C648" t="n">
        <v>296709</v>
      </c>
      <c r="D648" t="n">
        <v>815486</v>
      </c>
      <c r="E648">
        <f>IF(A648="","",COUNTIFS($A$2:$A$20000,A648,$B$2:$B$20000,"&gt;"&amp;B648)+1)</f>
        <v/>
      </c>
    </row>
    <row r="649">
      <c r="A649" t="inlineStr">
        <is>
          <t>샘플종목06</t>
        </is>
      </c>
      <c r="B649" s="3" t="n">
        <v>46234</v>
      </c>
      <c r="C649" t="n">
        <v>310328</v>
      </c>
      <c r="D649" t="n">
        <v>1237959</v>
      </c>
      <c r="E649">
        <f>IF(A649="","",COUNTIFS($A$2:$A$20000,A649,$B$2:$B$20000,"&gt;"&amp;B649)+1)</f>
        <v/>
      </c>
    </row>
    <row r="650">
      <c r="A650" t="inlineStr">
        <is>
          <t>샘플종목06</t>
        </is>
      </c>
      <c r="B650" s="3" t="n">
        <v>46241</v>
      </c>
      <c r="C650" t="n">
        <v>310569</v>
      </c>
      <c r="D650" t="n">
        <v>6196942</v>
      </c>
      <c r="E650">
        <f>IF(A650="","",COUNTIFS($A$2:$A$20000,A650,$B$2:$B$20000,"&gt;"&amp;B650)+1)</f>
        <v/>
      </c>
    </row>
    <row r="651">
      <c r="A651" t="inlineStr">
        <is>
          <t>샘플종목06</t>
        </is>
      </c>
      <c r="B651" s="3" t="n">
        <v>46248</v>
      </c>
      <c r="C651" t="n">
        <v>306623</v>
      </c>
      <c r="D651" t="n">
        <v>3443903</v>
      </c>
      <c r="E651">
        <f>IF(A651="","",COUNTIFS($A$2:$A$20000,A651,$B$2:$B$20000,"&gt;"&amp;B651)+1)</f>
        <v/>
      </c>
    </row>
    <row r="652">
      <c r="A652" t="inlineStr">
        <is>
          <t>샘플종목06</t>
        </is>
      </c>
      <c r="B652" s="3" t="n">
        <v>46255</v>
      </c>
      <c r="C652" t="n">
        <v>316585</v>
      </c>
      <c r="D652" t="n">
        <v>1206430</v>
      </c>
      <c r="E652">
        <f>IF(A652="","",COUNTIFS($A$2:$A$20000,A652,$B$2:$B$20000,"&gt;"&amp;B652)+1)</f>
        <v/>
      </c>
    </row>
    <row r="653">
      <c r="A653" t="inlineStr">
        <is>
          <t>샘플종목06</t>
        </is>
      </c>
      <c r="B653" s="3" t="n">
        <v>46262</v>
      </c>
      <c r="C653" t="n">
        <v>295863</v>
      </c>
      <c r="D653" t="n">
        <v>6539811</v>
      </c>
      <c r="E653">
        <f>IF(A653="","",COUNTIFS($A$2:$A$20000,A653,$B$2:$B$20000,"&gt;"&amp;B653)+1)</f>
        <v/>
      </c>
    </row>
    <row r="654">
      <c r="A654" t="inlineStr">
        <is>
          <t>샘플종목06</t>
        </is>
      </c>
      <c r="B654" s="3" t="n">
        <v>46269</v>
      </c>
      <c r="C654" t="n">
        <v>302735</v>
      </c>
      <c r="D654" t="n">
        <v>1978540</v>
      </c>
      <c r="E654">
        <f>IF(A654="","",COUNTIFS($A$2:$A$20000,A654,$B$2:$B$20000,"&gt;"&amp;B654)+1)</f>
        <v/>
      </c>
    </row>
    <row r="655">
      <c r="A655" t="inlineStr">
        <is>
          <t>샘플종목06</t>
        </is>
      </c>
      <c r="B655" s="3" t="n">
        <v>46276</v>
      </c>
      <c r="C655" t="n">
        <v>308464</v>
      </c>
      <c r="D655" t="n">
        <v>668087</v>
      </c>
      <c r="E655">
        <f>IF(A655="","",COUNTIFS($A$2:$A$20000,A655,$B$2:$B$20000,"&gt;"&amp;B655)+1)</f>
        <v/>
      </c>
    </row>
    <row r="656">
      <c r="A656" t="inlineStr">
        <is>
          <t>샘플종목06</t>
        </is>
      </c>
      <c r="B656" s="3" t="n">
        <v>46283</v>
      </c>
      <c r="C656" t="n">
        <v>332461</v>
      </c>
      <c r="D656" t="n">
        <v>1567498</v>
      </c>
      <c r="E656">
        <f>IF(A656="","",COUNTIFS($A$2:$A$20000,A656,$B$2:$B$20000,"&gt;"&amp;B656)+1)</f>
        <v/>
      </c>
    </row>
    <row r="657">
      <c r="A657" t="inlineStr">
        <is>
          <t>샘플종목06</t>
        </is>
      </c>
      <c r="B657" s="3" t="n">
        <v>46290</v>
      </c>
      <c r="C657" t="n">
        <v>338664</v>
      </c>
      <c r="D657" t="n">
        <v>4921186</v>
      </c>
      <c r="E657">
        <f>IF(A657="","",COUNTIFS($A$2:$A$20000,A657,$B$2:$B$20000,"&gt;"&amp;B657)+1)</f>
        <v/>
      </c>
    </row>
    <row r="658">
      <c r="A658" t="inlineStr">
        <is>
          <t>샘플종목06</t>
        </is>
      </c>
      <c r="B658" s="3" t="n">
        <v>46297</v>
      </c>
      <c r="C658" t="n">
        <v>332189</v>
      </c>
      <c r="D658" t="n">
        <v>3539219</v>
      </c>
      <c r="E658">
        <f>IF(A658="","",COUNTIFS($A$2:$A$20000,A658,$B$2:$B$20000,"&gt;"&amp;B658)+1)</f>
        <v/>
      </c>
    </row>
    <row r="659">
      <c r="A659" t="inlineStr">
        <is>
          <t>샘플종목06</t>
        </is>
      </c>
      <c r="B659" s="3" t="n">
        <v>46304</v>
      </c>
      <c r="C659" t="n">
        <v>333869</v>
      </c>
      <c r="D659" t="n">
        <v>5040208</v>
      </c>
      <c r="E659">
        <f>IF(A659="","",COUNTIFS($A$2:$A$20000,A659,$B$2:$B$20000,"&gt;"&amp;B659)+1)</f>
        <v/>
      </c>
    </row>
    <row r="660">
      <c r="A660" t="inlineStr">
        <is>
          <t>샘플종목06</t>
        </is>
      </c>
      <c r="B660" s="3" t="n">
        <v>46311</v>
      </c>
      <c r="C660" t="n">
        <v>328635</v>
      </c>
      <c r="D660" t="n">
        <v>450953</v>
      </c>
      <c r="E660">
        <f>IF(A660="","",COUNTIFS($A$2:$A$20000,A660,$B$2:$B$20000,"&gt;"&amp;B660)+1)</f>
        <v/>
      </c>
    </row>
    <row r="661">
      <c r="A661" t="inlineStr">
        <is>
          <t>샘플종목06</t>
        </is>
      </c>
      <c r="B661" s="3" t="n">
        <v>46318</v>
      </c>
      <c r="C661" t="n">
        <v>341813</v>
      </c>
      <c r="D661" t="n">
        <v>5987138</v>
      </c>
      <c r="E661">
        <f>IF(A661="","",COUNTIFS($A$2:$A$20000,A661,$B$2:$B$20000,"&gt;"&amp;B661)+1)</f>
        <v/>
      </c>
    </row>
    <row r="662">
      <c r="A662" t="inlineStr">
        <is>
          <t>샘플종목07</t>
        </is>
      </c>
      <c r="B662" s="3" t="n">
        <v>45555</v>
      </c>
      <c r="C662" t="n">
        <v>54457</v>
      </c>
      <c r="D662" t="n">
        <v>6274423</v>
      </c>
      <c r="E662">
        <f>IF(A662="","",COUNTIFS($A$2:$A$20000,A662,$B$2:$B$20000,"&gt;"&amp;B662)+1)</f>
        <v/>
      </c>
    </row>
    <row r="663">
      <c r="A663" t="inlineStr">
        <is>
          <t>샘플종목07</t>
        </is>
      </c>
      <c r="B663" s="3" t="n">
        <v>45562</v>
      </c>
      <c r="C663" t="n">
        <v>57948</v>
      </c>
      <c r="D663" t="n">
        <v>5482603</v>
      </c>
      <c r="E663">
        <f>IF(A663="","",COUNTIFS($A$2:$A$20000,A663,$B$2:$B$20000,"&gt;"&amp;B663)+1)</f>
        <v/>
      </c>
    </row>
    <row r="664">
      <c r="A664" t="inlineStr">
        <is>
          <t>샘플종목07</t>
        </is>
      </c>
      <c r="B664" s="3" t="n">
        <v>45569</v>
      </c>
      <c r="C664" t="n">
        <v>58444</v>
      </c>
      <c r="D664" t="n">
        <v>8087343</v>
      </c>
      <c r="E664">
        <f>IF(A664="","",COUNTIFS($A$2:$A$20000,A664,$B$2:$B$20000,"&gt;"&amp;B664)+1)</f>
        <v/>
      </c>
    </row>
    <row r="665">
      <c r="A665" t="inlineStr">
        <is>
          <t>샘플종목07</t>
        </is>
      </c>
      <c r="B665" s="3" t="n">
        <v>45576</v>
      </c>
      <c r="C665" t="n">
        <v>55410</v>
      </c>
      <c r="D665" t="n">
        <v>4925945</v>
      </c>
      <c r="E665">
        <f>IF(A665="","",COUNTIFS($A$2:$A$20000,A665,$B$2:$B$20000,"&gt;"&amp;B665)+1)</f>
        <v/>
      </c>
    </row>
    <row r="666">
      <c r="A666" t="inlineStr">
        <is>
          <t>샘플종목07</t>
        </is>
      </c>
      <c r="B666" s="3" t="n">
        <v>45583</v>
      </c>
      <c r="C666" t="n">
        <v>55112</v>
      </c>
      <c r="D666" t="n">
        <v>7027663</v>
      </c>
      <c r="E666">
        <f>IF(A666="","",COUNTIFS($A$2:$A$20000,A666,$B$2:$B$20000,"&gt;"&amp;B666)+1)</f>
        <v/>
      </c>
    </row>
    <row r="667">
      <c r="A667" t="inlineStr">
        <is>
          <t>샘플종목07</t>
        </is>
      </c>
      <c r="B667" s="3" t="n">
        <v>45590</v>
      </c>
      <c r="C667" t="n">
        <v>54848</v>
      </c>
      <c r="D667" t="n">
        <v>624259</v>
      </c>
      <c r="E667">
        <f>IF(A667="","",COUNTIFS($A$2:$A$20000,A667,$B$2:$B$20000,"&gt;"&amp;B667)+1)</f>
        <v/>
      </c>
    </row>
    <row r="668">
      <c r="A668" t="inlineStr">
        <is>
          <t>샘플종목07</t>
        </is>
      </c>
      <c r="B668" s="3" t="n">
        <v>45597</v>
      </c>
      <c r="C668" t="n">
        <v>51476</v>
      </c>
      <c r="D668" t="n">
        <v>5918030</v>
      </c>
      <c r="E668">
        <f>IF(A668="","",COUNTIFS($A$2:$A$20000,A668,$B$2:$B$20000,"&gt;"&amp;B668)+1)</f>
        <v/>
      </c>
    </row>
    <row r="669">
      <c r="A669" t="inlineStr">
        <is>
          <t>샘플종목07</t>
        </is>
      </c>
      <c r="B669" s="3" t="n">
        <v>45604</v>
      </c>
      <c r="C669" t="n">
        <v>52958</v>
      </c>
      <c r="D669" t="n">
        <v>7967535</v>
      </c>
      <c r="E669">
        <f>IF(A669="","",COUNTIFS($A$2:$A$20000,A669,$B$2:$B$20000,"&gt;"&amp;B669)+1)</f>
        <v/>
      </c>
    </row>
    <row r="670">
      <c r="A670" t="inlineStr">
        <is>
          <t>샘플종목07</t>
        </is>
      </c>
      <c r="B670" s="3" t="n">
        <v>45611</v>
      </c>
      <c r="C670" t="n">
        <v>52324</v>
      </c>
      <c r="D670" t="n">
        <v>3733513</v>
      </c>
      <c r="E670">
        <f>IF(A670="","",COUNTIFS($A$2:$A$20000,A670,$B$2:$B$20000,"&gt;"&amp;B670)+1)</f>
        <v/>
      </c>
    </row>
    <row r="671">
      <c r="A671" t="inlineStr">
        <is>
          <t>샘플종목07</t>
        </is>
      </c>
      <c r="B671" s="3" t="n">
        <v>45618</v>
      </c>
      <c r="C671" t="n">
        <v>49933</v>
      </c>
      <c r="D671" t="n">
        <v>1624873</v>
      </c>
      <c r="E671">
        <f>IF(A671="","",COUNTIFS($A$2:$A$20000,A671,$B$2:$B$20000,"&gt;"&amp;B671)+1)</f>
        <v/>
      </c>
    </row>
    <row r="672">
      <c r="A672" t="inlineStr">
        <is>
          <t>샘플종목07</t>
        </is>
      </c>
      <c r="B672" s="3" t="n">
        <v>45625</v>
      </c>
      <c r="C672" t="n">
        <v>48567</v>
      </c>
      <c r="D672" t="n">
        <v>7415830</v>
      </c>
      <c r="E672">
        <f>IF(A672="","",COUNTIFS($A$2:$A$20000,A672,$B$2:$B$20000,"&gt;"&amp;B672)+1)</f>
        <v/>
      </c>
    </row>
    <row r="673">
      <c r="A673" t="inlineStr">
        <is>
          <t>샘플종목07</t>
        </is>
      </c>
      <c r="B673" s="3" t="n">
        <v>45632</v>
      </c>
      <c r="C673" t="n">
        <v>47942</v>
      </c>
      <c r="D673" t="n">
        <v>121794</v>
      </c>
      <c r="E673">
        <f>IF(A673="","",COUNTIFS($A$2:$A$20000,A673,$B$2:$B$20000,"&gt;"&amp;B673)+1)</f>
        <v/>
      </c>
    </row>
    <row r="674">
      <c r="A674" t="inlineStr">
        <is>
          <t>샘플종목07</t>
        </is>
      </c>
      <c r="B674" s="3" t="n">
        <v>45639</v>
      </c>
      <c r="C674" t="n">
        <v>46474</v>
      </c>
      <c r="D674" t="n">
        <v>1005374</v>
      </c>
      <c r="E674">
        <f>IF(A674="","",COUNTIFS($A$2:$A$20000,A674,$B$2:$B$20000,"&gt;"&amp;B674)+1)</f>
        <v/>
      </c>
    </row>
    <row r="675">
      <c r="A675" t="inlineStr">
        <is>
          <t>샘플종목07</t>
        </is>
      </c>
      <c r="B675" s="3" t="n">
        <v>45646</v>
      </c>
      <c r="C675" t="n">
        <v>46341</v>
      </c>
      <c r="D675" t="n">
        <v>173176</v>
      </c>
      <c r="E675">
        <f>IF(A675="","",COUNTIFS($A$2:$A$20000,A675,$B$2:$B$20000,"&gt;"&amp;B675)+1)</f>
        <v/>
      </c>
    </row>
    <row r="676">
      <c r="A676" t="inlineStr">
        <is>
          <t>샘플종목07</t>
        </is>
      </c>
      <c r="B676" s="3" t="n">
        <v>45653</v>
      </c>
      <c r="C676" t="n">
        <v>45954</v>
      </c>
      <c r="D676" t="n">
        <v>3195718</v>
      </c>
      <c r="E676">
        <f>IF(A676="","",COUNTIFS($A$2:$A$20000,A676,$B$2:$B$20000,"&gt;"&amp;B676)+1)</f>
        <v/>
      </c>
    </row>
    <row r="677">
      <c r="A677" t="inlineStr">
        <is>
          <t>샘플종목07</t>
        </is>
      </c>
      <c r="B677" s="3" t="n">
        <v>45660</v>
      </c>
      <c r="C677" t="n">
        <v>46720</v>
      </c>
      <c r="D677" t="n">
        <v>8397703</v>
      </c>
      <c r="E677">
        <f>IF(A677="","",COUNTIFS($A$2:$A$20000,A677,$B$2:$B$20000,"&gt;"&amp;B677)+1)</f>
        <v/>
      </c>
    </row>
    <row r="678">
      <c r="A678" t="inlineStr">
        <is>
          <t>샘플종목07</t>
        </is>
      </c>
      <c r="B678" s="3" t="n">
        <v>45667</v>
      </c>
      <c r="C678" t="n">
        <v>42893</v>
      </c>
      <c r="D678" t="n">
        <v>8742619</v>
      </c>
      <c r="E678">
        <f>IF(A678="","",COUNTIFS($A$2:$A$20000,A678,$B$2:$B$20000,"&gt;"&amp;B678)+1)</f>
        <v/>
      </c>
    </row>
    <row r="679">
      <c r="A679" t="inlineStr">
        <is>
          <t>샘플종목07</t>
        </is>
      </c>
      <c r="B679" s="3" t="n">
        <v>45674</v>
      </c>
      <c r="C679" t="n">
        <v>40612</v>
      </c>
      <c r="D679" t="n">
        <v>4471724</v>
      </c>
      <c r="E679">
        <f>IF(A679="","",COUNTIFS($A$2:$A$20000,A679,$B$2:$B$20000,"&gt;"&amp;B679)+1)</f>
        <v/>
      </c>
    </row>
    <row r="680">
      <c r="A680" t="inlineStr">
        <is>
          <t>샘플종목07</t>
        </is>
      </c>
      <c r="B680" s="3" t="n">
        <v>45681</v>
      </c>
      <c r="C680" t="n">
        <v>39850</v>
      </c>
      <c r="D680" t="n">
        <v>3702308</v>
      </c>
      <c r="E680">
        <f>IF(A680="","",COUNTIFS($A$2:$A$20000,A680,$B$2:$B$20000,"&gt;"&amp;B680)+1)</f>
        <v/>
      </c>
    </row>
    <row r="681">
      <c r="A681" t="inlineStr">
        <is>
          <t>샘플종목07</t>
        </is>
      </c>
      <c r="B681" s="3" t="n">
        <v>45688</v>
      </c>
      <c r="C681" t="n">
        <v>39489</v>
      </c>
      <c r="D681" t="n">
        <v>3984387</v>
      </c>
      <c r="E681">
        <f>IF(A681="","",COUNTIFS($A$2:$A$20000,A681,$B$2:$B$20000,"&gt;"&amp;B681)+1)</f>
        <v/>
      </c>
    </row>
    <row r="682">
      <c r="A682" t="inlineStr">
        <is>
          <t>샘플종목07</t>
        </is>
      </c>
      <c r="B682" s="3" t="n">
        <v>45695</v>
      </c>
      <c r="C682" t="n">
        <v>38805</v>
      </c>
      <c r="D682" t="n">
        <v>1456984</v>
      </c>
      <c r="E682">
        <f>IF(A682="","",COUNTIFS($A$2:$A$20000,A682,$B$2:$B$20000,"&gt;"&amp;B682)+1)</f>
        <v/>
      </c>
    </row>
    <row r="683">
      <c r="A683" t="inlineStr">
        <is>
          <t>샘플종목07</t>
        </is>
      </c>
      <c r="B683" s="3" t="n">
        <v>45702</v>
      </c>
      <c r="C683" t="n">
        <v>38891</v>
      </c>
      <c r="D683" t="n">
        <v>8325729</v>
      </c>
      <c r="E683">
        <f>IF(A683="","",COUNTIFS($A$2:$A$20000,A683,$B$2:$B$20000,"&gt;"&amp;B683)+1)</f>
        <v/>
      </c>
    </row>
    <row r="684">
      <c r="A684" t="inlineStr">
        <is>
          <t>샘플종목07</t>
        </is>
      </c>
      <c r="B684" s="3" t="n">
        <v>45709</v>
      </c>
      <c r="C684" t="n">
        <v>39536</v>
      </c>
      <c r="D684" t="n">
        <v>1854190</v>
      </c>
      <c r="E684">
        <f>IF(A684="","",COUNTIFS($A$2:$A$20000,A684,$B$2:$B$20000,"&gt;"&amp;B684)+1)</f>
        <v/>
      </c>
    </row>
    <row r="685">
      <c r="A685" t="inlineStr">
        <is>
          <t>샘플종목07</t>
        </is>
      </c>
      <c r="B685" s="3" t="n">
        <v>45716</v>
      </c>
      <c r="C685" t="n">
        <v>37240</v>
      </c>
      <c r="D685" t="n">
        <v>5580180</v>
      </c>
      <c r="E685">
        <f>IF(A685="","",COUNTIFS($A$2:$A$20000,A685,$B$2:$B$20000,"&gt;"&amp;B685)+1)</f>
        <v/>
      </c>
    </row>
    <row r="686">
      <c r="A686" t="inlineStr">
        <is>
          <t>샘플종목07</t>
        </is>
      </c>
      <c r="B686" s="3" t="n">
        <v>45723</v>
      </c>
      <c r="C686" t="n">
        <v>36385</v>
      </c>
      <c r="D686" t="n">
        <v>6720280</v>
      </c>
      <c r="E686">
        <f>IF(A686="","",COUNTIFS($A$2:$A$20000,A686,$B$2:$B$20000,"&gt;"&amp;B686)+1)</f>
        <v/>
      </c>
    </row>
    <row r="687">
      <c r="A687" t="inlineStr">
        <is>
          <t>샘플종목07</t>
        </is>
      </c>
      <c r="B687" s="3" t="n">
        <v>45730</v>
      </c>
      <c r="C687" t="n">
        <v>37619</v>
      </c>
      <c r="D687" t="n">
        <v>1545741</v>
      </c>
      <c r="E687">
        <f>IF(A687="","",COUNTIFS($A$2:$A$20000,A687,$B$2:$B$20000,"&gt;"&amp;B687)+1)</f>
        <v/>
      </c>
    </row>
    <row r="688">
      <c r="A688" t="inlineStr">
        <is>
          <t>샘플종목07</t>
        </is>
      </c>
      <c r="B688" s="3" t="n">
        <v>45737</v>
      </c>
      <c r="C688" t="n">
        <v>35780</v>
      </c>
      <c r="D688" t="n">
        <v>6340285</v>
      </c>
      <c r="E688">
        <f>IF(A688="","",COUNTIFS($A$2:$A$20000,A688,$B$2:$B$20000,"&gt;"&amp;B688)+1)</f>
        <v/>
      </c>
    </row>
    <row r="689">
      <c r="A689" t="inlineStr">
        <is>
          <t>샘플종목07</t>
        </is>
      </c>
      <c r="B689" s="3" t="n">
        <v>45744</v>
      </c>
      <c r="C689" t="n">
        <v>36821</v>
      </c>
      <c r="D689" t="n">
        <v>3558065</v>
      </c>
      <c r="E689">
        <f>IF(A689="","",COUNTIFS($A$2:$A$20000,A689,$B$2:$B$20000,"&gt;"&amp;B689)+1)</f>
        <v/>
      </c>
    </row>
    <row r="690">
      <c r="A690" t="inlineStr">
        <is>
          <t>샘플종목07</t>
        </is>
      </c>
      <c r="B690" s="3" t="n">
        <v>45751</v>
      </c>
      <c r="C690" t="n">
        <v>36385</v>
      </c>
      <c r="D690" t="n">
        <v>9242525</v>
      </c>
      <c r="E690">
        <f>IF(A690="","",COUNTIFS($A$2:$A$20000,A690,$B$2:$B$20000,"&gt;"&amp;B690)+1)</f>
        <v/>
      </c>
    </row>
    <row r="691">
      <c r="A691" t="inlineStr">
        <is>
          <t>샘플종목07</t>
        </is>
      </c>
      <c r="B691" s="3" t="n">
        <v>45758</v>
      </c>
      <c r="C691" t="n">
        <v>37911</v>
      </c>
      <c r="D691" t="n">
        <v>8508575</v>
      </c>
      <c r="E691">
        <f>IF(A691="","",COUNTIFS($A$2:$A$20000,A691,$B$2:$B$20000,"&gt;"&amp;B691)+1)</f>
        <v/>
      </c>
    </row>
    <row r="692">
      <c r="A692" t="inlineStr">
        <is>
          <t>샘플종목07</t>
        </is>
      </c>
      <c r="B692" s="3" t="n">
        <v>45765</v>
      </c>
      <c r="C692" t="n">
        <v>40037</v>
      </c>
      <c r="D692" t="n">
        <v>4018747</v>
      </c>
      <c r="E692">
        <f>IF(A692="","",COUNTIFS($A$2:$A$20000,A692,$B$2:$B$20000,"&gt;"&amp;B692)+1)</f>
        <v/>
      </c>
    </row>
    <row r="693">
      <c r="A693" t="inlineStr">
        <is>
          <t>샘플종목07</t>
        </is>
      </c>
      <c r="B693" s="3" t="n">
        <v>45772</v>
      </c>
      <c r="C693" t="n">
        <v>44122</v>
      </c>
      <c r="D693" t="n">
        <v>7832753</v>
      </c>
      <c r="E693">
        <f>IF(A693="","",COUNTIFS($A$2:$A$20000,A693,$B$2:$B$20000,"&gt;"&amp;B693)+1)</f>
        <v/>
      </c>
    </row>
    <row r="694">
      <c r="A694" t="inlineStr">
        <is>
          <t>샘플종목07</t>
        </is>
      </c>
      <c r="B694" s="3" t="n">
        <v>45779</v>
      </c>
      <c r="C694" t="n">
        <v>45866</v>
      </c>
      <c r="D694" t="n">
        <v>668481</v>
      </c>
      <c r="E694">
        <f>IF(A694="","",COUNTIFS($A$2:$A$20000,A694,$B$2:$B$20000,"&gt;"&amp;B694)+1)</f>
        <v/>
      </c>
    </row>
    <row r="695">
      <c r="A695" t="inlineStr">
        <is>
          <t>샘플종목07</t>
        </is>
      </c>
      <c r="B695" s="3" t="n">
        <v>45786</v>
      </c>
      <c r="C695" t="n">
        <v>47720</v>
      </c>
      <c r="D695" t="n">
        <v>5946615</v>
      </c>
      <c r="E695">
        <f>IF(A695="","",COUNTIFS($A$2:$A$20000,A695,$B$2:$B$20000,"&gt;"&amp;B695)+1)</f>
        <v/>
      </c>
    </row>
    <row r="696">
      <c r="A696" t="inlineStr">
        <is>
          <t>샘플종목07</t>
        </is>
      </c>
      <c r="B696" s="3" t="n">
        <v>45793</v>
      </c>
      <c r="C696" t="n">
        <v>45795</v>
      </c>
      <c r="D696" t="n">
        <v>7654890</v>
      </c>
      <c r="E696">
        <f>IF(A696="","",COUNTIFS($A$2:$A$20000,A696,$B$2:$B$20000,"&gt;"&amp;B696)+1)</f>
        <v/>
      </c>
    </row>
    <row r="697">
      <c r="A697" t="inlineStr">
        <is>
          <t>샘플종목07</t>
        </is>
      </c>
      <c r="B697" s="3" t="n">
        <v>45800</v>
      </c>
      <c r="C697" t="n">
        <v>44796</v>
      </c>
      <c r="D697" t="n">
        <v>9390148</v>
      </c>
      <c r="E697">
        <f>IF(A697="","",COUNTIFS($A$2:$A$20000,A697,$B$2:$B$20000,"&gt;"&amp;B697)+1)</f>
        <v/>
      </c>
    </row>
    <row r="698">
      <c r="A698" t="inlineStr">
        <is>
          <t>샘플종목07</t>
        </is>
      </c>
      <c r="B698" s="3" t="n">
        <v>45807</v>
      </c>
      <c r="C698" t="n">
        <v>44830</v>
      </c>
      <c r="D698" t="n">
        <v>7461809</v>
      </c>
      <c r="E698">
        <f>IF(A698="","",COUNTIFS($A$2:$A$20000,A698,$B$2:$B$20000,"&gt;"&amp;B698)+1)</f>
        <v/>
      </c>
    </row>
    <row r="699">
      <c r="A699" t="inlineStr">
        <is>
          <t>샘플종목07</t>
        </is>
      </c>
      <c r="B699" s="3" t="n">
        <v>45814</v>
      </c>
      <c r="C699" t="n">
        <v>43828</v>
      </c>
      <c r="D699" t="n">
        <v>4415316</v>
      </c>
      <c r="E699">
        <f>IF(A699="","",COUNTIFS($A$2:$A$20000,A699,$B$2:$B$20000,"&gt;"&amp;B699)+1)</f>
        <v/>
      </c>
    </row>
    <row r="700">
      <c r="A700" t="inlineStr">
        <is>
          <t>샘플종목07</t>
        </is>
      </c>
      <c r="B700" s="3" t="n">
        <v>45821</v>
      </c>
      <c r="C700" t="n">
        <v>43116</v>
      </c>
      <c r="D700" t="n">
        <v>7851375</v>
      </c>
      <c r="E700">
        <f>IF(A700="","",COUNTIFS($A$2:$A$20000,A700,$B$2:$B$20000,"&gt;"&amp;B700)+1)</f>
        <v/>
      </c>
    </row>
    <row r="701">
      <c r="A701" t="inlineStr">
        <is>
          <t>샘플종목07</t>
        </is>
      </c>
      <c r="B701" s="3" t="n">
        <v>45828</v>
      </c>
      <c r="C701" t="n">
        <v>42775</v>
      </c>
      <c r="D701" t="n">
        <v>4091977</v>
      </c>
      <c r="E701">
        <f>IF(A701="","",COUNTIFS($A$2:$A$20000,A701,$B$2:$B$20000,"&gt;"&amp;B701)+1)</f>
        <v/>
      </c>
    </row>
    <row r="702">
      <c r="A702" t="inlineStr">
        <is>
          <t>샘플종목07</t>
        </is>
      </c>
      <c r="B702" s="3" t="n">
        <v>45835</v>
      </c>
      <c r="C702" t="n">
        <v>41512</v>
      </c>
      <c r="D702" t="n">
        <v>2693662</v>
      </c>
      <c r="E702">
        <f>IF(A702="","",COUNTIFS($A$2:$A$20000,A702,$B$2:$B$20000,"&gt;"&amp;B702)+1)</f>
        <v/>
      </c>
    </row>
    <row r="703">
      <c r="A703" t="inlineStr">
        <is>
          <t>샘플종목07</t>
        </is>
      </c>
      <c r="B703" s="3" t="n">
        <v>45842</v>
      </c>
      <c r="C703" t="n">
        <v>41532</v>
      </c>
      <c r="D703" t="n">
        <v>2717006</v>
      </c>
      <c r="E703">
        <f>IF(A703="","",COUNTIFS($A$2:$A$20000,A703,$B$2:$B$20000,"&gt;"&amp;B703)+1)</f>
        <v/>
      </c>
    </row>
    <row r="704">
      <c r="A704" t="inlineStr">
        <is>
          <t>샘플종목07</t>
        </is>
      </c>
      <c r="B704" s="3" t="n">
        <v>45849</v>
      </c>
      <c r="C704" t="n">
        <v>44244</v>
      </c>
      <c r="D704" t="n">
        <v>8860705</v>
      </c>
      <c r="E704">
        <f>IF(A704="","",COUNTIFS($A$2:$A$20000,A704,$B$2:$B$20000,"&gt;"&amp;B704)+1)</f>
        <v/>
      </c>
    </row>
    <row r="705">
      <c r="A705" t="inlineStr">
        <is>
          <t>샘플종목07</t>
        </is>
      </c>
      <c r="B705" s="3" t="n">
        <v>45856</v>
      </c>
      <c r="C705" t="n">
        <v>43885</v>
      </c>
      <c r="D705" t="n">
        <v>5949075</v>
      </c>
      <c r="E705">
        <f>IF(A705="","",COUNTIFS($A$2:$A$20000,A705,$B$2:$B$20000,"&gt;"&amp;B705)+1)</f>
        <v/>
      </c>
    </row>
    <row r="706">
      <c r="A706" t="inlineStr">
        <is>
          <t>샘플종목07</t>
        </is>
      </c>
      <c r="B706" s="3" t="n">
        <v>45863</v>
      </c>
      <c r="C706" t="n">
        <v>44804</v>
      </c>
      <c r="D706" t="n">
        <v>3275480</v>
      </c>
      <c r="E706">
        <f>IF(A706="","",COUNTIFS($A$2:$A$20000,A706,$B$2:$B$20000,"&gt;"&amp;B706)+1)</f>
        <v/>
      </c>
    </row>
    <row r="707">
      <c r="A707" t="inlineStr">
        <is>
          <t>샘플종목07</t>
        </is>
      </c>
      <c r="B707" s="3" t="n">
        <v>45870</v>
      </c>
      <c r="C707" t="n">
        <v>46247</v>
      </c>
      <c r="D707" t="n">
        <v>4440067</v>
      </c>
      <c r="E707">
        <f>IF(A707="","",COUNTIFS($A$2:$A$20000,A707,$B$2:$B$20000,"&gt;"&amp;B707)+1)</f>
        <v/>
      </c>
    </row>
    <row r="708">
      <c r="A708" t="inlineStr">
        <is>
          <t>샘플종목07</t>
        </is>
      </c>
      <c r="B708" s="3" t="n">
        <v>45877</v>
      </c>
      <c r="C708" t="n">
        <v>49292</v>
      </c>
      <c r="D708" t="n">
        <v>1808030</v>
      </c>
      <c r="E708">
        <f>IF(A708="","",COUNTIFS($A$2:$A$20000,A708,$B$2:$B$20000,"&gt;"&amp;B708)+1)</f>
        <v/>
      </c>
    </row>
    <row r="709">
      <c r="A709" t="inlineStr">
        <is>
          <t>샘플종목07</t>
        </is>
      </c>
      <c r="B709" s="3" t="n">
        <v>45884</v>
      </c>
      <c r="C709" t="n">
        <v>48895</v>
      </c>
      <c r="D709" t="n">
        <v>2861555</v>
      </c>
      <c r="E709">
        <f>IF(A709="","",COUNTIFS($A$2:$A$20000,A709,$B$2:$B$20000,"&gt;"&amp;B709)+1)</f>
        <v/>
      </c>
    </row>
    <row r="710">
      <c r="A710" t="inlineStr">
        <is>
          <t>샘플종목07</t>
        </is>
      </c>
      <c r="B710" s="3" t="n">
        <v>45891</v>
      </c>
      <c r="C710" t="n">
        <v>49873</v>
      </c>
      <c r="D710" t="n">
        <v>6546358</v>
      </c>
      <c r="E710">
        <f>IF(A710="","",COUNTIFS($A$2:$A$20000,A710,$B$2:$B$20000,"&gt;"&amp;B710)+1)</f>
        <v/>
      </c>
    </row>
    <row r="711">
      <c r="A711" t="inlineStr">
        <is>
          <t>샘플종목07</t>
        </is>
      </c>
      <c r="B711" s="3" t="n">
        <v>45898</v>
      </c>
      <c r="C711" t="n">
        <v>49757</v>
      </c>
      <c r="D711" t="n">
        <v>2632690</v>
      </c>
      <c r="E711">
        <f>IF(A711="","",COUNTIFS($A$2:$A$20000,A711,$B$2:$B$20000,"&gt;"&amp;B711)+1)</f>
        <v/>
      </c>
    </row>
    <row r="712">
      <c r="A712" t="inlineStr">
        <is>
          <t>샘플종목07</t>
        </is>
      </c>
      <c r="B712" s="3" t="n">
        <v>45905</v>
      </c>
      <c r="C712" t="n">
        <v>53381</v>
      </c>
      <c r="D712" t="n">
        <v>5089617</v>
      </c>
      <c r="E712">
        <f>IF(A712="","",COUNTIFS($A$2:$A$20000,A712,$B$2:$B$20000,"&gt;"&amp;B712)+1)</f>
        <v/>
      </c>
    </row>
    <row r="713">
      <c r="A713" t="inlineStr">
        <is>
          <t>샘플종목07</t>
        </is>
      </c>
      <c r="B713" s="3" t="n">
        <v>45912</v>
      </c>
      <c r="C713" t="n">
        <v>53102</v>
      </c>
      <c r="D713" t="n">
        <v>7396797</v>
      </c>
      <c r="E713">
        <f>IF(A713="","",COUNTIFS($A$2:$A$20000,A713,$B$2:$B$20000,"&gt;"&amp;B713)+1)</f>
        <v/>
      </c>
    </row>
    <row r="714">
      <c r="A714" t="inlineStr">
        <is>
          <t>샘플종목07</t>
        </is>
      </c>
      <c r="B714" s="3" t="n">
        <v>45919</v>
      </c>
      <c r="C714" t="n">
        <v>53056</v>
      </c>
      <c r="D714" t="n">
        <v>1892976</v>
      </c>
      <c r="E714">
        <f>IF(A714="","",COUNTIFS($A$2:$A$20000,A714,$B$2:$B$20000,"&gt;"&amp;B714)+1)</f>
        <v/>
      </c>
    </row>
    <row r="715">
      <c r="A715" t="inlineStr">
        <is>
          <t>샘플종목07</t>
        </is>
      </c>
      <c r="B715" s="3" t="n">
        <v>45926</v>
      </c>
      <c r="C715" t="n">
        <v>54172</v>
      </c>
      <c r="D715" t="n">
        <v>4811116</v>
      </c>
      <c r="E715">
        <f>IF(A715="","",COUNTIFS($A$2:$A$20000,A715,$B$2:$B$20000,"&gt;"&amp;B715)+1)</f>
        <v/>
      </c>
    </row>
    <row r="716">
      <c r="A716" t="inlineStr">
        <is>
          <t>샘플종목07</t>
        </is>
      </c>
      <c r="B716" s="3" t="n">
        <v>45933</v>
      </c>
      <c r="C716" t="n">
        <v>54861</v>
      </c>
      <c r="D716" t="n">
        <v>669277</v>
      </c>
      <c r="E716">
        <f>IF(A716="","",COUNTIFS($A$2:$A$20000,A716,$B$2:$B$20000,"&gt;"&amp;B716)+1)</f>
        <v/>
      </c>
    </row>
    <row r="717">
      <c r="A717" t="inlineStr">
        <is>
          <t>샘플종목07</t>
        </is>
      </c>
      <c r="B717" s="3" t="n">
        <v>45940</v>
      </c>
      <c r="C717" t="n">
        <v>57065</v>
      </c>
      <c r="D717" t="n">
        <v>311683</v>
      </c>
      <c r="E717">
        <f>IF(A717="","",COUNTIFS($A$2:$A$20000,A717,$B$2:$B$20000,"&gt;"&amp;B717)+1)</f>
        <v/>
      </c>
    </row>
    <row r="718">
      <c r="A718" t="inlineStr">
        <is>
          <t>샘플종목07</t>
        </is>
      </c>
      <c r="B718" s="3" t="n">
        <v>45947</v>
      </c>
      <c r="C718" t="n">
        <v>53926</v>
      </c>
      <c r="D718" t="n">
        <v>3832128</v>
      </c>
      <c r="E718">
        <f>IF(A718="","",COUNTIFS($A$2:$A$20000,A718,$B$2:$B$20000,"&gt;"&amp;B718)+1)</f>
        <v/>
      </c>
    </row>
    <row r="719">
      <c r="A719" t="inlineStr">
        <is>
          <t>샘플종목07</t>
        </is>
      </c>
      <c r="B719" s="3" t="n">
        <v>45954</v>
      </c>
      <c r="C719" t="n">
        <v>56297</v>
      </c>
      <c r="D719" t="n">
        <v>8496771</v>
      </c>
      <c r="E719">
        <f>IF(A719="","",COUNTIFS($A$2:$A$20000,A719,$B$2:$B$20000,"&gt;"&amp;B719)+1)</f>
        <v/>
      </c>
    </row>
    <row r="720">
      <c r="A720" t="inlineStr">
        <is>
          <t>샘플종목07</t>
        </is>
      </c>
      <c r="B720" s="3" t="n">
        <v>45961</v>
      </c>
      <c r="C720" t="n">
        <v>58283</v>
      </c>
      <c r="D720" t="n">
        <v>471066</v>
      </c>
      <c r="E720">
        <f>IF(A720="","",COUNTIFS($A$2:$A$20000,A720,$B$2:$B$20000,"&gt;"&amp;B720)+1)</f>
        <v/>
      </c>
    </row>
    <row r="721">
      <c r="A721" t="inlineStr">
        <is>
          <t>샘플종목07</t>
        </is>
      </c>
      <c r="B721" s="3" t="n">
        <v>45968</v>
      </c>
      <c r="C721" t="n">
        <v>58166</v>
      </c>
      <c r="D721" t="n">
        <v>2479219</v>
      </c>
      <c r="E721">
        <f>IF(A721="","",COUNTIFS($A$2:$A$20000,A721,$B$2:$B$20000,"&gt;"&amp;B721)+1)</f>
        <v/>
      </c>
    </row>
    <row r="722">
      <c r="A722" t="inlineStr">
        <is>
          <t>샘플종목07</t>
        </is>
      </c>
      <c r="B722" s="3" t="n">
        <v>45975</v>
      </c>
      <c r="C722" t="n">
        <v>58109</v>
      </c>
      <c r="D722" t="n">
        <v>192570</v>
      </c>
      <c r="E722">
        <f>IF(A722="","",COUNTIFS($A$2:$A$20000,A722,$B$2:$B$20000,"&gt;"&amp;B722)+1)</f>
        <v/>
      </c>
    </row>
    <row r="723">
      <c r="A723" t="inlineStr">
        <is>
          <t>샘플종목07</t>
        </is>
      </c>
      <c r="B723" s="3" t="n">
        <v>45982</v>
      </c>
      <c r="C723" t="n">
        <v>62027</v>
      </c>
      <c r="D723" t="n">
        <v>4164855</v>
      </c>
      <c r="E723">
        <f>IF(A723="","",COUNTIFS($A$2:$A$20000,A723,$B$2:$B$20000,"&gt;"&amp;B723)+1)</f>
        <v/>
      </c>
    </row>
    <row r="724">
      <c r="A724" t="inlineStr">
        <is>
          <t>샘플종목07</t>
        </is>
      </c>
      <c r="B724" s="3" t="n">
        <v>45989</v>
      </c>
      <c r="C724" t="n">
        <v>64355</v>
      </c>
      <c r="D724" t="n">
        <v>9729753</v>
      </c>
      <c r="E724">
        <f>IF(A724="","",COUNTIFS($A$2:$A$20000,A724,$B$2:$B$20000,"&gt;"&amp;B724)+1)</f>
        <v/>
      </c>
    </row>
    <row r="725">
      <c r="A725" t="inlineStr">
        <is>
          <t>샘플종목07</t>
        </is>
      </c>
      <c r="B725" s="3" t="n">
        <v>45996</v>
      </c>
      <c r="C725" t="n">
        <v>62992</v>
      </c>
      <c r="D725" t="n">
        <v>9955386</v>
      </c>
      <c r="E725">
        <f>IF(A725="","",COUNTIFS($A$2:$A$20000,A725,$B$2:$B$20000,"&gt;"&amp;B725)+1)</f>
        <v/>
      </c>
    </row>
    <row r="726">
      <c r="A726" t="inlineStr">
        <is>
          <t>샘플종목07</t>
        </is>
      </c>
      <c r="B726" s="3" t="n">
        <v>46003</v>
      </c>
      <c r="C726" t="n">
        <v>63103</v>
      </c>
      <c r="D726" t="n">
        <v>3934677</v>
      </c>
      <c r="E726">
        <f>IF(A726="","",COUNTIFS($A$2:$A$20000,A726,$B$2:$B$20000,"&gt;"&amp;B726)+1)</f>
        <v/>
      </c>
    </row>
    <row r="727">
      <c r="A727" t="inlineStr">
        <is>
          <t>샘플종목07</t>
        </is>
      </c>
      <c r="B727" s="3" t="n">
        <v>46010</v>
      </c>
      <c r="C727" t="n">
        <v>60590</v>
      </c>
      <c r="D727" t="n">
        <v>9893890</v>
      </c>
      <c r="E727">
        <f>IF(A727="","",COUNTIFS($A$2:$A$20000,A727,$B$2:$B$20000,"&gt;"&amp;B727)+1)</f>
        <v/>
      </c>
    </row>
    <row r="728">
      <c r="A728" t="inlineStr">
        <is>
          <t>샘플종목07</t>
        </is>
      </c>
      <c r="B728" s="3" t="n">
        <v>46017</v>
      </c>
      <c r="C728" t="n">
        <v>62906</v>
      </c>
      <c r="D728" t="n">
        <v>2183990</v>
      </c>
      <c r="E728">
        <f>IF(A728="","",COUNTIFS($A$2:$A$20000,A728,$B$2:$B$20000,"&gt;"&amp;B728)+1)</f>
        <v/>
      </c>
    </row>
    <row r="729">
      <c r="A729" t="inlineStr">
        <is>
          <t>샘플종목07</t>
        </is>
      </c>
      <c r="B729" s="3" t="n">
        <v>46024</v>
      </c>
      <c r="C729" t="n">
        <v>59995</v>
      </c>
      <c r="D729" t="n">
        <v>7715223</v>
      </c>
      <c r="E729">
        <f>IF(A729="","",COUNTIFS($A$2:$A$20000,A729,$B$2:$B$20000,"&gt;"&amp;B729)+1)</f>
        <v/>
      </c>
    </row>
    <row r="730">
      <c r="A730" t="inlineStr">
        <is>
          <t>샘플종목07</t>
        </is>
      </c>
      <c r="B730" s="3" t="n">
        <v>46031</v>
      </c>
      <c r="C730" t="n">
        <v>58418</v>
      </c>
      <c r="D730" t="n">
        <v>1741932</v>
      </c>
      <c r="E730">
        <f>IF(A730="","",COUNTIFS($A$2:$A$20000,A730,$B$2:$B$20000,"&gt;"&amp;B730)+1)</f>
        <v/>
      </c>
    </row>
    <row r="731">
      <c r="A731" t="inlineStr">
        <is>
          <t>샘플종목07</t>
        </is>
      </c>
      <c r="B731" s="3" t="n">
        <v>46038</v>
      </c>
      <c r="C731" t="n">
        <v>59280</v>
      </c>
      <c r="D731" t="n">
        <v>7139391</v>
      </c>
      <c r="E731">
        <f>IF(A731="","",COUNTIFS($A$2:$A$20000,A731,$B$2:$B$20000,"&gt;"&amp;B731)+1)</f>
        <v/>
      </c>
    </row>
    <row r="732">
      <c r="A732" t="inlineStr">
        <is>
          <t>샘플종목07</t>
        </is>
      </c>
      <c r="B732" s="3" t="n">
        <v>46045</v>
      </c>
      <c r="C732" t="n">
        <v>59513</v>
      </c>
      <c r="D732" t="n">
        <v>2724936</v>
      </c>
      <c r="E732">
        <f>IF(A732="","",COUNTIFS($A$2:$A$20000,A732,$B$2:$B$20000,"&gt;"&amp;B732)+1)</f>
        <v/>
      </c>
    </row>
    <row r="733">
      <c r="A733" t="inlineStr">
        <is>
          <t>샘플종목07</t>
        </is>
      </c>
      <c r="B733" s="3" t="n">
        <v>46052</v>
      </c>
      <c r="C733" t="n">
        <v>62036</v>
      </c>
      <c r="D733" t="n">
        <v>4295327</v>
      </c>
      <c r="E733">
        <f>IF(A733="","",COUNTIFS($A$2:$A$20000,A733,$B$2:$B$20000,"&gt;"&amp;B733)+1)</f>
        <v/>
      </c>
    </row>
    <row r="734">
      <c r="A734" t="inlineStr">
        <is>
          <t>샘플종목07</t>
        </is>
      </c>
      <c r="B734" s="3" t="n">
        <v>46059</v>
      </c>
      <c r="C734" t="n">
        <v>63827</v>
      </c>
      <c r="D734" t="n">
        <v>429794</v>
      </c>
      <c r="E734">
        <f>IF(A734="","",COUNTIFS($A$2:$A$20000,A734,$B$2:$B$20000,"&gt;"&amp;B734)+1)</f>
        <v/>
      </c>
    </row>
    <row r="735">
      <c r="A735" t="inlineStr">
        <is>
          <t>샘플종목07</t>
        </is>
      </c>
      <c r="B735" s="3" t="n">
        <v>46066</v>
      </c>
      <c r="C735" t="n">
        <v>61577</v>
      </c>
      <c r="D735" t="n">
        <v>6967663</v>
      </c>
      <c r="E735">
        <f>IF(A735="","",COUNTIFS($A$2:$A$20000,A735,$B$2:$B$20000,"&gt;"&amp;B735)+1)</f>
        <v/>
      </c>
    </row>
    <row r="736">
      <c r="A736" t="inlineStr">
        <is>
          <t>샘플종목07</t>
        </is>
      </c>
      <c r="B736" s="3" t="n">
        <v>46073</v>
      </c>
      <c r="C736" t="n">
        <v>58101</v>
      </c>
      <c r="D736" t="n">
        <v>3171271</v>
      </c>
      <c r="E736">
        <f>IF(A736="","",COUNTIFS($A$2:$A$20000,A736,$B$2:$B$20000,"&gt;"&amp;B736)+1)</f>
        <v/>
      </c>
    </row>
    <row r="737">
      <c r="A737" t="inlineStr">
        <is>
          <t>샘플종목07</t>
        </is>
      </c>
      <c r="B737" s="3" t="n">
        <v>46080</v>
      </c>
      <c r="C737" t="n">
        <v>57826</v>
      </c>
      <c r="D737" t="n">
        <v>5603825</v>
      </c>
      <c r="E737">
        <f>IF(A737="","",COUNTIFS($A$2:$A$20000,A737,$B$2:$B$20000,"&gt;"&amp;B737)+1)</f>
        <v/>
      </c>
    </row>
    <row r="738">
      <c r="A738" t="inlineStr">
        <is>
          <t>샘플종목07</t>
        </is>
      </c>
      <c r="B738" s="3" t="n">
        <v>46087</v>
      </c>
      <c r="C738" t="n">
        <v>58345</v>
      </c>
      <c r="D738" t="n">
        <v>8318154</v>
      </c>
      <c r="E738">
        <f>IF(A738="","",COUNTIFS($A$2:$A$20000,A738,$B$2:$B$20000,"&gt;"&amp;B738)+1)</f>
        <v/>
      </c>
    </row>
    <row r="739">
      <c r="A739" t="inlineStr">
        <is>
          <t>샘플종목07</t>
        </is>
      </c>
      <c r="B739" s="3" t="n">
        <v>46094</v>
      </c>
      <c r="C739" t="n">
        <v>56183</v>
      </c>
      <c r="D739" t="n">
        <v>1884760</v>
      </c>
      <c r="E739">
        <f>IF(A739="","",COUNTIFS($A$2:$A$20000,A739,$B$2:$B$20000,"&gt;"&amp;B739)+1)</f>
        <v/>
      </c>
    </row>
    <row r="740">
      <c r="A740" t="inlineStr">
        <is>
          <t>샘플종목07</t>
        </is>
      </c>
      <c r="B740" s="3" t="n">
        <v>46101</v>
      </c>
      <c r="C740" t="n">
        <v>59029</v>
      </c>
      <c r="D740" t="n">
        <v>2798491</v>
      </c>
      <c r="E740">
        <f>IF(A740="","",COUNTIFS($A$2:$A$20000,A740,$B$2:$B$20000,"&gt;"&amp;B740)+1)</f>
        <v/>
      </c>
    </row>
    <row r="741">
      <c r="A741" t="inlineStr">
        <is>
          <t>샘플종목07</t>
        </is>
      </c>
      <c r="B741" s="3" t="n">
        <v>46108</v>
      </c>
      <c r="C741" t="n">
        <v>59849</v>
      </c>
      <c r="D741" t="n">
        <v>3452281</v>
      </c>
      <c r="E741">
        <f>IF(A741="","",COUNTIFS($A$2:$A$20000,A741,$B$2:$B$20000,"&gt;"&amp;B741)+1)</f>
        <v/>
      </c>
    </row>
    <row r="742">
      <c r="A742" t="inlineStr">
        <is>
          <t>샘플종목07</t>
        </is>
      </c>
      <c r="B742" s="3" t="n">
        <v>46115</v>
      </c>
      <c r="C742" t="n">
        <v>58871</v>
      </c>
      <c r="D742" t="n">
        <v>9739525</v>
      </c>
      <c r="E742">
        <f>IF(A742="","",COUNTIFS($A$2:$A$20000,A742,$B$2:$B$20000,"&gt;"&amp;B742)+1)</f>
        <v/>
      </c>
    </row>
    <row r="743">
      <c r="A743" t="inlineStr">
        <is>
          <t>샘플종목07</t>
        </is>
      </c>
      <c r="B743" s="3" t="n">
        <v>46122</v>
      </c>
      <c r="C743" t="n">
        <v>58858</v>
      </c>
      <c r="D743" t="n">
        <v>7763575</v>
      </c>
      <c r="E743">
        <f>IF(A743="","",COUNTIFS($A$2:$A$20000,A743,$B$2:$B$20000,"&gt;"&amp;B743)+1)</f>
        <v/>
      </c>
    </row>
    <row r="744">
      <c r="A744" t="inlineStr">
        <is>
          <t>샘플종목07</t>
        </is>
      </c>
      <c r="B744" s="3" t="n">
        <v>46129</v>
      </c>
      <c r="C744" t="n">
        <v>55357</v>
      </c>
      <c r="D744" t="n">
        <v>8693141</v>
      </c>
      <c r="E744">
        <f>IF(A744="","",COUNTIFS($A$2:$A$20000,A744,$B$2:$B$20000,"&gt;"&amp;B744)+1)</f>
        <v/>
      </c>
    </row>
    <row r="745">
      <c r="A745" t="inlineStr">
        <is>
          <t>샘플종목07</t>
        </is>
      </c>
      <c r="B745" s="3" t="n">
        <v>46136</v>
      </c>
      <c r="C745" t="n">
        <v>54570</v>
      </c>
      <c r="D745" t="n">
        <v>370221</v>
      </c>
      <c r="E745">
        <f>IF(A745="","",COUNTIFS($A$2:$A$20000,A745,$B$2:$B$20000,"&gt;"&amp;B745)+1)</f>
        <v/>
      </c>
    </row>
    <row r="746">
      <c r="A746" t="inlineStr">
        <is>
          <t>샘플종목07</t>
        </is>
      </c>
      <c r="B746" s="3" t="n">
        <v>46143</v>
      </c>
      <c r="C746" t="n">
        <v>52050</v>
      </c>
      <c r="D746" t="n">
        <v>8852476</v>
      </c>
      <c r="E746">
        <f>IF(A746="","",COUNTIFS($A$2:$A$20000,A746,$B$2:$B$20000,"&gt;"&amp;B746)+1)</f>
        <v/>
      </c>
    </row>
    <row r="747">
      <c r="A747" t="inlineStr">
        <is>
          <t>샘플종목07</t>
        </is>
      </c>
      <c r="B747" s="3" t="n">
        <v>46150</v>
      </c>
      <c r="C747" t="n">
        <v>49151</v>
      </c>
      <c r="D747" t="n">
        <v>5852099</v>
      </c>
      <c r="E747">
        <f>IF(A747="","",COUNTIFS($A$2:$A$20000,A747,$B$2:$B$20000,"&gt;"&amp;B747)+1)</f>
        <v/>
      </c>
    </row>
    <row r="748">
      <c r="A748" t="inlineStr">
        <is>
          <t>샘플종목07</t>
        </is>
      </c>
      <c r="B748" s="3" t="n">
        <v>46157</v>
      </c>
      <c r="C748" t="n">
        <v>45207</v>
      </c>
      <c r="D748" t="n">
        <v>3624715</v>
      </c>
      <c r="E748">
        <f>IF(A748="","",COUNTIFS($A$2:$A$20000,A748,$B$2:$B$20000,"&gt;"&amp;B748)+1)</f>
        <v/>
      </c>
    </row>
    <row r="749">
      <c r="A749" t="inlineStr">
        <is>
          <t>샘플종목07</t>
        </is>
      </c>
      <c r="B749" s="3" t="n">
        <v>46164</v>
      </c>
      <c r="C749" t="n">
        <v>47645</v>
      </c>
      <c r="D749" t="n">
        <v>3183696</v>
      </c>
      <c r="E749">
        <f>IF(A749="","",COUNTIFS($A$2:$A$20000,A749,$B$2:$B$20000,"&gt;"&amp;B749)+1)</f>
        <v/>
      </c>
    </row>
    <row r="750">
      <c r="A750" t="inlineStr">
        <is>
          <t>샘플종목07</t>
        </is>
      </c>
      <c r="B750" s="3" t="n">
        <v>46171</v>
      </c>
      <c r="C750" t="n">
        <v>45218</v>
      </c>
      <c r="D750" t="n">
        <v>2153441</v>
      </c>
      <c r="E750">
        <f>IF(A750="","",COUNTIFS($A$2:$A$20000,A750,$B$2:$B$20000,"&gt;"&amp;B750)+1)</f>
        <v/>
      </c>
    </row>
    <row r="751">
      <c r="A751" t="inlineStr">
        <is>
          <t>샘플종목07</t>
        </is>
      </c>
      <c r="B751" s="3" t="n">
        <v>46178</v>
      </c>
      <c r="C751" t="n">
        <v>47227</v>
      </c>
      <c r="D751" t="n">
        <v>6063847</v>
      </c>
      <c r="E751">
        <f>IF(A751="","",COUNTIFS($A$2:$A$20000,A751,$B$2:$B$20000,"&gt;"&amp;B751)+1)</f>
        <v/>
      </c>
    </row>
    <row r="752">
      <c r="A752" t="inlineStr">
        <is>
          <t>샘플종목07</t>
        </is>
      </c>
      <c r="B752" s="3" t="n">
        <v>46185</v>
      </c>
      <c r="C752" t="n">
        <v>46386</v>
      </c>
      <c r="D752" t="n">
        <v>6506156</v>
      </c>
      <c r="E752">
        <f>IF(A752="","",COUNTIFS($A$2:$A$20000,A752,$B$2:$B$20000,"&gt;"&amp;B752)+1)</f>
        <v/>
      </c>
    </row>
    <row r="753">
      <c r="A753" t="inlineStr">
        <is>
          <t>샘플종목07</t>
        </is>
      </c>
      <c r="B753" s="3" t="n">
        <v>46192</v>
      </c>
      <c r="C753" t="n">
        <v>45402</v>
      </c>
      <c r="D753" t="n">
        <v>6805587</v>
      </c>
      <c r="E753">
        <f>IF(A753="","",COUNTIFS($A$2:$A$20000,A753,$B$2:$B$20000,"&gt;"&amp;B753)+1)</f>
        <v/>
      </c>
    </row>
    <row r="754">
      <c r="A754" t="inlineStr">
        <is>
          <t>샘플종목07</t>
        </is>
      </c>
      <c r="B754" s="3" t="n">
        <v>46199</v>
      </c>
      <c r="C754" t="n">
        <v>46158</v>
      </c>
      <c r="D754" t="n">
        <v>7155608</v>
      </c>
      <c r="E754">
        <f>IF(A754="","",COUNTIFS($A$2:$A$20000,A754,$B$2:$B$20000,"&gt;"&amp;B754)+1)</f>
        <v/>
      </c>
    </row>
    <row r="755">
      <c r="A755" t="inlineStr">
        <is>
          <t>샘플종목07</t>
        </is>
      </c>
      <c r="B755" s="3" t="n">
        <v>46206</v>
      </c>
      <c r="C755" t="n">
        <v>46525</v>
      </c>
      <c r="D755" t="n">
        <v>6007677</v>
      </c>
      <c r="E755">
        <f>IF(A755="","",COUNTIFS($A$2:$A$20000,A755,$B$2:$B$20000,"&gt;"&amp;B755)+1)</f>
        <v/>
      </c>
    </row>
    <row r="756">
      <c r="A756" t="inlineStr">
        <is>
          <t>샘플종목07</t>
        </is>
      </c>
      <c r="B756" s="3" t="n">
        <v>46213</v>
      </c>
      <c r="C756" t="n">
        <v>45834</v>
      </c>
      <c r="D756" t="n">
        <v>5191807</v>
      </c>
      <c r="E756">
        <f>IF(A756="","",COUNTIFS($A$2:$A$20000,A756,$B$2:$B$20000,"&gt;"&amp;B756)+1)</f>
        <v/>
      </c>
    </row>
    <row r="757">
      <c r="A757" t="inlineStr">
        <is>
          <t>샘플종목07</t>
        </is>
      </c>
      <c r="B757" s="3" t="n">
        <v>46220</v>
      </c>
      <c r="C757" t="n">
        <v>45500</v>
      </c>
      <c r="D757" t="n">
        <v>6818900</v>
      </c>
      <c r="E757">
        <f>IF(A757="","",COUNTIFS($A$2:$A$20000,A757,$B$2:$B$20000,"&gt;"&amp;B757)+1)</f>
        <v/>
      </c>
    </row>
    <row r="758">
      <c r="A758" t="inlineStr">
        <is>
          <t>샘플종목07</t>
        </is>
      </c>
      <c r="B758" s="3" t="n">
        <v>46227</v>
      </c>
      <c r="C758" t="n">
        <v>47662</v>
      </c>
      <c r="D758" t="n">
        <v>3772753</v>
      </c>
      <c r="E758">
        <f>IF(A758="","",COUNTIFS($A$2:$A$20000,A758,$B$2:$B$20000,"&gt;"&amp;B758)+1)</f>
        <v/>
      </c>
    </row>
    <row r="759">
      <c r="A759" t="inlineStr">
        <is>
          <t>샘플종목07</t>
        </is>
      </c>
      <c r="B759" s="3" t="n">
        <v>46234</v>
      </c>
      <c r="C759" t="n">
        <v>46897</v>
      </c>
      <c r="D759" t="n">
        <v>6676043</v>
      </c>
      <c r="E759">
        <f>IF(A759="","",COUNTIFS($A$2:$A$20000,A759,$B$2:$B$20000,"&gt;"&amp;B759)+1)</f>
        <v/>
      </c>
    </row>
    <row r="760">
      <c r="A760" t="inlineStr">
        <is>
          <t>샘플종목07</t>
        </is>
      </c>
      <c r="B760" s="3" t="n">
        <v>46241</v>
      </c>
      <c r="C760" t="n">
        <v>45898</v>
      </c>
      <c r="D760" t="n">
        <v>1255865</v>
      </c>
      <c r="E760">
        <f>IF(A760="","",COUNTIFS($A$2:$A$20000,A760,$B$2:$B$20000,"&gt;"&amp;B760)+1)</f>
        <v/>
      </c>
    </row>
    <row r="761">
      <c r="A761" t="inlineStr">
        <is>
          <t>샘플종목07</t>
        </is>
      </c>
      <c r="B761" s="3" t="n">
        <v>46248</v>
      </c>
      <c r="C761" t="n">
        <v>46249</v>
      </c>
      <c r="D761" t="n">
        <v>3340888</v>
      </c>
      <c r="E761">
        <f>IF(A761="","",COUNTIFS($A$2:$A$20000,A761,$B$2:$B$20000,"&gt;"&amp;B761)+1)</f>
        <v/>
      </c>
    </row>
    <row r="762">
      <c r="A762" t="inlineStr">
        <is>
          <t>샘플종목07</t>
        </is>
      </c>
      <c r="B762" s="3" t="n">
        <v>46255</v>
      </c>
      <c r="C762" t="n">
        <v>44009</v>
      </c>
      <c r="D762" t="n">
        <v>3891429</v>
      </c>
      <c r="E762">
        <f>IF(A762="","",COUNTIFS($A$2:$A$20000,A762,$B$2:$B$20000,"&gt;"&amp;B762)+1)</f>
        <v/>
      </c>
    </row>
    <row r="763">
      <c r="A763" t="inlineStr">
        <is>
          <t>샘플종목07</t>
        </is>
      </c>
      <c r="B763" s="3" t="n">
        <v>46262</v>
      </c>
      <c r="C763" t="n">
        <v>44533</v>
      </c>
      <c r="D763" t="n">
        <v>2553893</v>
      </c>
      <c r="E763">
        <f>IF(A763="","",COUNTIFS($A$2:$A$20000,A763,$B$2:$B$20000,"&gt;"&amp;B763)+1)</f>
        <v/>
      </c>
    </row>
    <row r="764">
      <c r="A764" t="inlineStr">
        <is>
          <t>샘플종목07</t>
        </is>
      </c>
      <c r="B764" s="3" t="n">
        <v>46269</v>
      </c>
      <c r="C764" t="n">
        <v>43087</v>
      </c>
      <c r="D764" t="n">
        <v>7033796</v>
      </c>
      <c r="E764">
        <f>IF(A764="","",COUNTIFS($A$2:$A$20000,A764,$B$2:$B$20000,"&gt;"&amp;B764)+1)</f>
        <v/>
      </c>
    </row>
    <row r="765">
      <c r="A765" t="inlineStr">
        <is>
          <t>샘플종목07</t>
        </is>
      </c>
      <c r="B765" s="3" t="n">
        <v>46276</v>
      </c>
      <c r="C765" t="n">
        <v>45134</v>
      </c>
      <c r="D765" t="n">
        <v>7953429</v>
      </c>
      <c r="E765">
        <f>IF(A765="","",COUNTIFS($A$2:$A$20000,A765,$B$2:$B$20000,"&gt;"&amp;B765)+1)</f>
        <v/>
      </c>
    </row>
    <row r="766">
      <c r="A766" t="inlineStr">
        <is>
          <t>샘플종목07</t>
        </is>
      </c>
      <c r="B766" s="3" t="n">
        <v>46283</v>
      </c>
      <c r="C766" t="n">
        <v>48273</v>
      </c>
      <c r="D766" t="n">
        <v>2199938</v>
      </c>
      <c r="E766">
        <f>IF(A766="","",COUNTIFS($A$2:$A$20000,A766,$B$2:$B$20000,"&gt;"&amp;B766)+1)</f>
        <v/>
      </c>
    </row>
    <row r="767">
      <c r="A767" t="inlineStr">
        <is>
          <t>샘플종목07</t>
        </is>
      </c>
      <c r="B767" s="3" t="n">
        <v>46290</v>
      </c>
      <c r="C767" t="n">
        <v>48291</v>
      </c>
      <c r="D767" t="n">
        <v>7975252</v>
      </c>
      <c r="E767">
        <f>IF(A767="","",COUNTIFS($A$2:$A$20000,A767,$B$2:$B$20000,"&gt;"&amp;B767)+1)</f>
        <v/>
      </c>
    </row>
    <row r="768">
      <c r="A768" t="inlineStr">
        <is>
          <t>샘플종목07</t>
        </is>
      </c>
      <c r="B768" s="3" t="n">
        <v>46297</v>
      </c>
      <c r="C768" t="n">
        <v>46083</v>
      </c>
      <c r="D768" t="n">
        <v>4586638</v>
      </c>
      <c r="E768">
        <f>IF(A768="","",COUNTIFS($A$2:$A$20000,A768,$B$2:$B$20000,"&gt;"&amp;B768)+1)</f>
        <v/>
      </c>
    </row>
    <row r="769">
      <c r="A769" t="inlineStr">
        <is>
          <t>샘플종목07</t>
        </is>
      </c>
      <c r="B769" s="3" t="n">
        <v>46304</v>
      </c>
      <c r="C769" t="n">
        <v>49019</v>
      </c>
      <c r="D769" t="n">
        <v>6410724</v>
      </c>
      <c r="E769">
        <f>IF(A769="","",COUNTIFS($A$2:$A$20000,A769,$B$2:$B$20000,"&gt;"&amp;B769)+1)</f>
        <v/>
      </c>
    </row>
    <row r="770">
      <c r="A770" t="inlineStr">
        <is>
          <t>샘플종목07</t>
        </is>
      </c>
      <c r="B770" s="3" t="n">
        <v>46311</v>
      </c>
      <c r="C770" t="n">
        <v>46976</v>
      </c>
      <c r="D770" t="n">
        <v>3218712</v>
      </c>
      <c r="E770">
        <f>IF(A770="","",COUNTIFS($A$2:$A$20000,A770,$B$2:$B$20000,"&gt;"&amp;B770)+1)</f>
        <v/>
      </c>
    </row>
    <row r="771">
      <c r="A771" t="inlineStr">
        <is>
          <t>샘플종목07</t>
        </is>
      </c>
      <c r="B771" s="3" t="n">
        <v>46318</v>
      </c>
      <c r="C771" t="n">
        <v>42118</v>
      </c>
      <c r="D771" t="n">
        <v>8179386</v>
      </c>
      <c r="E771">
        <f>IF(A771="","",COUNTIFS($A$2:$A$20000,A771,$B$2:$B$20000,"&gt;"&amp;B771)+1)</f>
        <v/>
      </c>
    </row>
    <row r="772">
      <c r="A772" t="inlineStr">
        <is>
          <t>샘플종목08</t>
        </is>
      </c>
      <c r="B772" s="3" t="n">
        <v>45555</v>
      </c>
      <c r="C772" t="n">
        <v>5505</v>
      </c>
      <c r="D772" t="n">
        <v>4209868</v>
      </c>
      <c r="E772">
        <f>IF(A772="","",COUNTIFS($A$2:$A$20000,A772,$B$2:$B$20000,"&gt;"&amp;B772)+1)</f>
        <v/>
      </c>
    </row>
    <row r="773">
      <c r="A773" t="inlineStr">
        <is>
          <t>샘플종목08</t>
        </is>
      </c>
      <c r="B773" s="3" t="n">
        <v>45562</v>
      </c>
      <c r="C773" t="n">
        <v>5340</v>
      </c>
      <c r="D773" t="n">
        <v>5163703</v>
      </c>
      <c r="E773">
        <f>IF(A773="","",COUNTIFS($A$2:$A$20000,A773,$B$2:$B$20000,"&gt;"&amp;B773)+1)</f>
        <v/>
      </c>
    </row>
    <row r="774">
      <c r="A774" t="inlineStr">
        <is>
          <t>샘플종목08</t>
        </is>
      </c>
      <c r="B774" s="3" t="n">
        <v>45569</v>
      </c>
      <c r="C774" t="n">
        <v>5245</v>
      </c>
      <c r="D774" t="n">
        <v>1533135</v>
      </c>
      <c r="E774">
        <f>IF(A774="","",COUNTIFS($A$2:$A$20000,A774,$B$2:$B$20000,"&gt;"&amp;B774)+1)</f>
        <v/>
      </c>
    </row>
    <row r="775">
      <c r="A775" t="inlineStr">
        <is>
          <t>샘플종목08</t>
        </is>
      </c>
      <c r="B775" s="3" t="n">
        <v>45576</v>
      </c>
      <c r="C775" t="n">
        <v>5474</v>
      </c>
      <c r="D775" t="n">
        <v>6180593</v>
      </c>
      <c r="E775">
        <f>IF(A775="","",COUNTIFS($A$2:$A$20000,A775,$B$2:$B$20000,"&gt;"&amp;B775)+1)</f>
        <v/>
      </c>
    </row>
    <row r="776">
      <c r="A776" t="inlineStr">
        <is>
          <t>샘플종목08</t>
        </is>
      </c>
      <c r="B776" s="3" t="n">
        <v>45583</v>
      </c>
      <c r="C776" t="n">
        <v>5592</v>
      </c>
      <c r="D776" t="n">
        <v>6561085</v>
      </c>
      <c r="E776">
        <f>IF(A776="","",COUNTIFS($A$2:$A$20000,A776,$B$2:$B$20000,"&gt;"&amp;B776)+1)</f>
        <v/>
      </c>
    </row>
    <row r="777">
      <c r="A777" t="inlineStr">
        <is>
          <t>샘플종목08</t>
        </is>
      </c>
      <c r="B777" s="3" t="n">
        <v>45590</v>
      </c>
      <c r="C777" t="n">
        <v>5759</v>
      </c>
      <c r="D777" t="n">
        <v>1057356</v>
      </c>
      <c r="E777">
        <f>IF(A777="","",COUNTIFS($A$2:$A$20000,A777,$B$2:$B$20000,"&gt;"&amp;B777)+1)</f>
        <v/>
      </c>
    </row>
    <row r="778">
      <c r="A778" t="inlineStr">
        <is>
          <t>샘플종목08</t>
        </is>
      </c>
      <c r="B778" s="3" t="n">
        <v>45597</v>
      </c>
      <c r="C778" t="n">
        <v>6026</v>
      </c>
      <c r="D778" t="n">
        <v>5547576</v>
      </c>
      <c r="E778">
        <f>IF(A778="","",COUNTIFS($A$2:$A$20000,A778,$B$2:$B$20000,"&gt;"&amp;B778)+1)</f>
        <v/>
      </c>
    </row>
    <row r="779">
      <c r="A779" t="inlineStr">
        <is>
          <t>샘플종목08</t>
        </is>
      </c>
      <c r="B779" s="3" t="n">
        <v>45604</v>
      </c>
      <c r="C779" t="n">
        <v>6197</v>
      </c>
      <c r="D779" t="n">
        <v>2455549</v>
      </c>
      <c r="E779">
        <f>IF(A779="","",COUNTIFS($A$2:$A$20000,A779,$B$2:$B$20000,"&gt;"&amp;B779)+1)</f>
        <v/>
      </c>
    </row>
    <row r="780">
      <c r="A780" t="inlineStr">
        <is>
          <t>샘플종목08</t>
        </is>
      </c>
      <c r="B780" s="3" t="n">
        <v>45611</v>
      </c>
      <c r="C780" t="n">
        <v>5985</v>
      </c>
      <c r="D780" t="n">
        <v>9871979</v>
      </c>
      <c r="E780">
        <f>IF(A780="","",COUNTIFS($A$2:$A$20000,A780,$B$2:$B$20000,"&gt;"&amp;B780)+1)</f>
        <v/>
      </c>
    </row>
    <row r="781">
      <c r="A781" t="inlineStr">
        <is>
          <t>샘플종목08</t>
        </is>
      </c>
      <c r="B781" s="3" t="n">
        <v>45618</v>
      </c>
      <c r="C781" t="n">
        <v>5955</v>
      </c>
      <c r="D781" t="n">
        <v>351420</v>
      </c>
      <c r="E781">
        <f>IF(A781="","",COUNTIFS($A$2:$A$20000,A781,$B$2:$B$20000,"&gt;"&amp;B781)+1)</f>
        <v/>
      </c>
    </row>
    <row r="782">
      <c r="A782" t="inlineStr">
        <is>
          <t>샘플종목08</t>
        </is>
      </c>
      <c r="B782" s="3" t="n">
        <v>45625</v>
      </c>
      <c r="C782" t="n">
        <v>5877</v>
      </c>
      <c r="D782" t="n">
        <v>1307952</v>
      </c>
      <c r="E782">
        <f>IF(A782="","",COUNTIFS($A$2:$A$20000,A782,$B$2:$B$20000,"&gt;"&amp;B782)+1)</f>
        <v/>
      </c>
    </row>
    <row r="783">
      <c r="A783" t="inlineStr">
        <is>
          <t>샘플종목08</t>
        </is>
      </c>
      <c r="B783" s="3" t="n">
        <v>45632</v>
      </c>
      <c r="C783" t="n">
        <v>5754</v>
      </c>
      <c r="D783" t="n">
        <v>5015596</v>
      </c>
      <c r="E783">
        <f>IF(A783="","",COUNTIFS($A$2:$A$20000,A783,$B$2:$B$20000,"&gt;"&amp;B783)+1)</f>
        <v/>
      </c>
    </row>
    <row r="784">
      <c r="A784" t="inlineStr">
        <is>
          <t>샘플종목08</t>
        </is>
      </c>
      <c r="B784" s="3" t="n">
        <v>45639</v>
      </c>
      <c r="C784" t="n">
        <v>5765</v>
      </c>
      <c r="D784" t="n">
        <v>2494654</v>
      </c>
      <c r="E784">
        <f>IF(A784="","",COUNTIFS($A$2:$A$20000,A784,$B$2:$B$20000,"&gt;"&amp;B784)+1)</f>
        <v/>
      </c>
    </row>
    <row r="785">
      <c r="A785" t="inlineStr">
        <is>
          <t>샘플종목08</t>
        </is>
      </c>
      <c r="B785" s="3" t="n">
        <v>45646</v>
      </c>
      <c r="C785" t="n">
        <v>5884</v>
      </c>
      <c r="D785" t="n">
        <v>4019852</v>
      </c>
      <c r="E785">
        <f>IF(A785="","",COUNTIFS($A$2:$A$20000,A785,$B$2:$B$20000,"&gt;"&amp;B785)+1)</f>
        <v/>
      </c>
    </row>
    <row r="786">
      <c r="A786" t="inlineStr">
        <is>
          <t>샘플종목08</t>
        </is>
      </c>
      <c r="B786" s="3" t="n">
        <v>45653</v>
      </c>
      <c r="C786" t="n">
        <v>5997</v>
      </c>
      <c r="D786" t="n">
        <v>2661409</v>
      </c>
      <c r="E786">
        <f>IF(A786="","",COUNTIFS($A$2:$A$20000,A786,$B$2:$B$20000,"&gt;"&amp;B786)+1)</f>
        <v/>
      </c>
    </row>
    <row r="787">
      <c r="A787" t="inlineStr">
        <is>
          <t>샘플종목08</t>
        </is>
      </c>
      <c r="B787" s="3" t="n">
        <v>45660</v>
      </c>
      <c r="C787" t="n">
        <v>6251</v>
      </c>
      <c r="D787" t="n">
        <v>3598735</v>
      </c>
      <c r="E787">
        <f>IF(A787="","",COUNTIFS($A$2:$A$20000,A787,$B$2:$B$20000,"&gt;"&amp;B787)+1)</f>
        <v/>
      </c>
    </row>
    <row r="788">
      <c r="A788" t="inlineStr">
        <is>
          <t>샘플종목08</t>
        </is>
      </c>
      <c r="B788" s="3" t="n">
        <v>45667</v>
      </c>
      <c r="C788" t="n">
        <v>6628</v>
      </c>
      <c r="D788" t="n">
        <v>2917108</v>
      </c>
      <c r="E788">
        <f>IF(A788="","",COUNTIFS($A$2:$A$20000,A788,$B$2:$B$20000,"&gt;"&amp;B788)+1)</f>
        <v/>
      </c>
    </row>
    <row r="789">
      <c r="A789" t="inlineStr">
        <is>
          <t>샘플종목08</t>
        </is>
      </c>
      <c r="B789" s="3" t="n">
        <v>45674</v>
      </c>
      <c r="C789" t="n">
        <v>6375</v>
      </c>
      <c r="D789" t="n">
        <v>1616757</v>
      </c>
      <c r="E789">
        <f>IF(A789="","",COUNTIFS($A$2:$A$20000,A789,$B$2:$B$20000,"&gt;"&amp;B789)+1)</f>
        <v/>
      </c>
    </row>
    <row r="790">
      <c r="A790" t="inlineStr">
        <is>
          <t>샘플종목08</t>
        </is>
      </c>
      <c r="B790" s="3" t="n">
        <v>45681</v>
      </c>
      <c r="C790" t="n">
        <v>6123</v>
      </c>
      <c r="D790" t="n">
        <v>5083567</v>
      </c>
      <c r="E790">
        <f>IF(A790="","",COUNTIFS($A$2:$A$20000,A790,$B$2:$B$20000,"&gt;"&amp;B790)+1)</f>
        <v/>
      </c>
    </row>
    <row r="791">
      <c r="A791" t="inlineStr">
        <is>
          <t>샘플종목08</t>
        </is>
      </c>
      <c r="B791" s="3" t="n">
        <v>45688</v>
      </c>
      <c r="C791" t="n">
        <v>5683</v>
      </c>
      <c r="D791" t="n">
        <v>3411327</v>
      </c>
      <c r="E791">
        <f>IF(A791="","",COUNTIFS($A$2:$A$20000,A791,$B$2:$B$20000,"&gt;"&amp;B791)+1)</f>
        <v/>
      </c>
    </row>
    <row r="792">
      <c r="A792" t="inlineStr">
        <is>
          <t>샘플종목08</t>
        </is>
      </c>
      <c r="B792" s="3" t="n">
        <v>45695</v>
      </c>
      <c r="C792" t="n">
        <v>5537</v>
      </c>
      <c r="D792" t="n">
        <v>1418941</v>
      </c>
      <c r="E792">
        <f>IF(A792="","",COUNTIFS($A$2:$A$20000,A792,$B$2:$B$20000,"&gt;"&amp;B792)+1)</f>
        <v/>
      </c>
    </row>
    <row r="793">
      <c r="A793" t="inlineStr">
        <is>
          <t>샘플종목08</t>
        </is>
      </c>
      <c r="B793" s="3" t="n">
        <v>45702</v>
      </c>
      <c r="C793" t="n">
        <v>5554</v>
      </c>
      <c r="D793" t="n">
        <v>7458254</v>
      </c>
      <c r="E793">
        <f>IF(A793="","",COUNTIFS($A$2:$A$20000,A793,$B$2:$B$20000,"&gt;"&amp;B793)+1)</f>
        <v/>
      </c>
    </row>
    <row r="794">
      <c r="A794" t="inlineStr">
        <is>
          <t>샘플종목08</t>
        </is>
      </c>
      <c r="B794" s="3" t="n">
        <v>45709</v>
      </c>
      <c r="C794" t="n">
        <v>5512</v>
      </c>
      <c r="D794" t="n">
        <v>2086801</v>
      </c>
      <c r="E794">
        <f>IF(A794="","",COUNTIFS($A$2:$A$20000,A794,$B$2:$B$20000,"&gt;"&amp;B794)+1)</f>
        <v/>
      </c>
    </row>
    <row r="795">
      <c r="A795" t="inlineStr">
        <is>
          <t>샘플종목08</t>
        </is>
      </c>
      <c r="B795" s="3" t="n">
        <v>45716</v>
      </c>
      <c r="C795" t="n">
        <v>5426</v>
      </c>
      <c r="D795" t="n">
        <v>4537478</v>
      </c>
      <c r="E795">
        <f>IF(A795="","",COUNTIFS($A$2:$A$20000,A795,$B$2:$B$20000,"&gt;"&amp;B795)+1)</f>
        <v/>
      </c>
    </row>
    <row r="796">
      <c r="A796" t="inlineStr">
        <is>
          <t>샘플종목08</t>
        </is>
      </c>
      <c r="B796" s="3" t="n">
        <v>45723</v>
      </c>
      <c r="C796" t="n">
        <v>5082</v>
      </c>
      <c r="D796" t="n">
        <v>8039679</v>
      </c>
      <c r="E796">
        <f>IF(A796="","",COUNTIFS($A$2:$A$20000,A796,$B$2:$B$20000,"&gt;"&amp;B796)+1)</f>
        <v/>
      </c>
    </row>
    <row r="797">
      <c r="A797" t="inlineStr">
        <is>
          <t>샘플종목08</t>
        </is>
      </c>
      <c r="B797" s="3" t="n">
        <v>45730</v>
      </c>
      <c r="C797" t="n">
        <v>5278</v>
      </c>
      <c r="D797" t="n">
        <v>8372454</v>
      </c>
      <c r="E797">
        <f>IF(A797="","",COUNTIFS($A$2:$A$20000,A797,$B$2:$B$20000,"&gt;"&amp;B797)+1)</f>
        <v/>
      </c>
    </row>
    <row r="798">
      <c r="A798" t="inlineStr">
        <is>
          <t>샘플종목08</t>
        </is>
      </c>
      <c r="B798" s="3" t="n">
        <v>45737</v>
      </c>
      <c r="C798" t="n">
        <v>5061</v>
      </c>
      <c r="D798" t="n">
        <v>2522979</v>
      </c>
      <c r="E798">
        <f>IF(A798="","",COUNTIFS($A$2:$A$20000,A798,$B$2:$B$20000,"&gt;"&amp;B798)+1)</f>
        <v/>
      </c>
    </row>
    <row r="799">
      <c r="A799" t="inlineStr">
        <is>
          <t>샘플종목08</t>
        </is>
      </c>
      <c r="B799" s="3" t="n">
        <v>45744</v>
      </c>
      <c r="C799" t="n">
        <v>4989</v>
      </c>
      <c r="D799" t="n">
        <v>8343858</v>
      </c>
      <c r="E799">
        <f>IF(A799="","",COUNTIFS($A$2:$A$20000,A799,$B$2:$B$20000,"&gt;"&amp;B799)+1)</f>
        <v/>
      </c>
    </row>
    <row r="800">
      <c r="A800" t="inlineStr">
        <is>
          <t>샘플종목08</t>
        </is>
      </c>
      <c r="B800" s="3" t="n">
        <v>45751</v>
      </c>
      <c r="C800" t="n">
        <v>5002</v>
      </c>
      <c r="D800" t="n">
        <v>210843</v>
      </c>
      <c r="E800">
        <f>IF(A800="","",COUNTIFS($A$2:$A$20000,A800,$B$2:$B$20000,"&gt;"&amp;B800)+1)</f>
        <v/>
      </c>
    </row>
    <row r="801">
      <c r="A801" t="inlineStr">
        <is>
          <t>샘플종목08</t>
        </is>
      </c>
      <c r="B801" s="3" t="n">
        <v>45758</v>
      </c>
      <c r="C801" t="n">
        <v>5132</v>
      </c>
      <c r="D801" t="n">
        <v>2790350</v>
      </c>
      <c r="E801">
        <f>IF(A801="","",COUNTIFS($A$2:$A$20000,A801,$B$2:$B$20000,"&gt;"&amp;B801)+1)</f>
        <v/>
      </c>
    </row>
    <row r="802">
      <c r="A802" t="inlineStr">
        <is>
          <t>샘플종목08</t>
        </is>
      </c>
      <c r="B802" s="3" t="n">
        <v>45765</v>
      </c>
      <c r="C802" t="n">
        <v>5266</v>
      </c>
      <c r="D802" t="n">
        <v>9538341</v>
      </c>
      <c r="E802">
        <f>IF(A802="","",COUNTIFS($A$2:$A$20000,A802,$B$2:$B$20000,"&gt;"&amp;B802)+1)</f>
        <v/>
      </c>
    </row>
    <row r="803">
      <c r="A803" t="inlineStr">
        <is>
          <t>샘플종목08</t>
        </is>
      </c>
      <c r="B803" s="3" t="n">
        <v>45772</v>
      </c>
      <c r="C803" t="n">
        <v>5078</v>
      </c>
      <c r="D803" t="n">
        <v>8448451</v>
      </c>
      <c r="E803">
        <f>IF(A803="","",COUNTIFS($A$2:$A$20000,A803,$B$2:$B$20000,"&gt;"&amp;B803)+1)</f>
        <v/>
      </c>
    </row>
    <row r="804">
      <c r="A804" t="inlineStr">
        <is>
          <t>샘플종목08</t>
        </is>
      </c>
      <c r="B804" s="3" t="n">
        <v>45779</v>
      </c>
      <c r="C804" t="n">
        <v>4890</v>
      </c>
      <c r="D804" t="n">
        <v>6390749</v>
      </c>
      <c r="E804">
        <f>IF(A804="","",COUNTIFS($A$2:$A$20000,A804,$B$2:$B$20000,"&gt;"&amp;B804)+1)</f>
        <v/>
      </c>
    </row>
    <row r="805">
      <c r="A805" t="inlineStr">
        <is>
          <t>샘플종목08</t>
        </is>
      </c>
      <c r="B805" s="3" t="n">
        <v>45786</v>
      </c>
      <c r="C805" t="n">
        <v>4577</v>
      </c>
      <c r="D805" t="n">
        <v>7243975</v>
      </c>
      <c r="E805">
        <f>IF(A805="","",COUNTIFS($A$2:$A$20000,A805,$B$2:$B$20000,"&gt;"&amp;B805)+1)</f>
        <v/>
      </c>
    </row>
    <row r="806">
      <c r="A806" t="inlineStr">
        <is>
          <t>샘플종목08</t>
        </is>
      </c>
      <c r="B806" s="3" t="n">
        <v>45793</v>
      </c>
      <c r="C806" t="n">
        <v>4180</v>
      </c>
      <c r="D806" t="n">
        <v>1364940</v>
      </c>
      <c r="E806">
        <f>IF(A806="","",COUNTIFS($A$2:$A$20000,A806,$B$2:$B$20000,"&gt;"&amp;B806)+1)</f>
        <v/>
      </c>
    </row>
    <row r="807">
      <c r="A807" t="inlineStr">
        <is>
          <t>샘플종목08</t>
        </is>
      </c>
      <c r="B807" s="3" t="n">
        <v>45800</v>
      </c>
      <c r="C807" t="n">
        <v>4396</v>
      </c>
      <c r="D807" t="n">
        <v>3128605</v>
      </c>
      <c r="E807">
        <f>IF(A807="","",COUNTIFS($A$2:$A$20000,A807,$B$2:$B$20000,"&gt;"&amp;B807)+1)</f>
        <v/>
      </c>
    </row>
    <row r="808">
      <c r="A808" t="inlineStr">
        <is>
          <t>샘플종목08</t>
        </is>
      </c>
      <c r="B808" s="3" t="n">
        <v>45807</v>
      </c>
      <c r="C808" t="n">
        <v>4242</v>
      </c>
      <c r="D808" t="n">
        <v>578645</v>
      </c>
      <c r="E808">
        <f>IF(A808="","",COUNTIFS($A$2:$A$20000,A808,$B$2:$B$20000,"&gt;"&amp;B808)+1)</f>
        <v/>
      </c>
    </row>
    <row r="809">
      <c r="A809" t="inlineStr">
        <is>
          <t>샘플종목08</t>
        </is>
      </c>
      <c r="B809" s="3" t="n">
        <v>45814</v>
      </c>
      <c r="C809" t="n">
        <v>4067</v>
      </c>
      <c r="D809" t="n">
        <v>444935</v>
      </c>
      <c r="E809">
        <f>IF(A809="","",COUNTIFS($A$2:$A$20000,A809,$B$2:$B$20000,"&gt;"&amp;B809)+1)</f>
        <v/>
      </c>
    </row>
    <row r="810">
      <c r="A810" t="inlineStr">
        <is>
          <t>샘플종목08</t>
        </is>
      </c>
      <c r="B810" s="3" t="n">
        <v>45821</v>
      </c>
      <c r="C810" t="n">
        <v>3885</v>
      </c>
      <c r="D810" t="n">
        <v>5644128</v>
      </c>
      <c r="E810">
        <f>IF(A810="","",COUNTIFS($A$2:$A$20000,A810,$B$2:$B$20000,"&gt;"&amp;B810)+1)</f>
        <v/>
      </c>
    </row>
    <row r="811">
      <c r="A811" t="inlineStr">
        <is>
          <t>샘플종목08</t>
        </is>
      </c>
      <c r="B811" s="3" t="n">
        <v>45828</v>
      </c>
      <c r="C811" t="n">
        <v>3743</v>
      </c>
      <c r="D811" t="n">
        <v>1676651</v>
      </c>
      <c r="E811">
        <f>IF(A811="","",COUNTIFS($A$2:$A$20000,A811,$B$2:$B$20000,"&gt;"&amp;B811)+1)</f>
        <v/>
      </c>
    </row>
    <row r="812">
      <c r="A812" t="inlineStr">
        <is>
          <t>샘플종목08</t>
        </is>
      </c>
      <c r="B812" s="3" t="n">
        <v>45835</v>
      </c>
      <c r="C812" t="n">
        <v>3579</v>
      </c>
      <c r="D812" t="n">
        <v>2524129</v>
      </c>
      <c r="E812">
        <f>IF(A812="","",COUNTIFS($A$2:$A$20000,A812,$B$2:$B$20000,"&gt;"&amp;B812)+1)</f>
        <v/>
      </c>
    </row>
    <row r="813">
      <c r="A813" t="inlineStr">
        <is>
          <t>샘플종목08</t>
        </is>
      </c>
      <c r="B813" s="3" t="n">
        <v>45842</v>
      </c>
      <c r="C813" t="n">
        <v>3575</v>
      </c>
      <c r="D813" t="n">
        <v>668697</v>
      </c>
      <c r="E813">
        <f>IF(A813="","",COUNTIFS($A$2:$A$20000,A813,$B$2:$B$20000,"&gt;"&amp;B813)+1)</f>
        <v/>
      </c>
    </row>
    <row r="814">
      <c r="A814" t="inlineStr">
        <is>
          <t>샘플종목08</t>
        </is>
      </c>
      <c r="B814" s="3" t="n">
        <v>45849</v>
      </c>
      <c r="C814" t="n">
        <v>3616</v>
      </c>
      <c r="D814" t="n">
        <v>2229055</v>
      </c>
      <c r="E814">
        <f>IF(A814="","",COUNTIFS($A$2:$A$20000,A814,$B$2:$B$20000,"&gt;"&amp;B814)+1)</f>
        <v/>
      </c>
    </row>
    <row r="815">
      <c r="A815" t="inlineStr">
        <is>
          <t>샘플종목08</t>
        </is>
      </c>
      <c r="B815" s="3" t="n">
        <v>45856</v>
      </c>
      <c r="C815" t="n">
        <v>3769</v>
      </c>
      <c r="D815" t="n">
        <v>5780875</v>
      </c>
      <c r="E815">
        <f>IF(A815="","",COUNTIFS($A$2:$A$20000,A815,$B$2:$B$20000,"&gt;"&amp;B815)+1)</f>
        <v/>
      </c>
    </row>
    <row r="816">
      <c r="A816" t="inlineStr">
        <is>
          <t>샘플종목08</t>
        </is>
      </c>
      <c r="B816" s="3" t="n">
        <v>45863</v>
      </c>
      <c r="C816" t="n">
        <v>3960</v>
      </c>
      <c r="D816" t="n">
        <v>5826255</v>
      </c>
      <c r="E816">
        <f>IF(A816="","",COUNTIFS($A$2:$A$20000,A816,$B$2:$B$20000,"&gt;"&amp;B816)+1)</f>
        <v/>
      </c>
    </row>
    <row r="817">
      <c r="A817" t="inlineStr">
        <is>
          <t>샘플종목08</t>
        </is>
      </c>
      <c r="B817" s="3" t="n">
        <v>45870</v>
      </c>
      <c r="C817" t="n">
        <v>4098</v>
      </c>
      <c r="D817" t="n">
        <v>8061351</v>
      </c>
      <c r="E817">
        <f>IF(A817="","",COUNTIFS($A$2:$A$20000,A817,$B$2:$B$20000,"&gt;"&amp;B817)+1)</f>
        <v/>
      </c>
    </row>
    <row r="818">
      <c r="A818" t="inlineStr">
        <is>
          <t>샘플종목08</t>
        </is>
      </c>
      <c r="B818" s="3" t="n">
        <v>45877</v>
      </c>
      <c r="C818" t="n">
        <v>4143</v>
      </c>
      <c r="D818" t="n">
        <v>3635383</v>
      </c>
      <c r="E818">
        <f>IF(A818="","",COUNTIFS($A$2:$A$20000,A818,$B$2:$B$20000,"&gt;"&amp;B818)+1)</f>
        <v/>
      </c>
    </row>
    <row r="819">
      <c r="A819" t="inlineStr">
        <is>
          <t>샘플종목08</t>
        </is>
      </c>
      <c r="B819" s="3" t="n">
        <v>45884</v>
      </c>
      <c r="C819" t="n">
        <v>3944</v>
      </c>
      <c r="D819" t="n">
        <v>4867263</v>
      </c>
      <c r="E819">
        <f>IF(A819="","",COUNTIFS($A$2:$A$20000,A819,$B$2:$B$20000,"&gt;"&amp;B819)+1)</f>
        <v/>
      </c>
    </row>
    <row r="820">
      <c r="A820" t="inlineStr">
        <is>
          <t>샘플종목08</t>
        </is>
      </c>
      <c r="B820" s="3" t="n">
        <v>45891</v>
      </c>
      <c r="C820" t="n">
        <v>3800</v>
      </c>
      <c r="D820" t="n">
        <v>9395040</v>
      </c>
      <c r="E820">
        <f>IF(A820="","",COUNTIFS($A$2:$A$20000,A820,$B$2:$B$20000,"&gt;"&amp;B820)+1)</f>
        <v/>
      </c>
    </row>
    <row r="821">
      <c r="A821" t="inlineStr">
        <is>
          <t>샘플종목08</t>
        </is>
      </c>
      <c r="B821" s="3" t="n">
        <v>45898</v>
      </c>
      <c r="C821" t="n">
        <v>3871</v>
      </c>
      <c r="D821" t="n">
        <v>984499</v>
      </c>
      <c r="E821">
        <f>IF(A821="","",COUNTIFS($A$2:$A$20000,A821,$B$2:$B$20000,"&gt;"&amp;B821)+1)</f>
        <v/>
      </c>
    </row>
    <row r="822">
      <c r="A822" t="inlineStr">
        <is>
          <t>샘플종목08</t>
        </is>
      </c>
      <c r="B822" s="3" t="n">
        <v>45905</v>
      </c>
      <c r="C822" t="n">
        <v>3938</v>
      </c>
      <c r="D822" t="n">
        <v>8383419</v>
      </c>
      <c r="E822">
        <f>IF(A822="","",COUNTIFS($A$2:$A$20000,A822,$B$2:$B$20000,"&gt;"&amp;B822)+1)</f>
        <v/>
      </c>
    </row>
    <row r="823">
      <c r="A823" t="inlineStr">
        <is>
          <t>샘플종목08</t>
        </is>
      </c>
      <c r="B823" s="3" t="n">
        <v>45912</v>
      </c>
      <c r="C823" t="n">
        <v>3830</v>
      </c>
      <c r="D823" t="n">
        <v>6873460</v>
      </c>
      <c r="E823">
        <f>IF(A823="","",COUNTIFS($A$2:$A$20000,A823,$B$2:$B$20000,"&gt;"&amp;B823)+1)</f>
        <v/>
      </c>
    </row>
    <row r="824">
      <c r="A824" t="inlineStr">
        <is>
          <t>샘플종목08</t>
        </is>
      </c>
      <c r="B824" s="3" t="n">
        <v>45919</v>
      </c>
      <c r="C824" t="n">
        <v>3616</v>
      </c>
      <c r="D824" t="n">
        <v>8596384</v>
      </c>
      <c r="E824">
        <f>IF(A824="","",COUNTIFS($A$2:$A$20000,A824,$B$2:$B$20000,"&gt;"&amp;B824)+1)</f>
        <v/>
      </c>
    </row>
    <row r="825">
      <c r="A825" t="inlineStr">
        <is>
          <t>샘플종목08</t>
        </is>
      </c>
      <c r="B825" s="3" t="n">
        <v>45926</v>
      </c>
      <c r="C825" t="n">
        <v>3984</v>
      </c>
      <c r="D825" t="n">
        <v>5884955</v>
      </c>
      <c r="E825">
        <f>IF(A825="","",COUNTIFS($A$2:$A$20000,A825,$B$2:$B$20000,"&gt;"&amp;B825)+1)</f>
        <v/>
      </c>
    </row>
    <row r="826">
      <c r="A826" t="inlineStr">
        <is>
          <t>샘플종목08</t>
        </is>
      </c>
      <c r="B826" s="3" t="n">
        <v>45933</v>
      </c>
      <c r="C826" t="n">
        <v>4221</v>
      </c>
      <c r="D826" t="n">
        <v>2078507</v>
      </c>
      <c r="E826">
        <f>IF(A826="","",COUNTIFS($A$2:$A$20000,A826,$B$2:$B$20000,"&gt;"&amp;B826)+1)</f>
        <v/>
      </c>
    </row>
    <row r="827">
      <c r="A827" t="inlineStr">
        <is>
          <t>샘플종목08</t>
        </is>
      </c>
      <c r="B827" s="3" t="n">
        <v>45940</v>
      </c>
      <c r="C827" t="n">
        <v>4191</v>
      </c>
      <c r="D827" t="n">
        <v>5651518</v>
      </c>
      <c r="E827">
        <f>IF(A827="","",COUNTIFS($A$2:$A$20000,A827,$B$2:$B$20000,"&gt;"&amp;B827)+1)</f>
        <v/>
      </c>
    </row>
    <row r="828">
      <c r="A828" t="inlineStr">
        <is>
          <t>샘플종목08</t>
        </is>
      </c>
      <c r="B828" s="3" t="n">
        <v>45947</v>
      </c>
      <c r="C828" t="n">
        <v>4293</v>
      </c>
      <c r="D828" t="n">
        <v>2240281</v>
      </c>
      <c r="E828">
        <f>IF(A828="","",COUNTIFS($A$2:$A$20000,A828,$B$2:$B$20000,"&gt;"&amp;B828)+1)</f>
        <v/>
      </c>
    </row>
    <row r="829">
      <c r="A829" t="inlineStr">
        <is>
          <t>샘플종목08</t>
        </is>
      </c>
      <c r="B829" s="3" t="n">
        <v>45954</v>
      </c>
      <c r="C829" t="n">
        <v>4556</v>
      </c>
      <c r="D829" t="n">
        <v>9939017</v>
      </c>
      <c r="E829">
        <f>IF(A829="","",COUNTIFS($A$2:$A$20000,A829,$B$2:$B$20000,"&gt;"&amp;B829)+1)</f>
        <v/>
      </c>
    </row>
    <row r="830">
      <c r="A830" t="inlineStr">
        <is>
          <t>샘플종목08</t>
        </is>
      </c>
      <c r="B830" s="3" t="n">
        <v>45961</v>
      </c>
      <c r="C830" t="n">
        <v>4642</v>
      </c>
      <c r="D830" t="n">
        <v>771945</v>
      </c>
      <c r="E830">
        <f>IF(A830="","",COUNTIFS($A$2:$A$20000,A830,$B$2:$B$20000,"&gt;"&amp;B830)+1)</f>
        <v/>
      </c>
    </row>
    <row r="831">
      <c r="A831" t="inlineStr">
        <is>
          <t>샘플종목08</t>
        </is>
      </c>
      <c r="B831" s="3" t="n">
        <v>45968</v>
      </c>
      <c r="C831" t="n">
        <v>4638</v>
      </c>
      <c r="D831" t="n">
        <v>6792068</v>
      </c>
      <c r="E831">
        <f>IF(A831="","",COUNTIFS($A$2:$A$20000,A831,$B$2:$B$20000,"&gt;"&amp;B831)+1)</f>
        <v/>
      </c>
    </row>
    <row r="832">
      <c r="A832" t="inlineStr">
        <is>
          <t>샘플종목08</t>
        </is>
      </c>
      <c r="B832" s="3" t="n">
        <v>45975</v>
      </c>
      <c r="C832" t="n">
        <v>4581</v>
      </c>
      <c r="D832" t="n">
        <v>9250312</v>
      </c>
      <c r="E832">
        <f>IF(A832="","",COUNTIFS($A$2:$A$20000,A832,$B$2:$B$20000,"&gt;"&amp;B832)+1)</f>
        <v/>
      </c>
    </row>
    <row r="833">
      <c r="A833" t="inlineStr">
        <is>
          <t>샘플종목08</t>
        </is>
      </c>
      <c r="B833" s="3" t="n">
        <v>45982</v>
      </c>
      <c r="C833" t="n">
        <v>4214</v>
      </c>
      <c r="D833" t="n">
        <v>9730861</v>
      </c>
      <c r="E833">
        <f>IF(A833="","",COUNTIFS($A$2:$A$20000,A833,$B$2:$B$20000,"&gt;"&amp;B833)+1)</f>
        <v/>
      </c>
    </row>
    <row r="834">
      <c r="A834" t="inlineStr">
        <is>
          <t>샘플종목08</t>
        </is>
      </c>
      <c r="B834" s="3" t="n">
        <v>45989</v>
      </c>
      <c r="C834" t="n">
        <v>4358</v>
      </c>
      <c r="D834" t="n">
        <v>204197</v>
      </c>
      <c r="E834">
        <f>IF(A834="","",COUNTIFS($A$2:$A$20000,A834,$B$2:$B$20000,"&gt;"&amp;B834)+1)</f>
        <v/>
      </c>
    </row>
    <row r="835">
      <c r="A835" t="inlineStr">
        <is>
          <t>샘플종목08</t>
        </is>
      </c>
      <c r="B835" s="3" t="n">
        <v>45996</v>
      </c>
      <c r="C835" t="n">
        <v>4412</v>
      </c>
      <c r="D835" t="n">
        <v>878407</v>
      </c>
      <c r="E835">
        <f>IF(A835="","",COUNTIFS($A$2:$A$20000,A835,$B$2:$B$20000,"&gt;"&amp;B835)+1)</f>
        <v/>
      </c>
    </row>
    <row r="836">
      <c r="A836" t="inlineStr">
        <is>
          <t>샘플종목08</t>
        </is>
      </c>
      <c r="B836" s="3" t="n">
        <v>46003</v>
      </c>
      <c r="C836" t="n">
        <v>4568</v>
      </c>
      <c r="D836" t="n">
        <v>1109128</v>
      </c>
      <c r="E836">
        <f>IF(A836="","",COUNTIFS($A$2:$A$20000,A836,$B$2:$B$20000,"&gt;"&amp;B836)+1)</f>
        <v/>
      </c>
    </row>
    <row r="837">
      <c r="A837" t="inlineStr">
        <is>
          <t>샘플종목08</t>
        </is>
      </c>
      <c r="B837" s="3" t="n">
        <v>46010</v>
      </c>
      <c r="C837" t="n">
        <v>4960</v>
      </c>
      <c r="D837" t="n">
        <v>8502747</v>
      </c>
      <c r="E837">
        <f>IF(A837="","",COUNTIFS($A$2:$A$20000,A837,$B$2:$B$20000,"&gt;"&amp;B837)+1)</f>
        <v/>
      </c>
    </row>
    <row r="838">
      <c r="A838" t="inlineStr">
        <is>
          <t>샘플종목08</t>
        </is>
      </c>
      <c r="B838" s="3" t="n">
        <v>46017</v>
      </c>
      <c r="C838" t="n">
        <v>5200</v>
      </c>
      <c r="D838" t="n">
        <v>2567117</v>
      </c>
      <c r="E838">
        <f>IF(A838="","",COUNTIFS($A$2:$A$20000,A838,$B$2:$B$20000,"&gt;"&amp;B838)+1)</f>
        <v/>
      </c>
    </row>
    <row r="839">
      <c r="A839" t="inlineStr">
        <is>
          <t>샘플종목08</t>
        </is>
      </c>
      <c r="B839" s="3" t="n">
        <v>46024</v>
      </c>
      <c r="C839" t="n">
        <v>5057</v>
      </c>
      <c r="D839" t="n">
        <v>1492562</v>
      </c>
      <c r="E839">
        <f>IF(A839="","",COUNTIFS($A$2:$A$20000,A839,$B$2:$B$20000,"&gt;"&amp;B839)+1)</f>
        <v/>
      </c>
    </row>
    <row r="840">
      <c r="A840" t="inlineStr">
        <is>
          <t>샘플종목08</t>
        </is>
      </c>
      <c r="B840" s="3" t="n">
        <v>46031</v>
      </c>
      <c r="C840" t="n">
        <v>5137</v>
      </c>
      <c r="D840" t="n">
        <v>7781940</v>
      </c>
      <c r="E840">
        <f>IF(A840="","",COUNTIFS($A$2:$A$20000,A840,$B$2:$B$20000,"&gt;"&amp;B840)+1)</f>
        <v/>
      </c>
    </row>
    <row r="841">
      <c r="A841" t="inlineStr">
        <is>
          <t>샘플종목08</t>
        </is>
      </c>
      <c r="B841" s="3" t="n">
        <v>46038</v>
      </c>
      <c r="C841" t="n">
        <v>5443</v>
      </c>
      <c r="D841" t="n">
        <v>3017630</v>
      </c>
      <c r="E841">
        <f>IF(A841="","",COUNTIFS($A$2:$A$20000,A841,$B$2:$B$20000,"&gt;"&amp;B841)+1)</f>
        <v/>
      </c>
    </row>
    <row r="842">
      <c r="A842" t="inlineStr">
        <is>
          <t>샘플종목08</t>
        </is>
      </c>
      <c r="B842" s="3" t="n">
        <v>46045</v>
      </c>
      <c r="C842" t="n">
        <v>5565</v>
      </c>
      <c r="D842" t="n">
        <v>720381</v>
      </c>
      <c r="E842">
        <f>IF(A842="","",COUNTIFS($A$2:$A$20000,A842,$B$2:$B$20000,"&gt;"&amp;B842)+1)</f>
        <v/>
      </c>
    </row>
    <row r="843">
      <c r="A843" t="inlineStr">
        <is>
          <t>샘플종목08</t>
        </is>
      </c>
      <c r="B843" s="3" t="n">
        <v>46052</v>
      </c>
      <c r="C843" t="n">
        <v>5660</v>
      </c>
      <c r="D843" t="n">
        <v>7172794</v>
      </c>
      <c r="E843">
        <f>IF(A843="","",COUNTIFS($A$2:$A$20000,A843,$B$2:$B$20000,"&gt;"&amp;B843)+1)</f>
        <v/>
      </c>
    </row>
    <row r="844">
      <c r="A844" t="inlineStr">
        <is>
          <t>샘플종목08</t>
        </is>
      </c>
      <c r="B844" s="3" t="n">
        <v>46059</v>
      </c>
      <c r="C844" t="n">
        <v>5748</v>
      </c>
      <c r="D844" t="n">
        <v>325258</v>
      </c>
      <c r="E844">
        <f>IF(A844="","",COUNTIFS($A$2:$A$20000,A844,$B$2:$B$20000,"&gt;"&amp;B844)+1)</f>
        <v/>
      </c>
    </row>
    <row r="845">
      <c r="A845" t="inlineStr">
        <is>
          <t>샘플종목08</t>
        </is>
      </c>
      <c r="B845" s="3" t="n">
        <v>46066</v>
      </c>
      <c r="C845" t="n">
        <v>5256</v>
      </c>
      <c r="D845" t="n">
        <v>6288600</v>
      </c>
      <c r="E845">
        <f>IF(A845="","",COUNTIFS($A$2:$A$20000,A845,$B$2:$B$20000,"&gt;"&amp;B845)+1)</f>
        <v/>
      </c>
    </row>
    <row r="846">
      <c r="A846" t="inlineStr">
        <is>
          <t>샘플종목08</t>
        </is>
      </c>
      <c r="B846" s="3" t="n">
        <v>46073</v>
      </c>
      <c r="C846" t="n">
        <v>5347</v>
      </c>
      <c r="D846" t="n">
        <v>5289963</v>
      </c>
      <c r="E846">
        <f>IF(A846="","",COUNTIFS($A$2:$A$20000,A846,$B$2:$B$20000,"&gt;"&amp;B846)+1)</f>
        <v/>
      </c>
    </row>
    <row r="847">
      <c r="A847" t="inlineStr">
        <is>
          <t>샘플종목08</t>
        </is>
      </c>
      <c r="B847" s="3" t="n">
        <v>46080</v>
      </c>
      <c r="C847" t="n">
        <v>5273</v>
      </c>
      <c r="D847" t="n">
        <v>9530497</v>
      </c>
      <c r="E847">
        <f>IF(A847="","",COUNTIFS($A$2:$A$20000,A847,$B$2:$B$20000,"&gt;"&amp;B847)+1)</f>
        <v/>
      </c>
    </row>
    <row r="848">
      <c r="A848" t="inlineStr">
        <is>
          <t>샘플종목08</t>
        </is>
      </c>
      <c r="B848" s="3" t="n">
        <v>46087</v>
      </c>
      <c r="C848" t="n">
        <v>5179</v>
      </c>
      <c r="D848" t="n">
        <v>3200032</v>
      </c>
      <c r="E848">
        <f>IF(A848="","",COUNTIFS($A$2:$A$20000,A848,$B$2:$B$20000,"&gt;"&amp;B848)+1)</f>
        <v/>
      </c>
    </row>
    <row r="849">
      <c r="A849" t="inlineStr">
        <is>
          <t>샘플종목08</t>
        </is>
      </c>
      <c r="B849" s="3" t="n">
        <v>46094</v>
      </c>
      <c r="C849" t="n">
        <v>4790</v>
      </c>
      <c r="D849" t="n">
        <v>7176373</v>
      </c>
      <c r="E849">
        <f>IF(A849="","",COUNTIFS($A$2:$A$20000,A849,$B$2:$B$20000,"&gt;"&amp;B849)+1)</f>
        <v/>
      </c>
    </row>
    <row r="850">
      <c r="A850" t="inlineStr">
        <is>
          <t>샘플종목08</t>
        </is>
      </c>
      <c r="B850" s="3" t="n">
        <v>46101</v>
      </c>
      <c r="C850" t="n">
        <v>4838</v>
      </c>
      <c r="D850" t="n">
        <v>9601485</v>
      </c>
      <c r="E850">
        <f>IF(A850="","",COUNTIFS($A$2:$A$20000,A850,$B$2:$B$20000,"&gt;"&amp;B850)+1)</f>
        <v/>
      </c>
    </row>
    <row r="851">
      <c r="A851" t="inlineStr">
        <is>
          <t>샘플종목08</t>
        </is>
      </c>
      <c r="B851" s="3" t="n">
        <v>46108</v>
      </c>
      <c r="C851" t="n">
        <v>4856</v>
      </c>
      <c r="D851" t="n">
        <v>9801910</v>
      </c>
      <c r="E851">
        <f>IF(A851="","",COUNTIFS($A$2:$A$20000,A851,$B$2:$B$20000,"&gt;"&amp;B851)+1)</f>
        <v/>
      </c>
    </row>
    <row r="852">
      <c r="A852" t="inlineStr">
        <is>
          <t>샘플종목08</t>
        </is>
      </c>
      <c r="B852" s="3" t="n">
        <v>46115</v>
      </c>
      <c r="C852" t="n">
        <v>4925</v>
      </c>
      <c r="D852" t="n">
        <v>9621193</v>
      </c>
      <c r="E852">
        <f>IF(A852="","",COUNTIFS($A$2:$A$20000,A852,$B$2:$B$20000,"&gt;"&amp;B852)+1)</f>
        <v/>
      </c>
    </row>
    <row r="853">
      <c r="A853" t="inlineStr">
        <is>
          <t>샘플종목08</t>
        </is>
      </c>
      <c r="B853" s="3" t="n">
        <v>46122</v>
      </c>
      <c r="C853" t="n">
        <v>4908</v>
      </c>
      <c r="D853" t="n">
        <v>8860290</v>
      </c>
      <c r="E853">
        <f>IF(A853="","",COUNTIFS($A$2:$A$20000,A853,$B$2:$B$20000,"&gt;"&amp;B853)+1)</f>
        <v/>
      </c>
    </row>
    <row r="854">
      <c r="A854" t="inlineStr">
        <is>
          <t>샘플종목08</t>
        </is>
      </c>
      <c r="B854" s="3" t="n">
        <v>46129</v>
      </c>
      <c r="C854" t="n">
        <v>5014</v>
      </c>
      <c r="D854" t="n">
        <v>7164407</v>
      </c>
      <c r="E854">
        <f>IF(A854="","",COUNTIFS($A$2:$A$20000,A854,$B$2:$B$20000,"&gt;"&amp;B854)+1)</f>
        <v/>
      </c>
    </row>
    <row r="855">
      <c r="A855" t="inlineStr">
        <is>
          <t>샘플종목08</t>
        </is>
      </c>
      <c r="B855" s="3" t="n">
        <v>46136</v>
      </c>
      <c r="C855" t="n">
        <v>5048</v>
      </c>
      <c r="D855" t="n">
        <v>9752290</v>
      </c>
      <c r="E855">
        <f>IF(A855="","",COUNTIFS($A$2:$A$20000,A855,$B$2:$B$20000,"&gt;"&amp;B855)+1)</f>
        <v/>
      </c>
    </row>
    <row r="856">
      <c r="A856" t="inlineStr">
        <is>
          <t>샘플종목08</t>
        </is>
      </c>
      <c r="B856" s="3" t="n">
        <v>46143</v>
      </c>
      <c r="C856" t="n">
        <v>4990</v>
      </c>
      <c r="D856" t="n">
        <v>1227745</v>
      </c>
      <c r="E856">
        <f>IF(A856="","",COUNTIFS($A$2:$A$20000,A856,$B$2:$B$20000,"&gt;"&amp;B856)+1)</f>
        <v/>
      </c>
    </row>
    <row r="857">
      <c r="A857" t="inlineStr">
        <is>
          <t>샘플종목08</t>
        </is>
      </c>
      <c r="B857" s="3" t="n">
        <v>46150</v>
      </c>
      <c r="C857" t="n">
        <v>4808</v>
      </c>
      <c r="D857" t="n">
        <v>337069</v>
      </c>
      <c r="E857">
        <f>IF(A857="","",COUNTIFS($A$2:$A$20000,A857,$B$2:$B$20000,"&gt;"&amp;B857)+1)</f>
        <v/>
      </c>
    </row>
    <row r="858">
      <c r="A858" t="inlineStr">
        <is>
          <t>샘플종목08</t>
        </is>
      </c>
      <c r="B858" s="3" t="n">
        <v>46157</v>
      </c>
      <c r="C858" t="n">
        <v>4708</v>
      </c>
      <c r="D858" t="n">
        <v>2705434</v>
      </c>
      <c r="E858">
        <f>IF(A858="","",COUNTIFS($A$2:$A$20000,A858,$B$2:$B$20000,"&gt;"&amp;B858)+1)</f>
        <v/>
      </c>
    </row>
    <row r="859">
      <c r="A859" t="inlineStr">
        <is>
          <t>샘플종목08</t>
        </is>
      </c>
      <c r="B859" s="3" t="n">
        <v>46164</v>
      </c>
      <c r="C859" t="n">
        <v>4488</v>
      </c>
      <c r="D859" t="n">
        <v>8076700</v>
      </c>
      <c r="E859">
        <f>IF(A859="","",COUNTIFS($A$2:$A$20000,A859,$B$2:$B$20000,"&gt;"&amp;B859)+1)</f>
        <v/>
      </c>
    </row>
    <row r="860">
      <c r="A860" t="inlineStr">
        <is>
          <t>샘플종목08</t>
        </is>
      </c>
      <c r="B860" s="3" t="n">
        <v>46171</v>
      </c>
      <c r="C860" t="n">
        <v>4526</v>
      </c>
      <c r="D860" t="n">
        <v>1491246</v>
      </c>
      <c r="E860">
        <f>IF(A860="","",COUNTIFS($A$2:$A$20000,A860,$B$2:$B$20000,"&gt;"&amp;B860)+1)</f>
        <v/>
      </c>
    </row>
    <row r="861">
      <c r="A861" t="inlineStr">
        <is>
          <t>샘플종목08</t>
        </is>
      </c>
      <c r="B861" s="3" t="n">
        <v>46178</v>
      </c>
      <c r="C861" t="n">
        <v>4308</v>
      </c>
      <c r="D861" t="n">
        <v>8022075</v>
      </c>
      <c r="E861">
        <f>IF(A861="","",COUNTIFS($A$2:$A$20000,A861,$B$2:$B$20000,"&gt;"&amp;B861)+1)</f>
        <v/>
      </c>
    </row>
    <row r="862">
      <c r="A862" t="inlineStr">
        <is>
          <t>샘플종목08</t>
        </is>
      </c>
      <c r="B862" s="3" t="n">
        <v>46185</v>
      </c>
      <c r="C862" t="n">
        <v>4340</v>
      </c>
      <c r="D862" t="n">
        <v>360551</v>
      </c>
      <c r="E862">
        <f>IF(A862="","",COUNTIFS($A$2:$A$20000,A862,$B$2:$B$20000,"&gt;"&amp;B862)+1)</f>
        <v/>
      </c>
    </row>
    <row r="863">
      <c r="A863" t="inlineStr">
        <is>
          <t>샘플종목08</t>
        </is>
      </c>
      <c r="B863" s="3" t="n">
        <v>46192</v>
      </c>
      <c r="C863" t="n">
        <v>4445</v>
      </c>
      <c r="D863" t="n">
        <v>7263867</v>
      </c>
      <c r="E863">
        <f>IF(A863="","",COUNTIFS($A$2:$A$20000,A863,$B$2:$B$20000,"&gt;"&amp;B863)+1)</f>
        <v/>
      </c>
    </row>
    <row r="864">
      <c r="A864" t="inlineStr">
        <is>
          <t>샘플종목08</t>
        </is>
      </c>
      <c r="B864" s="3" t="n">
        <v>46199</v>
      </c>
      <c r="C864" t="n">
        <v>4724</v>
      </c>
      <c r="D864" t="n">
        <v>2141298</v>
      </c>
      <c r="E864">
        <f>IF(A864="","",COUNTIFS($A$2:$A$20000,A864,$B$2:$B$20000,"&gt;"&amp;B864)+1)</f>
        <v/>
      </c>
    </row>
    <row r="865">
      <c r="A865" t="inlineStr">
        <is>
          <t>샘플종목08</t>
        </is>
      </c>
      <c r="B865" s="3" t="n">
        <v>46206</v>
      </c>
      <c r="C865" t="n">
        <v>4742</v>
      </c>
      <c r="D865" t="n">
        <v>1578731</v>
      </c>
      <c r="E865">
        <f>IF(A865="","",COUNTIFS($A$2:$A$20000,A865,$B$2:$B$20000,"&gt;"&amp;B865)+1)</f>
        <v/>
      </c>
    </row>
    <row r="866">
      <c r="A866" t="inlineStr">
        <is>
          <t>샘플종목08</t>
        </is>
      </c>
      <c r="B866" s="3" t="n">
        <v>46213</v>
      </c>
      <c r="C866" t="n">
        <v>4771</v>
      </c>
      <c r="D866" t="n">
        <v>8024412</v>
      </c>
      <c r="E866">
        <f>IF(A866="","",COUNTIFS($A$2:$A$20000,A866,$B$2:$B$20000,"&gt;"&amp;B866)+1)</f>
        <v/>
      </c>
    </row>
    <row r="867">
      <c r="A867" t="inlineStr">
        <is>
          <t>샘플종목08</t>
        </is>
      </c>
      <c r="B867" s="3" t="n">
        <v>46220</v>
      </c>
      <c r="C867" t="n">
        <v>4875</v>
      </c>
      <c r="D867" t="n">
        <v>398249</v>
      </c>
      <c r="E867">
        <f>IF(A867="","",COUNTIFS($A$2:$A$20000,A867,$B$2:$B$20000,"&gt;"&amp;B867)+1)</f>
        <v/>
      </c>
    </row>
    <row r="868">
      <c r="A868" t="inlineStr">
        <is>
          <t>샘플종목08</t>
        </is>
      </c>
      <c r="B868" s="3" t="n">
        <v>46227</v>
      </c>
      <c r="C868" t="n">
        <v>4845</v>
      </c>
      <c r="D868" t="n">
        <v>7662777</v>
      </c>
      <c r="E868">
        <f>IF(A868="","",COUNTIFS($A$2:$A$20000,A868,$B$2:$B$20000,"&gt;"&amp;B868)+1)</f>
        <v/>
      </c>
    </row>
    <row r="869">
      <c r="A869" t="inlineStr">
        <is>
          <t>샘플종목08</t>
        </is>
      </c>
      <c r="B869" s="3" t="n">
        <v>46234</v>
      </c>
      <c r="C869" t="n">
        <v>5103</v>
      </c>
      <c r="D869" t="n">
        <v>3244223</v>
      </c>
      <c r="E869">
        <f>IF(A869="","",COUNTIFS($A$2:$A$20000,A869,$B$2:$B$20000,"&gt;"&amp;B869)+1)</f>
        <v/>
      </c>
    </row>
    <row r="870">
      <c r="A870" t="inlineStr">
        <is>
          <t>샘플종목08</t>
        </is>
      </c>
      <c r="B870" s="3" t="n">
        <v>46241</v>
      </c>
      <c r="C870" t="n">
        <v>5285</v>
      </c>
      <c r="D870" t="n">
        <v>2529333</v>
      </c>
      <c r="E870">
        <f>IF(A870="","",COUNTIFS($A$2:$A$20000,A870,$B$2:$B$20000,"&gt;"&amp;B870)+1)</f>
        <v/>
      </c>
    </row>
    <row r="871">
      <c r="A871" t="inlineStr">
        <is>
          <t>샘플종목08</t>
        </is>
      </c>
      <c r="B871" s="3" t="n">
        <v>46248</v>
      </c>
      <c r="C871" t="n">
        <v>5202</v>
      </c>
      <c r="D871" t="n">
        <v>1514145</v>
      </c>
      <c r="E871">
        <f>IF(A871="","",COUNTIFS($A$2:$A$20000,A871,$B$2:$B$20000,"&gt;"&amp;B871)+1)</f>
        <v/>
      </c>
    </row>
    <row r="872">
      <c r="A872" t="inlineStr">
        <is>
          <t>샘플종목08</t>
        </is>
      </c>
      <c r="B872" s="3" t="n">
        <v>46255</v>
      </c>
      <c r="C872" t="n">
        <v>5141</v>
      </c>
      <c r="D872" t="n">
        <v>8456677</v>
      </c>
      <c r="E872">
        <f>IF(A872="","",COUNTIFS($A$2:$A$20000,A872,$B$2:$B$20000,"&gt;"&amp;B872)+1)</f>
        <v/>
      </c>
    </row>
    <row r="873">
      <c r="A873" t="inlineStr">
        <is>
          <t>샘플종목08</t>
        </is>
      </c>
      <c r="B873" s="3" t="n">
        <v>46262</v>
      </c>
      <c r="C873" t="n">
        <v>5404</v>
      </c>
      <c r="D873" t="n">
        <v>7827245</v>
      </c>
      <c r="E873">
        <f>IF(A873="","",COUNTIFS($A$2:$A$20000,A873,$B$2:$B$20000,"&gt;"&amp;B873)+1)</f>
        <v/>
      </c>
    </row>
    <row r="874">
      <c r="A874" t="inlineStr">
        <is>
          <t>샘플종목08</t>
        </is>
      </c>
      <c r="B874" s="3" t="n">
        <v>46269</v>
      </c>
      <c r="C874" t="n">
        <v>5195</v>
      </c>
      <c r="D874" t="n">
        <v>983502</v>
      </c>
      <c r="E874">
        <f>IF(A874="","",COUNTIFS($A$2:$A$20000,A874,$B$2:$B$20000,"&gt;"&amp;B874)+1)</f>
        <v/>
      </c>
    </row>
    <row r="875">
      <c r="A875" t="inlineStr">
        <is>
          <t>샘플종목08</t>
        </is>
      </c>
      <c r="B875" s="3" t="n">
        <v>46276</v>
      </c>
      <c r="C875" t="n">
        <v>4824</v>
      </c>
      <c r="D875" t="n">
        <v>636346</v>
      </c>
      <c r="E875">
        <f>IF(A875="","",COUNTIFS($A$2:$A$20000,A875,$B$2:$B$20000,"&gt;"&amp;B875)+1)</f>
        <v/>
      </c>
    </row>
    <row r="876">
      <c r="A876" t="inlineStr">
        <is>
          <t>샘플종목08</t>
        </is>
      </c>
      <c r="B876" s="3" t="n">
        <v>46283</v>
      </c>
      <c r="C876" t="n">
        <v>4866</v>
      </c>
      <c r="D876" t="n">
        <v>1436818</v>
      </c>
      <c r="E876">
        <f>IF(A876="","",COUNTIFS($A$2:$A$20000,A876,$B$2:$B$20000,"&gt;"&amp;B876)+1)</f>
        <v/>
      </c>
    </row>
    <row r="877">
      <c r="A877" t="inlineStr">
        <is>
          <t>샘플종목08</t>
        </is>
      </c>
      <c r="B877" s="3" t="n">
        <v>46290</v>
      </c>
      <c r="C877" t="n">
        <v>4879</v>
      </c>
      <c r="D877" t="n">
        <v>6625476</v>
      </c>
      <c r="E877">
        <f>IF(A877="","",COUNTIFS($A$2:$A$20000,A877,$B$2:$B$20000,"&gt;"&amp;B877)+1)</f>
        <v/>
      </c>
    </row>
    <row r="878">
      <c r="A878" t="inlineStr">
        <is>
          <t>샘플종목08</t>
        </is>
      </c>
      <c r="B878" s="3" t="n">
        <v>46297</v>
      </c>
      <c r="C878" t="n">
        <v>4770</v>
      </c>
      <c r="D878" t="n">
        <v>2884968</v>
      </c>
      <c r="E878">
        <f>IF(A878="","",COUNTIFS($A$2:$A$20000,A878,$B$2:$B$20000,"&gt;"&amp;B878)+1)</f>
        <v/>
      </c>
    </row>
    <row r="879">
      <c r="A879" t="inlineStr">
        <is>
          <t>샘플종목08</t>
        </is>
      </c>
      <c r="B879" s="3" t="n">
        <v>46304</v>
      </c>
      <c r="C879" t="n">
        <v>5066</v>
      </c>
      <c r="D879" t="n">
        <v>8259237</v>
      </c>
      <c r="E879">
        <f>IF(A879="","",COUNTIFS($A$2:$A$20000,A879,$B$2:$B$20000,"&gt;"&amp;B879)+1)</f>
        <v/>
      </c>
    </row>
    <row r="880">
      <c r="A880" t="inlineStr">
        <is>
          <t>샘플종목08</t>
        </is>
      </c>
      <c r="B880" s="3" t="n">
        <v>46311</v>
      </c>
      <c r="C880" t="n">
        <v>4939</v>
      </c>
      <c r="D880" t="n">
        <v>9746282</v>
      </c>
      <c r="E880">
        <f>IF(A880="","",COUNTIFS($A$2:$A$20000,A880,$B$2:$B$20000,"&gt;"&amp;B880)+1)</f>
        <v/>
      </c>
    </row>
    <row r="881">
      <c r="A881" t="inlineStr">
        <is>
          <t>샘플종목08</t>
        </is>
      </c>
      <c r="B881" s="3" t="n">
        <v>46318</v>
      </c>
      <c r="C881" t="n">
        <v>4840</v>
      </c>
      <c r="D881" t="n">
        <v>7460563</v>
      </c>
      <c r="E881">
        <f>IF(A881="","",COUNTIFS($A$2:$A$20000,A881,$B$2:$B$20000,"&gt;"&amp;B881)+1)</f>
        <v/>
      </c>
    </row>
    <row r="882">
      <c r="A882" t="inlineStr">
        <is>
          <t>샘플종목09</t>
        </is>
      </c>
      <c r="B882" s="3" t="n">
        <v>45555</v>
      </c>
      <c r="C882" t="n">
        <v>101848</v>
      </c>
      <c r="D882" t="n">
        <v>2057991</v>
      </c>
      <c r="E882">
        <f>IF(A882="","",COUNTIFS($A$2:$A$20000,A882,$B$2:$B$20000,"&gt;"&amp;B882)+1)</f>
        <v/>
      </c>
    </row>
    <row r="883">
      <c r="A883" t="inlineStr">
        <is>
          <t>샘플종목09</t>
        </is>
      </c>
      <c r="B883" s="3" t="n">
        <v>45562</v>
      </c>
      <c r="C883" t="n">
        <v>111234</v>
      </c>
      <c r="D883" t="n">
        <v>6194585</v>
      </c>
      <c r="E883">
        <f>IF(A883="","",COUNTIFS($A$2:$A$20000,A883,$B$2:$B$20000,"&gt;"&amp;B883)+1)</f>
        <v/>
      </c>
    </row>
    <row r="884">
      <c r="A884" t="inlineStr">
        <is>
          <t>샘플종목09</t>
        </is>
      </c>
      <c r="B884" s="3" t="n">
        <v>45569</v>
      </c>
      <c r="C884" t="n">
        <v>114009</v>
      </c>
      <c r="D884" t="n">
        <v>7112284</v>
      </c>
      <c r="E884">
        <f>IF(A884="","",COUNTIFS($A$2:$A$20000,A884,$B$2:$B$20000,"&gt;"&amp;B884)+1)</f>
        <v/>
      </c>
    </row>
    <row r="885">
      <c r="A885" t="inlineStr">
        <is>
          <t>샘플종목09</t>
        </is>
      </c>
      <c r="B885" s="3" t="n">
        <v>45576</v>
      </c>
      <c r="C885" t="n">
        <v>113457</v>
      </c>
      <c r="D885" t="n">
        <v>8102098</v>
      </c>
      <c r="E885">
        <f>IF(A885="","",COUNTIFS($A$2:$A$20000,A885,$B$2:$B$20000,"&gt;"&amp;B885)+1)</f>
        <v/>
      </c>
    </row>
    <row r="886">
      <c r="A886" t="inlineStr">
        <is>
          <t>샘플종목09</t>
        </is>
      </c>
      <c r="B886" s="3" t="n">
        <v>45583</v>
      </c>
      <c r="C886" t="n">
        <v>107680</v>
      </c>
      <c r="D886" t="n">
        <v>4663079</v>
      </c>
      <c r="E886">
        <f>IF(A886="","",COUNTIFS($A$2:$A$20000,A886,$B$2:$B$20000,"&gt;"&amp;B886)+1)</f>
        <v/>
      </c>
    </row>
    <row r="887">
      <c r="A887" t="inlineStr">
        <is>
          <t>샘플종목09</t>
        </is>
      </c>
      <c r="B887" s="3" t="n">
        <v>45590</v>
      </c>
      <c r="C887" t="n">
        <v>112873</v>
      </c>
      <c r="D887" t="n">
        <v>9609603</v>
      </c>
      <c r="E887">
        <f>IF(A887="","",COUNTIFS($A$2:$A$20000,A887,$B$2:$B$20000,"&gt;"&amp;B887)+1)</f>
        <v/>
      </c>
    </row>
    <row r="888">
      <c r="A888" t="inlineStr">
        <is>
          <t>샘플종목09</t>
        </is>
      </c>
      <c r="B888" s="3" t="n">
        <v>45597</v>
      </c>
      <c r="C888" t="n">
        <v>111258</v>
      </c>
      <c r="D888" t="n">
        <v>5670707</v>
      </c>
      <c r="E888">
        <f>IF(A888="","",COUNTIFS($A$2:$A$20000,A888,$B$2:$B$20000,"&gt;"&amp;B888)+1)</f>
        <v/>
      </c>
    </row>
    <row r="889">
      <c r="A889" t="inlineStr">
        <is>
          <t>샘플종목09</t>
        </is>
      </c>
      <c r="B889" s="3" t="n">
        <v>45604</v>
      </c>
      <c r="C889" t="n">
        <v>114598</v>
      </c>
      <c r="D889" t="n">
        <v>360056</v>
      </c>
      <c r="E889">
        <f>IF(A889="","",COUNTIFS($A$2:$A$20000,A889,$B$2:$B$20000,"&gt;"&amp;B889)+1)</f>
        <v/>
      </c>
    </row>
    <row r="890">
      <c r="A890" t="inlineStr">
        <is>
          <t>샘플종목09</t>
        </is>
      </c>
      <c r="B890" s="3" t="n">
        <v>45611</v>
      </c>
      <c r="C890" t="n">
        <v>117865</v>
      </c>
      <c r="D890" t="n">
        <v>5277410</v>
      </c>
      <c r="E890">
        <f>IF(A890="","",COUNTIFS($A$2:$A$20000,A890,$B$2:$B$20000,"&gt;"&amp;B890)+1)</f>
        <v/>
      </c>
    </row>
    <row r="891">
      <c r="A891" t="inlineStr">
        <is>
          <t>샘플종목09</t>
        </is>
      </c>
      <c r="B891" s="3" t="n">
        <v>45618</v>
      </c>
      <c r="C891" t="n">
        <v>112524</v>
      </c>
      <c r="D891" t="n">
        <v>9909105</v>
      </c>
      <c r="E891">
        <f>IF(A891="","",COUNTIFS($A$2:$A$20000,A891,$B$2:$B$20000,"&gt;"&amp;B891)+1)</f>
        <v/>
      </c>
    </row>
    <row r="892">
      <c r="A892" t="inlineStr">
        <is>
          <t>샘플종목09</t>
        </is>
      </c>
      <c r="B892" s="3" t="n">
        <v>45625</v>
      </c>
      <c r="C892" t="n">
        <v>104262</v>
      </c>
      <c r="D892" t="n">
        <v>6419588</v>
      </c>
      <c r="E892">
        <f>IF(A892="","",COUNTIFS($A$2:$A$20000,A892,$B$2:$B$20000,"&gt;"&amp;B892)+1)</f>
        <v/>
      </c>
    </row>
    <row r="893">
      <c r="A893" t="inlineStr">
        <is>
          <t>샘플종목09</t>
        </is>
      </c>
      <c r="B893" s="3" t="n">
        <v>45632</v>
      </c>
      <c r="C893" t="n">
        <v>108258</v>
      </c>
      <c r="D893" t="n">
        <v>6598767</v>
      </c>
      <c r="E893">
        <f>IF(A893="","",COUNTIFS($A$2:$A$20000,A893,$B$2:$B$20000,"&gt;"&amp;B893)+1)</f>
        <v/>
      </c>
    </row>
    <row r="894">
      <c r="A894" t="inlineStr">
        <is>
          <t>샘플종목09</t>
        </is>
      </c>
      <c r="B894" s="3" t="n">
        <v>45639</v>
      </c>
      <c r="C894" t="n">
        <v>106135</v>
      </c>
      <c r="D894" t="n">
        <v>4031795</v>
      </c>
      <c r="E894">
        <f>IF(A894="","",COUNTIFS($A$2:$A$20000,A894,$B$2:$B$20000,"&gt;"&amp;B894)+1)</f>
        <v/>
      </c>
    </row>
    <row r="895">
      <c r="A895" t="inlineStr">
        <is>
          <t>샘플종목09</t>
        </is>
      </c>
      <c r="B895" s="3" t="n">
        <v>45646</v>
      </c>
      <c r="C895" t="n">
        <v>101062</v>
      </c>
      <c r="D895" t="n">
        <v>7671045</v>
      </c>
      <c r="E895">
        <f>IF(A895="","",COUNTIFS($A$2:$A$20000,A895,$B$2:$B$20000,"&gt;"&amp;B895)+1)</f>
        <v/>
      </c>
    </row>
    <row r="896">
      <c r="A896" t="inlineStr">
        <is>
          <t>샘플종목09</t>
        </is>
      </c>
      <c r="B896" s="3" t="n">
        <v>45653</v>
      </c>
      <c r="C896" t="n">
        <v>101216</v>
      </c>
      <c r="D896" t="n">
        <v>4513155</v>
      </c>
      <c r="E896">
        <f>IF(A896="","",COUNTIFS($A$2:$A$20000,A896,$B$2:$B$20000,"&gt;"&amp;B896)+1)</f>
        <v/>
      </c>
    </row>
    <row r="897">
      <c r="A897" t="inlineStr">
        <is>
          <t>샘플종목09</t>
        </is>
      </c>
      <c r="B897" s="3" t="n">
        <v>45660</v>
      </c>
      <c r="C897" t="n">
        <v>101648</v>
      </c>
      <c r="D897" t="n">
        <v>4596679</v>
      </c>
      <c r="E897">
        <f>IF(A897="","",COUNTIFS($A$2:$A$20000,A897,$B$2:$B$20000,"&gt;"&amp;B897)+1)</f>
        <v/>
      </c>
    </row>
    <row r="898">
      <c r="A898" t="inlineStr">
        <is>
          <t>샘플종목09</t>
        </is>
      </c>
      <c r="B898" s="3" t="n">
        <v>45667</v>
      </c>
      <c r="C898" t="n">
        <v>97075</v>
      </c>
      <c r="D898" t="n">
        <v>809618</v>
      </c>
      <c r="E898">
        <f>IF(A898="","",COUNTIFS($A$2:$A$20000,A898,$B$2:$B$20000,"&gt;"&amp;B898)+1)</f>
        <v/>
      </c>
    </row>
    <row r="899">
      <c r="A899" t="inlineStr">
        <is>
          <t>샘플종목09</t>
        </is>
      </c>
      <c r="B899" s="3" t="n">
        <v>45674</v>
      </c>
      <c r="C899" t="n">
        <v>99684</v>
      </c>
      <c r="D899" t="n">
        <v>4940586</v>
      </c>
      <c r="E899">
        <f>IF(A899="","",COUNTIFS($A$2:$A$20000,A899,$B$2:$B$20000,"&gt;"&amp;B899)+1)</f>
        <v/>
      </c>
    </row>
    <row r="900">
      <c r="A900" t="inlineStr">
        <is>
          <t>샘플종목09</t>
        </is>
      </c>
      <c r="B900" s="3" t="n">
        <v>45681</v>
      </c>
      <c r="C900" t="n">
        <v>103523</v>
      </c>
      <c r="D900" t="n">
        <v>9695027</v>
      </c>
      <c r="E900">
        <f>IF(A900="","",COUNTIFS($A$2:$A$20000,A900,$B$2:$B$20000,"&gt;"&amp;B900)+1)</f>
        <v/>
      </c>
    </row>
    <row r="901">
      <c r="A901" t="inlineStr">
        <is>
          <t>샘플종목09</t>
        </is>
      </c>
      <c r="B901" s="3" t="n">
        <v>45688</v>
      </c>
      <c r="C901" t="n">
        <v>97174</v>
      </c>
      <c r="D901" t="n">
        <v>2566234</v>
      </c>
      <c r="E901">
        <f>IF(A901="","",COUNTIFS($A$2:$A$20000,A901,$B$2:$B$20000,"&gt;"&amp;B901)+1)</f>
        <v/>
      </c>
    </row>
    <row r="902">
      <c r="A902" t="inlineStr">
        <is>
          <t>샘플종목09</t>
        </is>
      </c>
      <c r="B902" s="3" t="n">
        <v>45695</v>
      </c>
      <c r="C902" t="n">
        <v>96236</v>
      </c>
      <c r="D902" t="n">
        <v>9291365</v>
      </c>
      <c r="E902">
        <f>IF(A902="","",COUNTIFS($A$2:$A$20000,A902,$B$2:$B$20000,"&gt;"&amp;B902)+1)</f>
        <v/>
      </c>
    </row>
    <row r="903">
      <c r="A903" t="inlineStr">
        <is>
          <t>샘플종목09</t>
        </is>
      </c>
      <c r="B903" s="3" t="n">
        <v>45702</v>
      </c>
      <c r="C903" t="n">
        <v>103858</v>
      </c>
      <c r="D903" t="n">
        <v>8488204</v>
      </c>
      <c r="E903">
        <f>IF(A903="","",COUNTIFS($A$2:$A$20000,A903,$B$2:$B$20000,"&gt;"&amp;B903)+1)</f>
        <v/>
      </c>
    </row>
    <row r="904">
      <c r="A904" t="inlineStr">
        <is>
          <t>샘플종목09</t>
        </is>
      </c>
      <c r="B904" s="3" t="n">
        <v>45709</v>
      </c>
      <c r="C904" t="n">
        <v>103064</v>
      </c>
      <c r="D904" t="n">
        <v>9389114</v>
      </c>
      <c r="E904">
        <f>IF(A904="","",COUNTIFS($A$2:$A$20000,A904,$B$2:$B$20000,"&gt;"&amp;B904)+1)</f>
        <v/>
      </c>
    </row>
    <row r="905">
      <c r="A905" t="inlineStr">
        <is>
          <t>샘플종목09</t>
        </is>
      </c>
      <c r="B905" s="3" t="n">
        <v>45716</v>
      </c>
      <c r="C905" t="n">
        <v>104696</v>
      </c>
      <c r="D905" t="n">
        <v>8232964</v>
      </c>
      <c r="E905">
        <f>IF(A905="","",COUNTIFS($A$2:$A$20000,A905,$B$2:$B$20000,"&gt;"&amp;B905)+1)</f>
        <v/>
      </c>
    </row>
    <row r="906">
      <c r="A906" t="inlineStr">
        <is>
          <t>샘플종목09</t>
        </is>
      </c>
      <c r="B906" s="3" t="n">
        <v>45723</v>
      </c>
      <c r="C906" t="n">
        <v>105728</v>
      </c>
      <c r="D906" t="n">
        <v>4026409</v>
      </c>
      <c r="E906">
        <f>IF(A906="","",COUNTIFS($A$2:$A$20000,A906,$B$2:$B$20000,"&gt;"&amp;B906)+1)</f>
        <v/>
      </c>
    </row>
    <row r="907">
      <c r="A907" t="inlineStr">
        <is>
          <t>샘플종목09</t>
        </is>
      </c>
      <c r="B907" s="3" t="n">
        <v>45730</v>
      </c>
      <c r="C907" t="n">
        <v>103235</v>
      </c>
      <c r="D907" t="n">
        <v>5292051</v>
      </c>
      <c r="E907">
        <f>IF(A907="","",COUNTIFS($A$2:$A$20000,A907,$B$2:$B$20000,"&gt;"&amp;B907)+1)</f>
        <v/>
      </c>
    </row>
    <row r="908">
      <c r="A908" t="inlineStr">
        <is>
          <t>샘플종목09</t>
        </is>
      </c>
      <c r="B908" s="3" t="n">
        <v>45737</v>
      </c>
      <c r="C908" t="n">
        <v>98577</v>
      </c>
      <c r="D908" t="n">
        <v>7906823</v>
      </c>
      <c r="E908">
        <f>IF(A908="","",COUNTIFS($A$2:$A$20000,A908,$B$2:$B$20000,"&gt;"&amp;B908)+1)</f>
        <v/>
      </c>
    </row>
    <row r="909">
      <c r="A909" t="inlineStr">
        <is>
          <t>샘플종목09</t>
        </is>
      </c>
      <c r="B909" s="3" t="n">
        <v>45744</v>
      </c>
      <c r="C909" t="n">
        <v>95082</v>
      </c>
      <c r="D909" t="n">
        <v>3565939</v>
      </c>
      <c r="E909">
        <f>IF(A909="","",COUNTIFS($A$2:$A$20000,A909,$B$2:$B$20000,"&gt;"&amp;B909)+1)</f>
        <v/>
      </c>
    </row>
    <row r="910">
      <c r="A910" t="inlineStr">
        <is>
          <t>샘플종목09</t>
        </is>
      </c>
      <c r="B910" s="3" t="n">
        <v>45751</v>
      </c>
      <c r="C910" t="n">
        <v>99790</v>
      </c>
      <c r="D910" t="n">
        <v>257196</v>
      </c>
      <c r="E910">
        <f>IF(A910="","",COUNTIFS($A$2:$A$20000,A910,$B$2:$B$20000,"&gt;"&amp;B910)+1)</f>
        <v/>
      </c>
    </row>
    <row r="911">
      <c r="A911" t="inlineStr">
        <is>
          <t>샘플종목09</t>
        </is>
      </c>
      <c r="B911" s="3" t="n">
        <v>45758</v>
      </c>
      <c r="C911" t="n">
        <v>97611</v>
      </c>
      <c r="D911" t="n">
        <v>6558793</v>
      </c>
      <c r="E911">
        <f>IF(A911="","",COUNTIFS($A$2:$A$20000,A911,$B$2:$B$20000,"&gt;"&amp;B911)+1)</f>
        <v/>
      </c>
    </row>
    <row r="912">
      <c r="A912" t="inlineStr">
        <is>
          <t>샘플종목09</t>
        </is>
      </c>
      <c r="B912" s="3" t="n">
        <v>45765</v>
      </c>
      <c r="C912" t="n">
        <v>96187</v>
      </c>
      <c r="D912" t="n">
        <v>6057675</v>
      </c>
      <c r="E912">
        <f>IF(A912="","",COUNTIFS($A$2:$A$20000,A912,$B$2:$B$20000,"&gt;"&amp;B912)+1)</f>
        <v/>
      </c>
    </row>
    <row r="913">
      <c r="A913" t="inlineStr">
        <is>
          <t>샘플종목09</t>
        </is>
      </c>
      <c r="B913" s="3" t="n">
        <v>45772</v>
      </c>
      <c r="C913" t="n">
        <v>96792</v>
      </c>
      <c r="D913" t="n">
        <v>1150777</v>
      </c>
      <c r="E913">
        <f>IF(A913="","",COUNTIFS($A$2:$A$20000,A913,$B$2:$B$20000,"&gt;"&amp;B913)+1)</f>
        <v/>
      </c>
    </row>
    <row r="914">
      <c r="A914" t="inlineStr">
        <is>
          <t>샘플종목09</t>
        </is>
      </c>
      <c r="B914" s="3" t="n">
        <v>45779</v>
      </c>
      <c r="C914" t="n">
        <v>97533</v>
      </c>
      <c r="D914" t="n">
        <v>4454384</v>
      </c>
      <c r="E914">
        <f>IF(A914="","",COUNTIFS($A$2:$A$20000,A914,$B$2:$B$20000,"&gt;"&amp;B914)+1)</f>
        <v/>
      </c>
    </row>
    <row r="915">
      <c r="A915" t="inlineStr">
        <is>
          <t>샘플종목09</t>
        </is>
      </c>
      <c r="B915" s="3" t="n">
        <v>45786</v>
      </c>
      <c r="C915" t="n">
        <v>102834</v>
      </c>
      <c r="D915" t="n">
        <v>8855333</v>
      </c>
      <c r="E915">
        <f>IF(A915="","",COUNTIFS($A$2:$A$20000,A915,$B$2:$B$20000,"&gt;"&amp;B915)+1)</f>
        <v/>
      </c>
    </row>
    <row r="916">
      <c r="A916" t="inlineStr">
        <is>
          <t>샘플종목09</t>
        </is>
      </c>
      <c r="B916" s="3" t="n">
        <v>45793</v>
      </c>
      <c r="C916" t="n">
        <v>100932</v>
      </c>
      <c r="D916" t="n">
        <v>3486810</v>
      </c>
      <c r="E916">
        <f>IF(A916="","",COUNTIFS($A$2:$A$20000,A916,$B$2:$B$20000,"&gt;"&amp;B916)+1)</f>
        <v/>
      </c>
    </row>
    <row r="917">
      <c r="A917" t="inlineStr">
        <is>
          <t>샘플종목09</t>
        </is>
      </c>
      <c r="B917" s="3" t="n">
        <v>45800</v>
      </c>
      <c r="C917" t="n">
        <v>105460</v>
      </c>
      <c r="D917" t="n">
        <v>3273434</v>
      </c>
      <c r="E917">
        <f>IF(A917="","",COUNTIFS($A$2:$A$20000,A917,$B$2:$B$20000,"&gt;"&amp;B917)+1)</f>
        <v/>
      </c>
    </row>
    <row r="918">
      <c r="A918" t="inlineStr">
        <is>
          <t>샘플종목09</t>
        </is>
      </c>
      <c r="B918" s="3" t="n">
        <v>45807</v>
      </c>
      <c r="C918" t="n">
        <v>106102</v>
      </c>
      <c r="D918" t="n">
        <v>4961976</v>
      </c>
      <c r="E918">
        <f>IF(A918="","",COUNTIFS($A$2:$A$20000,A918,$B$2:$B$20000,"&gt;"&amp;B918)+1)</f>
        <v/>
      </c>
    </row>
    <row r="919">
      <c r="A919" t="inlineStr">
        <is>
          <t>샘플종목09</t>
        </is>
      </c>
      <c r="B919" s="3" t="n">
        <v>45814</v>
      </c>
      <c r="C919" t="n">
        <v>108130</v>
      </c>
      <c r="D919" t="n">
        <v>6187206</v>
      </c>
      <c r="E919">
        <f>IF(A919="","",COUNTIFS($A$2:$A$20000,A919,$B$2:$B$20000,"&gt;"&amp;B919)+1)</f>
        <v/>
      </c>
    </row>
    <row r="920">
      <c r="A920" t="inlineStr">
        <is>
          <t>샘플종목09</t>
        </is>
      </c>
      <c r="B920" s="3" t="n">
        <v>45821</v>
      </c>
      <c r="C920" t="n">
        <v>104746</v>
      </c>
      <c r="D920" t="n">
        <v>8777467</v>
      </c>
      <c r="E920">
        <f>IF(A920="","",COUNTIFS($A$2:$A$20000,A920,$B$2:$B$20000,"&gt;"&amp;B920)+1)</f>
        <v/>
      </c>
    </row>
    <row r="921">
      <c r="A921" t="inlineStr">
        <is>
          <t>샘플종목09</t>
        </is>
      </c>
      <c r="B921" s="3" t="n">
        <v>45828</v>
      </c>
      <c r="C921" t="n">
        <v>103099</v>
      </c>
      <c r="D921" t="n">
        <v>2599956</v>
      </c>
      <c r="E921">
        <f>IF(A921="","",COUNTIFS($A$2:$A$20000,A921,$B$2:$B$20000,"&gt;"&amp;B921)+1)</f>
        <v/>
      </c>
    </row>
    <row r="922">
      <c r="A922" t="inlineStr">
        <is>
          <t>샘플종목09</t>
        </is>
      </c>
      <c r="B922" s="3" t="n">
        <v>45835</v>
      </c>
      <c r="C922" t="n">
        <v>103522</v>
      </c>
      <c r="D922" t="n">
        <v>8375674</v>
      </c>
      <c r="E922">
        <f>IF(A922="","",COUNTIFS($A$2:$A$20000,A922,$B$2:$B$20000,"&gt;"&amp;B922)+1)</f>
        <v/>
      </c>
    </row>
    <row r="923">
      <c r="A923" t="inlineStr">
        <is>
          <t>샘플종목09</t>
        </is>
      </c>
      <c r="B923" s="3" t="n">
        <v>45842</v>
      </c>
      <c r="C923" t="n">
        <v>113094</v>
      </c>
      <c r="D923" t="n">
        <v>6375356</v>
      </c>
      <c r="E923">
        <f>IF(A923="","",COUNTIFS($A$2:$A$20000,A923,$B$2:$B$20000,"&gt;"&amp;B923)+1)</f>
        <v/>
      </c>
    </row>
    <row r="924">
      <c r="A924" t="inlineStr">
        <is>
          <t>샘플종목09</t>
        </is>
      </c>
      <c r="B924" s="3" t="n">
        <v>45849</v>
      </c>
      <c r="C924" t="n">
        <v>116233</v>
      </c>
      <c r="D924" t="n">
        <v>7875129</v>
      </c>
      <c r="E924">
        <f>IF(A924="","",COUNTIFS($A$2:$A$20000,A924,$B$2:$B$20000,"&gt;"&amp;B924)+1)</f>
        <v/>
      </c>
    </row>
    <row r="925">
      <c r="A925" t="inlineStr">
        <is>
          <t>샘플종목09</t>
        </is>
      </c>
      <c r="B925" s="3" t="n">
        <v>45856</v>
      </c>
      <c r="C925" t="n">
        <v>113129</v>
      </c>
      <c r="D925" t="n">
        <v>1471360</v>
      </c>
      <c r="E925">
        <f>IF(A925="","",COUNTIFS($A$2:$A$20000,A925,$B$2:$B$20000,"&gt;"&amp;B925)+1)</f>
        <v/>
      </c>
    </row>
    <row r="926">
      <c r="A926" t="inlineStr">
        <is>
          <t>샘플종목09</t>
        </is>
      </c>
      <c r="B926" s="3" t="n">
        <v>45863</v>
      </c>
      <c r="C926" t="n">
        <v>116748</v>
      </c>
      <c r="D926" t="n">
        <v>5886825</v>
      </c>
      <c r="E926">
        <f>IF(A926="","",COUNTIFS($A$2:$A$20000,A926,$B$2:$B$20000,"&gt;"&amp;B926)+1)</f>
        <v/>
      </c>
    </row>
    <row r="927">
      <c r="A927" t="inlineStr">
        <is>
          <t>샘플종목09</t>
        </is>
      </c>
      <c r="B927" s="3" t="n">
        <v>45870</v>
      </c>
      <c r="C927" t="n">
        <v>122216</v>
      </c>
      <c r="D927" t="n">
        <v>4806815</v>
      </c>
      <c r="E927">
        <f>IF(A927="","",COUNTIFS($A$2:$A$20000,A927,$B$2:$B$20000,"&gt;"&amp;B927)+1)</f>
        <v/>
      </c>
    </row>
    <row r="928">
      <c r="A928" t="inlineStr">
        <is>
          <t>샘플종목09</t>
        </is>
      </c>
      <c r="B928" s="3" t="n">
        <v>45877</v>
      </c>
      <c r="C928" t="n">
        <v>121471</v>
      </c>
      <c r="D928" t="n">
        <v>663363</v>
      </c>
      <c r="E928">
        <f>IF(A928="","",COUNTIFS($A$2:$A$20000,A928,$B$2:$B$20000,"&gt;"&amp;B928)+1)</f>
        <v/>
      </c>
    </row>
    <row r="929">
      <c r="A929" t="inlineStr">
        <is>
          <t>샘플종목09</t>
        </is>
      </c>
      <c r="B929" s="3" t="n">
        <v>45884</v>
      </c>
      <c r="C929" t="n">
        <v>121593</v>
      </c>
      <c r="D929" t="n">
        <v>3533352</v>
      </c>
      <c r="E929">
        <f>IF(A929="","",COUNTIFS($A$2:$A$20000,A929,$B$2:$B$20000,"&gt;"&amp;B929)+1)</f>
        <v/>
      </c>
    </row>
    <row r="930">
      <c r="A930" t="inlineStr">
        <is>
          <t>샘플종목09</t>
        </is>
      </c>
      <c r="B930" s="3" t="n">
        <v>45891</v>
      </c>
      <c r="C930" t="n">
        <v>131572</v>
      </c>
      <c r="D930" t="n">
        <v>8259020</v>
      </c>
      <c r="E930">
        <f>IF(A930="","",COUNTIFS($A$2:$A$20000,A930,$B$2:$B$20000,"&gt;"&amp;B930)+1)</f>
        <v/>
      </c>
    </row>
    <row r="931">
      <c r="A931" t="inlineStr">
        <is>
          <t>샘플종목09</t>
        </is>
      </c>
      <c r="B931" s="3" t="n">
        <v>45898</v>
      </c>
      <c r="C931" t="n">
        <v>131199</v>
      </c>
      <c r="D931" t="n">
        <v>9943376</v>
      </c>
      <c r="E931">
        <f>IF(A931="","",COUNTIFS($A$2:$A$20000,A931,$B$2:$B$20000,"&gt;"&amp;B931)+1)</f>
        <v/>
      </c>
    </row>
    <row r="932">
      <c r="A932" t="inlineStr">
        <is>
          <t>샘플종목09</t>
        </is>
      </c>
      <c r="B932" s="3" t="n">
        <v>45905</v>
      </c>
      <c r="C932" t="n">
        <v>127733</v>
      </c>
      <c r="D932" t="n">
        <v>4794675</v>
      </c>
      <c r="E932">
        <f>IF(A932="","",COUNTIFS($A$2:$A$20000,A932,$B$2:$B$20000,"&gt;"&amp;B932)+1)</f>
        <v/>
      </c>
    </row>
    <row r="933">
      <c r="A933" t="inlineStr">
        <is>
          <t>샘플종목09</t>
        </is>
      </c>
      <c r="B933" s="3" t="n">
        <v>45912</v>
      </c>
      <c r="C933" t="n">
        <v>126359</v>
      </c>
      <c r="D933" t="n">
        <v>7246254</v>
      </c>
      <c r="E933">
        <f>IF(A933="","",COUNTIFS($A$2:$A$20000,A933,$B$2:$B$20000,"&gt;"&amp;B933)+1)</f>
        <v/>
      </c>
    </row>
    <row r="934">
      <c r="A934" t="inlineStr">
        <is>
          <t>샘플종목09</t>
        </is>
      </c>
      <c r="B934" s="3" t="n">
        <v>45919</v>
      </c>
      <c r="C934" t="n">
        <v>131119</v>
      </c>
      <c r="D934" t="n">
        <v>2296201</v>
      </c>
      <c r="E934">
        <f>IF(A934="","",COUNTIFS($A$2:$A$20000,A934,$B$2:$B$20000,"&gt;"&amp;B934)+1)</f>
        <v/>
      </c>
    </row>
    <row r="935">
      <c r="A935" t="inlineStr">
        <is>
          <t>샘플종목09</t>
        </is>
      </c>
      <c r="B935" s="3" t="n">
        <v>45926</v>
      </c>
      <c r="C935" t="n">
        <v>134652</v>
      </c>
      <c r="D935" t="n">
        <v>4361337</v>
      </c>
      <c r="E935">
        <f>IF(A935="","",COUNTIFS($A$2:$A$20000,A935,$B$2:$B$20000,"&gt;"&amp;B935)+1)</f>
        <v/>
      </c>
    </row>
    <row r="936">
      <c r="A936" t="inlineStr">
        <is>
          <t>샘플종목09</t>
        </is>
      </c>
      <c r="B936" s="3" t="n">
        <v>45933</v>
      </c>
      <c r="C936" t="n">
        <v>137643</v>
      </c>
      <c r="D936" t="n">
        <v>3132236</v>
      </c>
      <c r="E936">
        <f>IF(A936="","",COUNTIFS($A$2:$A$20000,A936,$B$2:$B$20000,"&gt;"&amp;B936)+1)</f>
        <v/>
      </c>
    </row>
    <row r="937">
      <c r="A937" t="inlineStr">
        <is>
          <t>샘플종목09</t>
        </is>
      </c>
      <c r="B937" s="3" t="n">
        <v>45940</v>
      </c>
      <c r="C937" t="n">
        <v>133754</v>
      </c>
      <c r="D937" t="n">
        <v>6445177</v>
      </c>
      <c r="E937">
        <f>IF(A937="","",COUNTIFS($A$2:$A$20000,A937,$B$2:$B$20000,"&gt;"&amp;B937)+1)</f>
        <v/>
      </c>
    </row>
    <row r="938">
      <c r="A938" t="inlineStr">
        <is>
          <t>샘플종목09</t>
        </is>
      </c>
      <c r="B938" s="3" t="n">
        <v>45947</v>
      </c>
      <c r="C938" t="n">
        <v>135519</v>
      </c>
      <c r="D938" t="n">
        <v>9451288</v>
      </c>
      <c r="E938">
        <f>IF(A938="","",COUNTIFS($A$2:$A$20000,A938,$B$2:$B$20000,"&gt;"&amp;B938)+1)</f>
        <v/>
      </c>
    </row>
    <row r="939">
      <c r="A939" t="inlineStr">
        <is>
          <t>샘플종목09</t>
        </is>
      </c>
      <c r="B939" s="3" t="n">
        <v>45954</v>
      </c>
      <c r="C939" t="n">
        <v>136670</v>
      </c>
      <c r="D939" t="n">
        <v>6301417</v>
      </c>
      <c r="E939">
        <f>IF(A939="","",COUNTIFS($A$2:$A$20000,A939,$B$2:$B$20000,"&gt;"&amp;B939)+1)</f>
        <v/>
      </c>
    </row>
    <row r="940">
      <c r="A940" t="inlineStr">
        <is>
          <t>샘플종목09</t>
        </is>
      </c>
      <c r="B940" s="3" t="n">
        <v>45961</v>
      </c>
      <c r="C940" t="n">
        <v>141105</v>
      </c>
      <c r="D940" t="n">
        <v>1176859</v>
      </c>
      <c r="E940">
        <f>IF(A940="","",COUNTIFS($A$2:$A$20000,A940,$B$2:$B$20000,"&gt;"&amp;B940)+1)</f>
        <v/>
      </c>
    </row>
    <row r="941">
      <c r="A941" t="inlineStr">
        <is>
          <t>샘플종목09</t>
        </is>
      </c>
      <c r="B941" s="3" t="n">
        <v>45968</v>
      </c>
      <c r="C941" t="n">
        <v>136850</v>
      </c>
      <c r="D941" t="n">
        <v>6767209</v>
      </c>
      <c r="E941">
        <f>IF(A941="","",COUNTIFS($A$2:$A$20000,A941,$B$2:$B$20000,"&gt;"&amp;B941)+1)</f>
        <v/>
      </c>
    </row>
    <row r="942">
      <c r="A942" t="inlineStr">
        <is>
          <t>샘플종목09</t>
        </is>
      </c>
      <c r="B942" s="3" t="n">
        <v>45975</v>
      </c>
      <c r="C942" t="n">
        <v>144688</v>
      </c>
      <c r="D942" t="n">
        <v>1609230</v>
      </c>
      <c r="E942">
        <f>IF(A942="","",COUNTIFS($A$2:$A$20000,A942,$B$2:$B$20000,"&gt;"&amp;B942)+1)</f>
        <v/>
      </c>
    </row>
    <row r="943">
      <c r="A943" t="inlineStr">
        <is>
          <t>샘플종목09</t>
        </is>
      </c>
      <c r="B943" s="3" t="n">
        <v>45982</v>
      </c>
      <c r="C943" t="n">
        <v>140721</v>
      </c>
      <c r="D943" t="n">
        <v>4414994</v>
      </c>
      <c r="E943">
        <f>IF(A943="","",COUNTIFS($A$2:$A$20000,A943,$B$2:$B$20000,"&gt;"&amp;B943)+1)</f>
        <v/>
      </c>
    </row>
    <row r="944">
      <c r="A944" t="inlineStr">
        <is>
          <t>샘플종목09</t>
        </is>
      </c>
      <c r="B944" s="3" t="n">
        <v>45989</v>
      </c>
      <c r="C944" t="n">
        <v>139286</v>
      </c>
      <c r="D944" t="n">
        <v>1606312</v>
      </c>
      <c r="E944">
        <f>IF(A944="","",COUNTIFS($A$2:$A$20000,A944,$B$2:$B$20000,"&gt;"&amp;B944)+1)</f>
        <v/>
      </c>
    </row>
    <row r="945">
      <c r="A945" t="inlineStr">
        <is>
          <t>샘플종목09</t>
        </is>
      </c>
      <c r="B945" s="3" t="n">
        <v>45996</v>
      </c>
      <c r="C945" t="n">
        <v>143252</v>
      </c>
      <c r="D945" t="n">
        <v>8597676</v>
      </c>
      <c r="E945">
        <f>IF(A945="","",COUNTIFS($A$2:$A$20000,A945,$B$2:$B$20000,"&gt;"&amp;B945)+1)</f>
        <v/>
      </c>
    </row>
    <row r="946">
      <c r="A946" t="inlineStr">
        <is>
          <t>샘플종목09</t>
        </is>
      </c>
      <c r="B946" s="3" t="n">
        <v>46003</v>
      </c>
      <c r="C946" t="n">
        <v>138646</v>
      </c>
      <c r="D946" t="n">
        <v>2779798</v>
      </c>
      <c r="E946">
        <f>IF(A946="","",COUNTIFS($A$2:$A$20000,A946,$B$2:$B$20000,"&gt;"&amp;B946)+1)</f>
        <v/>
      </c>
    </row>
    <row r="947">
      <c r="A947" t="inlineStr">
        <is>
          <t>샘플종목09</t>
        </is>
      </c>
      <c r="B947" s="3" t="n">
        <v>46010</v>
      </c>
      <c r="C947" t="n">
        <v>142687</v>
      </c>
      <c r="D947" t="n">
        <v>6322855</v>
      </c>
      <c r="E947">
        <f>IF(A947="","",COUNTIFS($A$2:$A$20000,A947,$B$2:$B$20000,"&gt;"&amp;B947)+1)</f>
        <v/>
      </c>
    </row>
    <row r="948">
      <c r="A948" t="inlineStr">
        <is>
          <t>샘플종목09</t>
        </is>
      </c>
      <c r="B948" s="3" t="n">
        <v>46017</v>
      </c>
      <c r="C948" t="n">
        <v>160237</v>
      </c>
      <c r="D948" t="n">
        <v>3819875</v>
      </c>
      <c r="E948">
        <f>IF(A948="","",COUNTIFS($A$2:$A$20000,A948,$B$2:$B$20000,"&gt;"&amp;B948)+1)</f>
        <v/>
      </c>
    </row>
    <row r="949">
      <c r="A949" t="inlineStr">
        <is>
          <t>샘플종목09</t>
        </is>
      </c>
      <c r="B949" s="3" t="n">
        <v>46024</v>
      </c>
      <c r="C949" t="n">
        <v>156322</v>
      </c>
      <c r="D949" t="n">
        <v>2987761</v>
      </c>
      <c r="E949">
        <f>IF(A949="","",COUNTIFS($A$2:$A$20000,A949,$B$2:$B$20000,"&gt;"&amp;B949)+1)</f>
        <v/>
      </c>
    </row>
    <row r="950">
      <c r="A950" t="inlineStr">
        <is>
          <t>샘플종목09</t>
        </is>
      </c>
      <c r="B950" s="3" t="n">
        <v>46031</v>
      </c>
      <c r="C950" t="n">
        <v>161301</v>
      </c>
      <c r="D950" t="n">
        <v>6005763</v>
      </c>
      <c r="E950">
        <f>IF(A950="","",COUNTIFS($A$2:$A$20000,A950,$B$2:$B$20000,"&gt;"&amp;B950)+1)</f>
        <v/>
      </c>
    </row>
    <row r="951">
      <c r="A951" t="inlineStr">
        <is>
          <t>샘플종목09</t>
        </is>
      </c>
      <c r="B951" s="3" t="n">
        <v>46038</v>
      </c>
      <c r="C951" t="n">
        <v>162815</v>
      </c>
      <c r="D951" t="n">
        <v>1094499</v>
      </c>
      <c r="E951">
        <f>IF(A951="","",COUNTIFS($A$2:$A$20000,A951,$B$2:$B$20000,"&gt;"&amp;B951)+1)</f>
        <v/>
      </c>
    </row>
    <row r="952">
      <c r="A952" t="inlineStr">
        <is>
          <t>샘플종목09</t>
        </is>
      </c>
      <c r="B952" s="3" t="n">
        <v>46045</v>
      </c>
      <c r="C952" t="n">
        <v>174704</v>
      </c>
      <c r="D952" t="n">
        <v>889238</v>
      </c>
      <c r="E952">
        <f>IF(A952="","",COUNTIFS($A$2:$A$20000,A952,$B$2:$B$20000,"&gt;"&amp;B952)+1)</f>
        <v/>
      </c>
    </row>
    <row r="953">
      <c r="A953" t="inlineStr">
        <is>
          <t>샘플종목09</t>
        </is>
      </c>
      <c r="B953" s="3" t="n">
        <v>46052</v>
      </c>
      <c r="C953" t="n">
        <v>166363</v>
      </c>
      <c r="D953" t="n">
        <v>4426898</v>
      </c>
      <c r="E953">
        <f>IF(A953="","",COUNTIFS($A$2:$A$20000,A953,$B$2:$B$20000,"&gt;"&amp;B953)+1)</f>
        <v/>
      </c>
    </row>
    <row r="954">
      <c r="A954" t="inlineStr">
        <is>
          <t>샘플종목09</t>
        </is>
      </c>
      <c r="B954" s="3" t="n">
        <v>46059</v>
      </c>
      <c r="C954" t="n">
        <v>169067</v>
      </c>
      <c r="D954" t="n">
        <v>8210525</v>
      </c>
      <c r="E954">
        <f>IF(A954="","",COUNTIFS($A$2:$A$20000,A954,$B$2:$B$20000,"&gt;"&amp;B954)+1)</f>
        <v/>
      </c>
    </row>
    <row r="955">
      <c r="A955" t="inlineStr">
        <is>
          <t>샘플종목09</t>
        </is>
      </c>
      <c r="B955" s="3" t="n">
        <v>46066</v>
      </c>
      <c r="C955" t="n">
        <v>159046</v>
      </c>
      <c r="D955" t="n">
        <v>1035628</v>
      </c>
      <c r="E955">
        <f>IF(A955="","",COUNTIFS($A$2:$A$20000,A955,$B$2:$B$20000,"&gt;"&amp;B955)+1)</f>
        <v/>
      </c>
    </row>
    <row r="956">
      <c r="A956" t="inlineStr">
        <is>
          <t>샘플종목09</t>
        </is>
      </c>
      <c r="B956" s="3" t="n">
        <v>46073</v>
      </c>
      <c r="C956" t="n">
        <v>163843</v>
      </c>
      <c r="D956" t="n">
        <v>196930</v>
      </c>
      <c r="E956">
        <f>IF(A956="","",COUNTIFS($A$2:$A$20000,A956,$B$2:$B$20000,"&gt;"&amp;B956)+1)</f>
        <v/>
      </c>
    </row>
    <row r="957">
      <c r="A957" t="inlineStr">
        <is>
          <t>샘플종목09</t>
        </is>
      </c>
      <c r="B957" s="3" t="n">
        <v>46080</v>
      </c>
      <c r="C957" t="n">
        <v>167569</v>
      </c>
      <c r="D957" t="n">
        <v>3437855</v>
      </c>
      <c r="E957">
        <f>IF(A957="","",COUNTIFS($A$2:$A$20000,A957,$B$2:$B$20000,"&gt;"&amp;B957)+1)</f>
        <v/>
      </c>
    </row>
    <row r="958">
      <c r="A958" t="inlineStr">
        <is>
          <t>샘플종목09</t>
        </is>
      </c>
      <c r="B958" s="3" t="n">
        <v>46087</v>
      </c>
      <c r="C958" t="n">
        <v>165401</v>
      </c>
      <c r="D958" t="n">
        <v>7503452</v>
      </c>
      <c r="E958">
        <f>IF(A958="","",COUNTIFS($A$2:$A$20000,A958,$B$2:$B$20000,"&gt;"&amp;B958)+1)</f>
        <v/>
      </c>
    </row>
    <row r="959">
      <c r="A959" t="inlineStr">
        <is>
          <t>샘플종목09</t>
        </is>
      </c>
      <c r="B959" s="3" t="n">
        <v>46094</v>
      </c>
      <c r="C959" t="n">
        <v>160735</v>
      </c>
      <c r="D959" t="n">
        <v>1868653</v>
      </c>
      <c r="E959">
        <f>IF(A959="","",COUNTIFS($A$2:$A$20000,A959,$B$2:$B$20000,"&gt;"&amp;B959)+1)</f>
        <v/>
      </c>
    </row>
    <row r="960">
      <c r="A960" t="inlineStr">
        <is>
          <t>샘플종목09</t>
        </is>
      </c>
      <c r="B960" s="3" t="n">
        <v>46101</v>
      </c>
      <c r="C960" t="n">
        <v>154963</v>
      </c>
      <c r="D960" t="n">
        <v>6643921</v>
      </c>
      <c r="E960">
        <f>IF(A960="","",COUNTIFS($A$2:$A$20000,A960,$B$2:$B$20000,"&gt;"&amp;B960)+1)</f>
        <v/>
      </c>
    </row>
    <row r="961">
      <c r="A961" t="inlineStr">
        <is>
          <t>샘플종목09</t>
        </is>
      </c>
      <c r="B961" s="3" t="n">
        <v>46108</v>
      </c>
      <c r="C961" t="n">
        <v>156365</v>
      </c>
      <c r="D961" t="n">
        <v>2182783</v>
      </c>
      <c r="E961">
        <f>IF(A961="","",COUNTIFS($A$2:$A$20000,A961,$B$2:$B$20000,"&gt;"&amp;B961)+1)</f>
        <v/>
      </c>
    </row>
    <row r="962">
      <c r="A962" t="inlineStr">
        <is>
          <t>샘플종목09</t>
        </is>
      </c>
      <c r="B962" s="3" t="n">
        <v>46115</v>
      </c>
      <c r="C962" t="n">
        <v>152357</v>
      </c>
      <c r="D962" t="n">
        <v>7505208</v>
      </c>
      <c r="E962">
        <f>IF(A962="","",COUNTIFS($A$2:$A$20000,A962,$B$2:$B$20000,"&gt;"&amp;B962)+1)</f>
        <v/>
      </c>
    </row>
    <row r="963">
      <c r="A963" t="inlineStr">
        <is>
          <t>샘플종목09</t>
        </is>
      </c>
      <c r="B963" s="3" t="n">
        <v>46122</v>
      </c>
      <c r="C963" t="n">
        <v>156873</v>
      </c>
      <c r="D963" t="n">
        <v>4100652</v>
      </c>
      <c r="E963">
        <f>IF(A963="","",COUNTIFS($A$2:$A$20000,A963,$B$2:$B$20000,"&gt;"&amp;B963)+1)</f>
        <v/>
      </c>
    </row>
    <row r="964">
      <c r="A964" t="inlineStr">
        <is>
          <t>샘플종목09</t>
        </is>
      </c>
      <c r="B964" s="3" t="n">
        <v>46129</v>
      </c>
      <c r="C964" t="n">
        <v>162108</v>
      </c>
      <c r="D964" t="n">
        <v>311628</v>
      </c>
      <c r="E964">
        <f>IF(A964="","",COUNTIFS($A$2:$A$20000,A964,$B$2:$B$20000,"&gt;"&amp;B964)+1)</f>
        <v/>
      </c>
    </row>
    <row r="965">
      <c r="A965" t="inlineStr">
        <is>
          <t>샘플종목09</t>
        </is>
      </c>
      <c r="B965" s="3" t="n">
        <v>46136</v>
      </c>
      <c r="C965" t="n">
        <v>148988</v>
      </c>
      <c r="D965" t="n">
        <v>7950029</v>
      </c>
      <c r="E965">
        <f>IF(A965="","",COUNTIFS($A$2:$A$20000,A965,$B$2:$B$20000,"&gt;"&amp;B965)+1)</f>
        <v/>
      </c>
    </row>
    <row r="966">
      <c r="A966" t="inlineStr">
        <is>
          <t>샘플종목09</t>
        </is>
      </c>
      <c r="B966" s="3" t="n">
        <v>46143</v>
      </c>
      <c r="C966" t="n">
        <v>148483</v>
      </c>
      <c r="D966" t="n">
        <v>704190</v>
      </c>
      <c r="E966">
        <f>IF(A966="","",COUNTIFS($A$2:$A$20000,A966,$B$2:$B$20000,"&gt;"&amp;B966)+1)</f>
        <v/>
      </c>
    </row>
    <row r="967">
      <c r="A967" t="inlineStr">
        <is>
          <t>샘플종목09</t>
        </is>
      </c>
      <c r="B967" s="3" t="n">
        <v>46150</v>
      </c>
      <c r="C967" t="n">
        <v>144950</v>
      </c>
      <c r="D967" t="n">
        <v>2733287</v>
      </c>
      <c r="E967">
        <f>IF(A967="","",COUNTIFS($A$2:$A$20000,A967,$B$2:$B$20000,"&gt;"&amp;B967)+1)</f>
        <v/>
      </c>
    </row>
    <row r="968">
      <c r="A968" t="inlineStr">
        <is>
          <t>샘플종목09</t>
        </is>
      </c>
      <c r="B968" s="3" t="n">
        <v>46157</v>
      </c>
      <c r="C968" t="n">
        <v>148917</v>
      </c>
      <c r="D968" t="n">
        <v>6359502</v>
      </c>
      <c r="E968">
        <f>IF(A968="","",COUNTIFS($A$2:$A$20000,A968,$B$2:$B$20000,"&gt;"&amp;B968)+1)</f>
        <v/>
      </c>
    </row>
    <row r="969">
      <c r="A969" t="inlineStr">
        <is>
          <t>샘플종목09</t>
        </is>
      </c>
      <c r="B969" s="3" t="n">
        <v>46164</v>
      </c>
      <c r="C969" t="n">
        <v>147369</v>
      </c>
      <c r="D969" t="n">
        <v>2444830</v>
      </c>
      <c r="E969">
        <f>IF(A969="","",COUNTIFS($A$2:$A$20000,A969,$B$2:$B$20000,"&gt;"&amp;B969)+1)</f>
        <v/>
      </c>
    </row>
    <row r="970">
      <c r="A970" t="inlineStr">
        <is>
          <t>샘플종목09</t>
        </is>
      </c>
      <c r="B970" s="3" t="n">
        <v>46171</v>
      </c>
      <c r="C970" t="n">
        <v>150290</v>
      </c>
      <c r="D970" t="n">
        <v>6560555</v>
      </c>
      <c r="E970">
        <f>IF(A970="","",COUNTIFS($A$2:$A$20000,A970,$B$2:$B$20000,"&gt;"&amp;B970)+1)</f>
        <v/>
      </c>
    </row>
    <row r="971">
      <c r="A971" t="inlineStr">
        <is>
          <t>샘플종목09</t>
        </is>
      </c>
      <c r="B971" s="3" t="n">
        <v>46178</v>
      </c>
      <c r="C971" t="n">
        <v>135695</v>
      </c>
      <c r="D971" t="n">
        <v>464671</v>
      </c>
      <c r="E971">
        <f>IF(A971="","",COUNTIFS($A$2:$A$20000,A971,$B$2:$B$20000,"&gt;"&amp;B971)+1)</f>
        <v/>
      </c>
    </row>
    <row r="972">
      <c r="A972" t="inlineStr">
        <is>
          <t>샘플종목09</t>
        </is>
      </c>
      <c r="B972" s="3" t="n">
        <v>46185</v>
      </c>
      <c r="C972" t="n">
        <v>131845</v>
      </c>
      <c r="D972" t="n">
        <v>5800546</v>
      </c>
      <c r="E972">
        <f>IF(A972="","",COUNTIFS($A$2:$A$20000,A972,$B$2:$B$20000,"&gt;"&amp;B972)+1)</f>
        <v/>
      </c>
    </row>
    <row r="973">
      <c r="A973" t="inlineStr">
        <is>
          <t>샘플종목09</t>
        </is>
      </c>
      <c r="B973" s="3" t="n">
        <v>46192</v>
      </c>
      <c r="C973" t="n">
        <v>127931</v>
      </c>
      <c r="D973" t="n">
        <v>5511752</v>
      </c>
      <c r="E973">
        <f>IF(A973="","",COUNTIFS($A$2:$A$20000,A973,$B$2:$B$20000,"&gt;"&amp;B973)+1)</f>
        <v/>
      </c>
    </row>
    <row r="974">
      <c r="A974" t="inlineStr">
        <is>
          <t>샘플종목09</t>
        </is>
      </c>
      <c r="B974" s="3" t="n">
        <v>46199</v>
      </c>
      <c r="C974" t="n">
        <v>130770</v>
      </c>
      <c r="D974" t="n">
        <v>6240999</v>
      </c>
      <c r="E974">
        <f>IF(A974="","",COUNTIFS($A$2:$A$20000,A974,$B$2:$B$20000,"&gt;"&amp;B974)+1)</f>
        <v/>
      </c>
    </row>
    <row r="975">
      <c r="A975" t="inlineStr">
        <is>
          <t>샘플종목09</t>
        </is>
      </c>
      <c r="B975" s="3" t="n">
        <v>46206</v>
      </c>
      <c r="C975" t="n">
        <v>125689</v>
      </c>
      <c r="D975" t="n">
        <v>2495247</v>
      </c>
      <c r="E975">
        <f>IF(A975="","",COUNTIFS($A$2:$A$20000,A975,$B$2:$B$20000,"&gt;"&amp;B975)+1)</f>
        <v/>
      </c>
    </row>
    <row r="976">
      <c r="A976" t="inlineStr">
        <is>
          <t>샘플종목09</t>
        </is>
      </c>
      <c r="B976" s="3" t="n">
        <v>46213</v>
      </c>
      <c r="C976" t="n">
        <v>121898</v>
      </c>
      <c r="D976" t="n">
        <v>3123919</v>
      </c>
      <c r="E976">
        <f>IF(A976="","",COUNTIFS($A$2:$A$20000,A976,$B$2:$B$20000,"&gt;"&amp;B976)+1)</f>
        <v/>
      </c>
    </row>
    <row r="977">
      <c r="A977" t="inlineStr">
        <is>
          <t>샘플종목09</t>
        </is>
      </c>
      <c r="B977" s="3" t="n">
        <v>46220</v>
      </c>
      <c r="C977" t="n">
        <v>129067</v>
      </c>
      <c r="D977" t="n">
        <v>7672860</v>
      </c>
      <c r="E977">
        <f>IF(A977="","",COUNTIFS($A$2:$A$20000,A977,$B$2:$B$20000,"&gt;"&amp;B977)+1)</f>
        <v/>
      </c>
    </row>
    <row r="978">
      <c r="A978" t="inlineStr">
        <is>
          <t>샘플종목09</t>
        </is>
      </c>
      <c r="B978" s="3" t="n">
        <v>46227</v>
      </c>
      <c r="C978" t="n">
        <v>126600</v>
      </c>
      <c r="D978" t="n">
        <v>2606381</v>
      </c>
      <c r="E978">
        <f>IF(A978="","",COUNTIFS($A$2:$A$20000,A978,$B$2:$B$20000,"&gt;"&amp;B978)+1)</f>
        <v/>
      </c>
    </row>
    <row r="979">
      <c r="A979" t="inlineStr">
        <is>
          <t>샘플종목09</t>
        </is>
      </c>
      <c r="B979" s="3" t="n">
        <v>46234</v>
      </c>
      <c r="C979" t="n">
        <v>125921</v>
      </c>
      <c r="D979" t="n">
        <v>4569396</v>
      </c>
      <c r="E979">
        <f>IF(A979="","",COUNTIFS($A$2:$A$20000,A979,$B$2:$B$20000,"&gt;"&amp;B979)+1)</f>
        <v/>
      </c>
    </row>
    <row r="980">
      <c r="A980" t="inlineStr">
        <is>
          <t>샘플종목09</t>
        </is>
      </c>
      <c r="B980" s="3" t="n">
        <v>46241</v>
      </c>
      <c r="C980" t="n">
        <v>122870</v>
      </c>
      <c r="D980" t="n">
        <v>526477</v>
      </c>
      <c r="E980">
        <f>IF(A980="","",COUNTIFS($A$2:$A$20000,A980,$B$2:$B$20000,"&gt;"&amp;B980)+1)</f>
        <v/>
      </c>
    </row>
    <row r="981">
      <c r="A981" t="inlineStr">
        <is>
          <t>샘플종목09</t>
        </is>
      </c>
      <c r="B981" s="3" t="n">
        <v>46248</v>
      </c>
      <c r="C981" t="n">
        <v>124934</v>
      </c>
      <c r="D981" t="n">
        <v>4648422</v>
      </c>
      <c r="E981">
        <f>IF(A981="","",COUNTIFS($A$2:$A$20000,A981,$B$2:$B$20000,"&gt;"&amp;B981)+1)</f>
        <v/>
      </c>
    </row>
    <row r="982">
      <c r="A982" t="inlineStr">
        <is>
          <t>샘플종목09</t>
        </is>
      </c>
      <c r="B982" s="3" t="n">
        <v>46255</v>
      </c>
      <c r="C982" t="n">
        <v>121402</v>
      </c>
      <c r="D982" t="n">
        <v>2915180</v>
      </c>
      <c r="E982">
        <f>IF(A982="","",COUNTIFS($A$2:$A$20000,A982,$B$2:$B$20000,"&gt;"&amp;B982)+1)</f>
        <v/>
      </c>
    </row>
    <row r="983">
      <c r="A983" t="inlineStr">
        <is>
          <t>샘플종목09</t>
        </is>
      </c>
      <c r="B983" s="3" t="n">
        <v>46262</v>
      </c>
      <c r="C983" t="n">
        <v>119888</v>
      </c>
      <c r="D983" t="n">
        <v>4473352</v>
      </c>
      <c r="E983">
        <f>IF(A983="","",COUNTIFS($A$2:$A$20000,A983,$B$2:$B$20000,"&gt;"&amp;B983)+1)</f>
        <v/>
      </c>
    </row>
    <row r="984">
      <c r="A984" t="inlineStr">
        <is>
          <t>샘플종목09</t>
        </is>
      </c>
      <c r="B984" s="3" t="n">
        <v>46269</v>
      </c>
      <c r="C984" t="n">
        <v>115938</v>
      </c>
      <c r="D984" t="n">
        <v>8193938</v>
      </c>
      <c r="E984">
        <f>IF(A984="","",COUNTIFS($A$2:$A$20000,A984,$B$2:$B$20000,"&gt;"&amp;B984)+1)</f>
        <v/>
      </c>
    </row>
    <row r="985">
      <c r="A985" t="inlineStr">
        <is>
          <t>샘플종목09</t>
        </is>
      </c>
      <c r="B985" s="3" t="n">
        <v>46276</v>
      </c>
      <c r="C985" t="n">
        <v>116399</v>
      </c>
      <c r="D985" t="n">
        <v>2015424</v>
      </c>
      <c r="E985">
        <f>IF(A985="","",COUNTIFS($A$2:$A$20000,A985,$B$2:$B$20000,"&gt;"&amp;B985)+1)</f>
        <v/>
      </c>
    </row>
    <row r="986">
      <c r="A986" t="inlineStr">
        <is>
          <t>샘플종목09</t>
        </is>
      </c>
      <c r="B986" s="3" t="n">
        <v>46283</v>
      </c>
      <c r="C986" t="n">
        <v>119821</v>
      </c>
      <c r="D986" t="n">
        <v>3642652</v>
      </c>
      <c r="E986">
        <f>IF(A986="","",COUNTIFS($A$2:$A$20000,A986,$B$2:$B$20000,"&gt;"&amp;B986)+1)</f>
        <v/>
      </c>
    </row>
    <row r="987">
      <c r="A987" t="inlineStr">
        <is>
          <t>샘플종목09</t>
        </is>
      </c>
      <c r="B987" s="3" t="n">
        <v>46290</v>
      </c>
      <c r="C987" t="n">
        <v>124785</v>
      </c>
      <c r="D987" t="n">
        <v>9494276</v>
      </c>
      <c r="E987">
        <f>IF(A987="","",COUNTIFS($A$2:$A$20000,A987,$B$2:$B$20000,"&gt;"&amp;B987)+1)</f>
        <v/>
      </c>
    </row>
    <row r="988">
      <c r="A988" t="inlineStr">
        <is>
          <t>샘플종목09</t>
        </is>
      </c>
      <c r="B988" s="3" t="n">
        <v>46297</v>
      </c>
      <c r="C988" t="n">
        <v>120977</v>
      </c>
      <c r="D988" t="n">
        <v>4425051</v>
      </c>
      <c r="E988">
        <f>IF(A988="","",COUNTIFS($A$2:$A$20000,A988,$B$2:$B$20000,"&gt;"&amp;B988)+1)</f>
        <v/>
      </c>
    </row>
    <row r="989">
      <c r="A989" t="inlineStr">
        <is>
          <t>샘플종목09</t>
        </is>
      </c>
      <c r="B989" s="3" t="n">
        <v>46304</v>
      </c>
      <c r="C989" t="n">
        <v>121780</v>
      </c>
      <c r="D989" t="n">
        <v>3482652</v>
      </c>
      <c r="E989">
        <f>IF(A989="","",COUNTIFS($A$2:$A$20000,A989,$B$2:$B$20000,"&gt;"&amp;B989)+1)</f>
        <v/>
      </c>
    </row>
    <row r="990">
      <c r="A990" t="inlineStr">
        <is>
          <t>샘플종목09</t>
        </is>
      </c>
      <c r="B990" s="3" t="n">
        <v>46311</v>
      </c>
      <c r="C990" t="n">
        <v>127117</v>
      </c>
      <c r="D990" t="n">
        <v>4487624</v>
      </c>
      <c r="E990">
        <f>IF(A990="","",COUNTIFS($A$2:$A$20000,A990,$B$2:$B$20000,"&gt;"&amp;B990)+1)</f>
        <v/>
      </c>
    </row>
    <row r="991">
      <c r="A991" t="inlineStr">
        <is>
          <t>샘플종목09</t>
        </is>
      </c>
      <c r="B991" s="3" t="n">
        <v>46318</v>
      </c>
      <c r="C991" t="n">
        <v>126381</v>
      </c>
      <c r="D991" t="n">
        <v>4104302</v>
      </c>
      <c r="E991">
        <f>IF(A991="","",COUNTIFS($A$2:$A$20000,A991,$B$2:$B$20000,"&gt;"&amp;B991)+1)</f>
        <v/>
      </c>
    </row>
    <row r="992">
      <c r="A992" t="inlineStr">
        <is>
          <t>샘플종목10</t>
        </is>
      </c>
      <c r="B992" s="3" t="n">
        <v>45555</v>
      </c>
      <c r="C992" t="n">
        <v>190775</v>
      </c>
      <c r="D992" t="n">
        <v>2821158</v>
      </c>
      <c r="E992">
        <f>IF(A992="","",COUNTIFS($A$2:$A$20000,A992,$B$2:$B$20000,"&gt;"&amp;B992)+1)</f>
        <v/>
      </c>
    </row>
    <row r="993">
      <c r="A993" t="inlineStr">
        <is>
          <t>샘플종목10</t>
        </is>
      </c>
      <c r="B993" s="3" t="n">
        <v>45562</v>
      </c>
      <c r="C993" t="n">
        <v>194786</v>
      </c>
      <c r="D993" t="n">
        <v>1064394</v>
      </c>
      <c r="E993">
        <f>IF(A993="","",COUNTIFS($A$2:$A$20000,A993,$B$2:$B$20000,"&gt;"&amp;B993)+1)</f>
        <v/>
      </c>
    </row>
    <row r="994">
      <c r="A994" t="inlineStr">
        <is>
          <t>샘플종목10</t>
        </is>
      </c>
      <c r="B994" s="3" t="n">
        <v>45569</v>
      </c>
      <c r="C994" t="n">
        <v>205855</v>
      </c>
      <c r="D994" t="n">
        <v>2521810</v>
      </c>
      <c r="E994">
        <f>IF(A994="","",COUNTIFS($A$2:$A$20000,A994,$B$2:$B$20000,"&gt;"&amp;B994)+1)</f>
        <v/>
      </c>
    </row>
    <row r="995">
      <c r="A995" t="inlineStr">
        <is>
          <t>샘플종목10</t>
        </is>
      </c>
      <c r="B995" s="3" t="n">
        <v>45576</v>
      </c>
      <c r="C995" t="n">
        <v>186429</v>
      </c>
      <c r="D995" t="n">
        <v>368914</v>
      </c>
      <c r="E995">
        <f>IF(A995="","",COUNTIFS($A$2:$A$20000,A995,$B$2:$B$20000,"&gt;"&amp;B995)+1)</f>
        <v/>
      </c>
    </row>
    <row r="996">
      <c r="A996" t="inlineStr">
        <is>
          <t>샘플종목10</t>
        </is>
      </c>
      <c r="B996" s="3" t="n">
        <v>45583</v>
      </c>
      <c r="C996" t="n">
        <v>178504</v>
      </c>
      <c r="D996" t="n">
        <v>8669540</v>
      </c>
      <c r="E996">
        <f>IF(A996="","",COUNTIFS($A$2:$A$20000,A996,$B$2:$B$20000,"&gt;"&amp;B996)+1)</f>
        <v/>
      </c>
    </row>
    <row r="997">
      <c r="A997" t="inlineStr">
        <is>
          <t>샘플종목10</t>
        </is>
      </c>
      <c r="B997" s="3" t="n">
        <v>45590</v>
      </c>
      <c r="C997" t="n">
        <v>181886</v>
      </c>
      <c r="D997" t="n">
        <v>2451216</v>
      </c>
      <c r="E997">
        <f>IF(A997="","",COUNTIFS($A$2:$A$20000,A997,$B$2:$B$20000,"&gt;"&amp;B997)+1)</f>
        <v/>
      </c>
    </row>
    <row r="998">
      <c r="A998" t="inlineStr">
        <is>
          <t>샘플종목10</t>
        </is>
      </c>
      <c r="B998" s="3" t="n">
        <v>45597</v>
      </c>
      <c r="C998" t="n">
        <v>170219</v>
      </c>
      <c r="D998" t="n">
        <v>8934658</v>
      </c>
      <c r="E998">
        <f>IF(A998="","",COUNTIFS($A$2:$A$20000,A998,$B$2:$B$20000,"&gt;"&amp;B998)+1)</f>
        <v/>
      </c>
    </row>
    <row r="999">
      <c r="A999" t="inlineStr">
        <is>
          <t>샘플종목10</t>
        </is>
      </c>
      <c r="B999" s="3" t="n">
        <v>45604</v>
      </c>
      <c r="C999" t="n">
        <v>174773</v>
      </c>
      <c r="D999" t="n">
        <v>4904901</v>
      </c>
      <c r="E999">
        <f>IF(A999="","",COUNTIFS($A$2:$A$20000,A999,$B$2:$B$20000,"&gt;"&amp;B999)+1)</f>
        <v/>
      </c>
    </row>
    <row r="1000">
      <c r="A1000" t="inlineStr">
        <is>
          <t>샘플종목10</t>
        </is>
      </c>
      <c r="B1000" s="3" t="n">
        <v>45611</v>
      </c>
      <c r="C1000" t="n">
        <v>178055</v>
      </c>
      <c r="D1000" t="n">
        <v>6960883</v>
      </c>
      <c r="E1000">
        <f>IF(A1000="","",COUNTIFS($A$2:$A$20000,A1000,$B$2:$B$20000,"&gt;"&amp;B1000)+1)</f>
        <v/>
      </c>
    </row>
    <row r="1001">
      <c r="A1001" t="inlineStr">
        <is>
          <t>샘플종목10</t>
        </is>
      </c>
      <c r="B1001" s="3" t="n">
        <v>45618</v>
      </c>
      <c r="C1001" t="n">
        <v>185414</v>
      </c>
      <c r="D1001" t="n">
        <v>3761877</v>
      </c>
      <c r="E1001">
        <f>IF(A1001="","",COUNTIFS($A$2:$A$20000,A1001,$B$2:$B$20000,"&gt;"&amp;B1001)+1)</f>
        <v/>
      </c>
    </row>
    <row r="1002">
      <c r="A1002" t="inlineStr">
        <is>
          <t>샘플종목10</t>
        </is>
      </c>
      <c r="B1002" s="3" t="n">
        <v>45625</v>
      </c>
      <c r="C1002" t="n">
        <v>184999</v>
      </c>
      <c r="D1002" t="n">
        <v>3122077</v>
      </c>
      <c r="E1002">
        <f>IF(A1002="","",COUNTIFS($A$2:$A$20000,A1002,$B$2:$B$20000,"&gt;"&amp;B1002)+1)</f>
        <v/>
      </c>
    </row>
    <row r="1003">
      <c r="A1003" t="inlineStr">
        <is>
          <t>샘플종목10</t>
        </is>
      </c>
      <c r="B1003" s="3" t="n">
        <v>45632</v>
      </c>
      <c r="C1003" t="n">
        <v>189974</v>
      </c>
      <c r="D1003" t="n">
        <v>8851880</v>
      </c>
      <c r="E1003">
        <f>IF(A1003="","",COUNTIFS($A$2:$A$20000,A1003,$B$2:$B$20000,"&gt;"&amp;B1003)+1)</f>
        <v/>
      </c>
    </row>
    <row r="1004">
      <c r="A1004" t="inlineStr">
        <is>
          <t>샘플종목10</t>
        </is>
      </c>
      <c r="B1004" s="3" t="n">
        <v>45639</v>
      </c>
      <c r="C1004" t="n">
        <v>191889</v>
      </c>
      <c r="D1004" t="n">
        <v>3400271</v>
      </c>
      <c r="E1004">
        <f>IF(A1004="","",COUNTIFS($A$2:$A$20000,A1004,$B$2:$B$20000,"&gt;"&amp;B1004)+1)</f>
        <v/>
      </c>
    </row>
    <row r="1005">
      <c r="A1005" t="inlineStr">
        <is>
          <t>샘플종목10</t>
        </is>
      </c>
      <c r="B1005" s="3" t="n">
        <v>45646</v>
      </c>
      <c r="C1005" t="n">
        <v>180268</v>
      </c>
      <c r="D1005" t="n">
        <v>1429874</v>
      </c>
      <c r="E1005">
        <f>IF(A1005="","",COUNTIFS($A$2:$A$20000,A1005,$B$2:$B$20000,"&gt;"&amp;B1005)+1)</f>
        <v/>
      </c>
    </row>
    <row r="1006">
      <c r="A1006" t="inlineStr">
        <is>
          <t>샘플종목10</t>
        </is>
      </c>
      <c r="B1006" s="3" t="n">
        <v>45653</v>
      </c>
      <c r="C1006" t="n">
        <v>187832</v>
      </c>
      <c r="D1006" t="n">
        <v>8412780</v>
      </c>
      <c r="E1006">
        <f>IF(A1006="","",COUNTIFS($A$2:$A$20000,A1006,$B$2:$B$20000,"&gt;"&amp;B1006)+1)</f>
        <v/>
      </c>
    </row>
    <row r="1007">
      <c r="A1007" t="inlineStr">
        <is>
          <t>샘플종목10</t>
        </is>
      </c>
      <c r="B1007" s="3" t="n">
        <v>45660</v>
      </c>
      <c r="C1007" t="n">
        <v>174344</v>
      </c>
      <c r="D1007" t="n">
        <v>4695085</v>
      </c>
      <c r="E1007">
        <f>IF(A1007="","",COUNTIFS($A$2:$A$20000,A1007,$B$2:$B$20000,"&gt;"&amp;B1007)+1)</f>
        <v/>
      </c>
    </row>
    <row r="1008">
      <c r="A1008" t="inlineStr">
        <is>
          <t>샘플종목10</t>
        </is>
      </c>
      <c r="B1008" s="3" t="n">
        <v>45667</v>
      </c>
      <c r="C1008" t="n">
        <v>176405</v>
      </c>
      <c r="D1008" t="n">
        <v>3324243</v>
      </c>
      <c r="E1008">
        <f>IF(A1008="","",COUNTIFS($A$2:$A$20000,A1008,$B$2:$B$20000,"&gt;"&amp;B1008)+1)</f>
        <v/>
      </c>
    </row>
    <row r="1009">
      <c r="A1009" t="inlineStr">
        <is>
          <t>샘플종목10</t>
        </is>
      </c>
      <c r="B1009" s="3" t="n">
        <v>45674</v>
      </c>
      <c r="C1009" t="n">
        <v>180175</v>
      </c>
      <c r="D1009" t="n">
        <v>9879994</v>
      </c>
      <c r="E1009">
        <f>IF(A1009="","",COUNTIFS($A$2:$A$20000,A1009,$B$2:$B$20000,"&gt;"&amp;B1009)+1)</f>
        <v/>
      </c>
    </row>
    <row r="1010">
      <c r="A1010" t="inlineStr">
        <is>
          <t>샘플종목10</t>
        </is>
      </c>
      <c r="B1010" s="3" t="n">
        <v>45681</v>
      </c>
      <c r="C1010" t="n">
        <v>180170</v>
      </c>
      <c r="D1010" t="n">
        <v>8816803</v>
      </c>
      <c r="E1010">
        <f>IF(A1010="","",COUNTIFS($A$2:$A$20000,A1010,$B$2:$B$20000,"&gt;"&amp;B1010)+1)</f>
        <v/>
      </c>
    </row>
    <row r="1011">
      <c r="A1011" t="inlineStr">
        <is>
          <t>샘플종목10</t>
        </is>
      </c>
      <c r="B1011" s="3" t="n">
        <v>45688</v>
      </c>
      <c r="C1011" t="n">
        <v>181487</v>
      </c>
      <c r="D1011" t="n">
        <v>6947167</v>
      </c>
      <c r="E1011">
        <f>IF(A1011="","",COUNTIFS($A$2:$A$20000,A1011,$B$2:$B$20000,"&gt;"&amp;B1011)+1)</f>
        <v/>
      </c>
    </row>
    <row r="1012">
      <c r="A1012" t="inlineStr">
        <is>
          <t>샘플종목10</t>
        </is>
      </c>
      <c r="B1012" s="3" t="n">
        <v>45695</v>
      </c>
      <c r="C1012" t="n">
        <v>190604</v>
      </c>
      <c r="D1012" t="n">
        <v>8798301</v>
      </c>
      <c r="E1012">
        <f>IF(A1012="","",COUNTIFS($A$2:$A$20000,A1012,$B$2:$B$20000,"&gt;"&amp;B1012)+1)</f>
        <v/>
      </c>
    </row>
    <row r="1013">
      <c r="A1013" t="inlineStr">
        <is>
          <t>샘플종목10</t>
        </is>
      </c>
      <c r="B1013" s="3" t="n">
        <v>45702</v>
      </c>
      <c r="C1013" t="n">
        <v>176710</v>
      </c>
      <c r="D1013" t="n">
        <v>5932454</v>
      </c>
      <c r="E1013">
        <f>IF(A1013="","",COUNTIFS($A$2:$A$20000,A1013,$B$2:$B$20000,"&gt;"&amp;B1013)+1)</f>
        <v/>
      </c>
    </row>
    <row r="1014">
      <c r="A1014" t="inlineStr">
        <is>
          <t>샘플종목10</t>
        </is>
      </c>
      <c r="B1014" s="3" t="n">
        <v>45709</v>
      </c>
      <c r="C1014" t="n">
        <v>170137</v>
      </c>
      <c r="D1014" t="n">
        <v>8371454</v>
      </c>
      <c r="E1014">
        <f>IF(A1014="","",COUNTIFS($A$2:$A$20000,A1014,$B$2:$B$20000,"&gt;"&amp;B1014)+1)</f>
        <v/>
      </c>
    </row>
    <row r="1015">
      <c r="A1015" t="inlineStr">
        <is>
          <t>샘플종목10</t>
        </is>
      </c>
      <c r="B1015" s="3" t="n">
        <v>45716</v>
      </c>
      <c r="C1015" t="n">
        <v>181719</v>
      </c>
      <c r="D1015" t="n">
        <v>1615485</v>
      </c>
      <c r="E1015">
        <f>IF(A1015="","",COUNTIFS($A$2:$A$20000,A1015,$B$2:$B$20000,"&gt;"&amp;B1015)+1)</f>
        <v/>
      </c>
    </row>
    <row r="1016">
      <c r="A1016" t="inlineStr">
        <is>
          <t>샘플종목10</t>
        </is>
      </c>
      <c r="B1016" s="3" t="n">
        <v>45723</v>
      </c>
      <c r="C1016" t="n">
        <v>197967</v>
      </c>
      <c r="D1016" t="n">
        <v>8096261</v>
      </c>
      <c r="E1016">
        <f>IF(A1016="","",COUNTIFS($A$2:$A$20000,A1016,$B$2:$B$20000,"&gt;"&amp;B1016)+1)</f>
        <v/>
      </c>
    </row>
    <row r="1017">
      <c r="A1017" t="inlineStr">
        <is>
          <t>샘플종목10</t>
        </is>
      </c>
      <c r="B1017" s="3" t="n">
        <v>45730</v>
      </c>
      <c r="C1017" t="n">
        <v>200047</v>
      </c>
      <c r="D1017" t="n">
        <v>2336099</v>
      </c>
      <c r="E1017">
        <f>IF(A1017="","",COUNTIFS($A$2:$A$20000,A1017,$B$2:$B$20000,"&gt;"&amp;B1017)+1)</f>
        <v/>
      </c>
    </row>
    <row r="1018">
      <c r="A1018" t="inlineStr">
        <is>
          <t>샘플종목10</t>
        </is>
      </c>
      <c r="B1018" s="3" t="n">
        <v>45737</v>
      </c>
      <c r="C1018" t="n">
        <v>204815</v>
      </c>
      <c r="D1018" t="n">
        <v>3221437</v>
      </c>
      <c r="E1018">
        <f>IF(A1018="","",COUNTIFS($A$2:$A$20000,A1018,$B$2:$B$20000,"&gt;"&amp;B1018)+1)</f>
        <v/>
      </c>
    </row>
    <row r="1019">
      <c r="A1019" t="inlineStr">
        <is>
          <t>샘플종목10</t>
        </is>
      </c>
      <c r="B1019" s="3" t="n">
        <v>45744</v>
      </c>
      <c r="C1019" t="n">
        <v>200582</v>
      </c>
      <c r="D1019" t="n">
        <v>9547713</v>
      </c>
      <c r="E1019">
        <f>IF(A1019="","",COUNTIFS($A$2:$A$20000,A1019,$B$2:$B$20000,"&gt;"&amp;B1019)+1)</f>
        <v/>
      </c>
    </row>
    <row r="1020">
      <c r="A1020" t="inlineStr">
        <is>
          <t>샘플종목10</t>
        </is>
      </c>
      <c r="B1020" s="3" t="n">
        <v>45751</v>
      </c>
      <c r="C1020" t="n">
        <v>204748</v>
      </c>
      <c r="D1020" t="n">
        <v>2842874</v>
      </c>
      <c r="E1020">
        <f>IF(A1020="","",COUNTIFS($A$2:$A$20000,A1020,$B$2:$B$20000,"&gt;"&amp;B1020)+1)</f>
        <v/>
      </c>
    </row>
    <row r="1021">
      <c r="A1021" t="inlineStr">
        <is>
          <t>샘플종목10</t>
        </is>
      </c>
      <c r="B1021" s="3" t="n">
        <v>45758</v>
      </c>
      <c r="C1021" t="n">
        <v>198332</v>
      </c>
      <c r="D1021" t="n">
        <v>6327120</v>
      </c>
      <c r="E1021">
        <f>IF(A1021="","",COUNTIFS($A$2:$A$20000,A1021,$B$2:$B$20000,"&gt;"&amp;B1021)+1)</f>
        <v/>
      </c>
    </row>
    <row r="1022">
      <c r="A1022" t="inlineStr">
        <is>
          <t>샘플종목10</t>
        </is>
      </c>
      <c r="B1022" s="3" t="n">
        <v>45765</v>
      </c>
      <c r="C1022" t="n">
        <v>184757</v>
      </c>
      <c r="D1022" t="n">
        <v>6075320</v>
      </c>
      <c r="E1022">
        <f>IF(A1022="","",COUNTIFS($A$2:$A$20000,A1022,$B$2:$B$20000,"&gt;"&amp;B1022)+1)</f>
        <v/>
      </c>
    </row>
    <row r="1023">
      <c r="A1023" t="inlineStr">
        <is>
          <t>샘플종목10</t>
        </is>
      </c>
      <c r="B1023" s="3" t="n">
        <v>45772</v>
      </c>
      <c r="C1023" t="n">
        <v>178503</v>
      </c>
      <c r="D1023" t="n">
        <v>8821182</v>
      </c>
      <c r="E1023">
        <f>IF(A1023="","",COUNTIFS($A$2:$A$20000,A1023,$B$2:$B$20000,"&gt;"&amp;B1023)+1)</f>
        <v/>
      </c>
    </row>
    <row r="1024">
      <c r="A1024" t="inlineStr">
        <is>
          <t>샘플종목10</t>
        </is>
      </c>
      <c r="B1024" s="3" t="n">
        <v>45779</v>
      </c>
      <c r="C1024" t="n">
        <v>195973</v>
      </c>
      <c r="D1024" t="n">
        <v>1296916</v>
      </c>
      <c r="E1024">
        <f>IF(A1024="","",COUNTIFS($A$2:$A$20000,A1024,$B$2:$B$20000,"&gt;"&amp;B1024)+1)</f>
        <v/>
      </c>
    </row>
    <row r="1025">
      <c r="A1025" t="inlineStr">
        <is>
          <t>샘플종목10</t>
        </is>
      </c>
      <c r="B1025" s="3" t="n">
        <v>45786</v>
      </c>
      <c r="C1025" t="n">
        <v>187828</v>
      </c>
      <c r="D1025" t="n">
        <v>2126217</v>
      </c>
      <c r="E1025">
        <f>IF(A1025="","",COUNTIFS($A$2:$A$20000,A1025,$B$2:$B$20000,"&gt;"&amp;B1025)+1)</f>
        <v/>
      </c>
    </row>
    <row r="1026">
      <c r="A1026" t="inlineStr">
        <is>
          <t>샘플종목10</t>
        </is>
      </c>
      <c r="B1026" s="3" t="n">
        <v>45793</v>
      </c>
      <c r="C1026" t="n">
        <v>184706</v>
      </c>
      <c r="D1026" t="n">
        <v>5485130</v>
      </c>
      <c r="E1026">
        <f>IF(A1026="","",COUNTIFS($A$2:$A$20000,A1026,$B$2:$B$20000,"&gt;"&amp;B1026)+1)</f>
        <v/>
      </c>
    </row>
    <row r="1027">
      <c r="A1027" t="inlineStr">
        <is>
          <t>샘플종목10</t>
        </is>
      </c>
      <c r="B1027" s="3" t="n">
        <v>45800</v>
      </c>
      <c r="C1027" t="n">
        <v>189412</v>
      </c>
      <c r="D1027" t="n">
        <v>6498647</v>
      </c>
      <c r="E1027">
        <f>IF(A1027="","",COUNTIFS($A$2:$A$20000,A1027,$B$2:$B$20000,"&gt;"&amp;B1027)+1)</f>
        <v/>
      </c>
    </row>
    <row r="1028">
      <c r="A1028" t="inlineStr">
        <is>
          <t>샘플종목10</t>
        </is>
      </c>
      <c r="B1028" s="3" t="n">
        <v>45807</v>
      </c>
      <c r="C1028" t="n">
        <v>175426</v>
      </c>
      <c r="D1028" t="n">
        <v>4991257</v>
      </c>
      <c r="E1028">
        <f>IF(A1028="","",COUNTIFS($A$2:$A$20000,A1028,$B$2:$B$20000,"&gt;"&amp;B1028)+1)</f>
        <v/>
      </c>
    </row>
    <row r="1029">
      <c r="A1029" t="inlineStr">
        <is>
          <t>샘플종목10</t>
        </is>
      </c>
      <c r="B1029" s="3" t="n">
        <v>45814</v>
      </c>
      <c r="C1029" t="n">
        <v>168860</v>
      </c>
      <c r="D1029" t="n">
        <v>1906714</v>
      </c>
      <c r="E1029">
        <f>IF(A1029="","",COUNTIFS($A$2:$A$20000,A1029,$B$2:$B$20000,"&gt;"&amp;B1029)+1)</f>
        <v/>
      </c>
    </row>
    <row r="1030">
      <c r="A1030" t="inlineStr">
        <is>
          <t>샘플종목10</t>
        </is>
      </c>
      <c r="B1030" s="3" t="n">
        <v>45821</v>
      </c>
      <c r="C1030" t="n">
        <v>176764</v>
      </c>
      <c r="D1030" t="n">
        <v>8711981</v>
      </c>
      <c r="E1030">
        <f>IF(A1030="","",COUNTIFS($A$2:$A$20000,A1030,$B$2:$B$20000,"&gt;"&amp;B1030)+1)</f>
        <v/>
      </c>
    </row>
    <row r="1031">
      <c r="A1031" t="inlineStr">
        <is>
          <t>샘플종목10</t>
        </is>
      </c>
      <c r="B1031" s="3" t="n">
        <v>45828</v>
      </c>
      <c r="C1031" t="n">
        <v>174765</v>
      </c>
      <c r="D1031" t="n">
        <v>530198</v>
      </c>
      <c r="E1031">
        <f>IF(A1031="","",COUNTIFS($A$2:$A$20000,A1031,$B$2:$B$20000,"&gt;"&amp;B1031)+1)</f>
        <v/>
      </c>
    </row>
    <row r="1032">
      <c r="A1032" t="inlineStr">
        <is>
          <t>샘플종목10</t>
        </is>
      </c>
      <c r="B1032" s="3" t="n">
        <v>45835</v>
      </c>
      <c r="C1032" t="n">
        <v>166594</v>
      </c>
      <c r="D1032" t="n">
        <v>447083</v>
      </c>
      <c r="E1032">
        <f>IF(A1032="","",COUNTIFS($A$2:$A$20000,A1032,$B$2:$B$20000,"&gt;"&amp;B1032)+1)</f>
        <v/>
      </c>
    </row>
    <row r="1033">
      <c r="A1033" t="inlineStr">
        <is>
          <t>샘플종목10</t>
        </is>
      </c>
      <c r="B1033" s="3" t="n">
        <v>45842</v>
      </c>
      <c r="C1033" t="n">
        <v>165351</v>
      </c>
      <c r="D1033" t="n">
        <v>4185886</v>
      </c>
      <c r="E1033">
        <f>IF(A1033="","",COUNTIFS($A$2:$A$20000,A1033,$B$2:$B$20000,"&gt;"&amp;B1033)+1)</f>
        <v/>
      </c>
    </row>
    <row r="1034">
      <c r="A1034" t="inlineStr">
        <is>
          <t>샘플종목10</t>
        </is>
      </c>
      <c r="B1034" s="3" t="n">
        <v>45849</v>
      </c>
      <c r="C1034" t="n">
        <v>170290</v>
      </c>
      <c r="D1034" t="n">
        <v>3160060</v>
      </c>
      <c r="E1034">
        <f>IF(A1034="","",COUNTIFS($A$2:$A$20000,A1034,$B$2:$B$20000,"&gt;"&amp;B1034)+1)</f>
        <v/>
      </c>
    </row>
    <row r="1035">
      <c r="A1035" t="inlineStr">
        <is>
          <t>샘플종목10</t>
        </is>
      </c>
      <c r="B1035" s="3" t="n">
        <v>45856</v>
      </c>
      <c r="C1035" t="n">
        <v>169646</v>
      </c>
      <c r="D1035" t="n">
        <v>2916566</v>
      </c>
      <c r="E1035">
        <f>IF(A1035="","",COUNTIFS($A$2:$A$20000,A1035,$B$2:$B$20000,"&gt;"&amp;B1035)+1)</f>
        <v/>
      </c>
    </row>
    <row r="1036">
      <c r="A1036" t="inlineStr">
        <is>
          <t>샘플종목10</t>
        </is>
      </c>
      <c r="B1036" s="3" t="n">
        <v>45863</v>
      </c>
      <c r="C1036" t="n">
        <v>174102</v>
      </c>
      <c r="D1036" t="n">
        <v>604550</v>
      </c>
      <c r="E1036">
        <f>IF(A1036="","",COUNTIFS($A$2:$A$20000,A1036,$B$2:$B$20000,"&gt;"&amp;B1036)+1)</f>
        <v/>
      </c>
    </row>
    <row r="1037">
      <c r="A1037" t="inlineStr">
        <is>
          <t>샘플종목10</t>
        </is>
      </c>
      <c r="B1037" s="3" t="n">
        <v>45870</v>
      </c>
      <c r="C1037" t="n">
        <v>177630</v>
      </c>
      <c r="D1037" t="n">
        <v>426336</v>
      </c>
      <c r="E1037">
        <f>IF(A1037="","",COUNTIFS($A$2:$A$20000,A1037,$B$2:$B$20000,"&gt;"&amp;B1037)+1)</f>
        <v/>
      </c>
    </row>
    <row r="1038">
      <c r="A1038" t="inlineStr">
        <is>
          <t>샘플종목10</t>
        </is>
      </c>
      <c r="B1038" s="3" t="n">
        <v>45877</v>
      </c>
      <c r="C1038" t="n">
        <v>187034</v>
      </c>
      <c r="D1038" t="n">
        <v>3372982</v>
      </c>
      <c r="E1038">
        <f>IF(A1038="","",COUNTIFS($A$2:$A$20000,A1038,$B$2:$B$20000,"&gt;"&amp;B1038)+1)</f>
        <v/>
      </c>
    </row>
    <row r="1039">
      <c r="A1039" t="inlineStr">
        <is>
          <t>샘플종목10</t>
        </is>
      </c>
      <c r="B1039" s="3" t="n">
        <v>45884</v>
      </c>
      <c r="C1039" t="n">
        <v>194012</v>
      </c>
      <c r="D1039" t="n">
        <v>4485888</v>
      </c>
      <c r="E1039">
        <f>IF(A1039="","",COUNTIFS($A$2:$A$20000,A1039,$B$2:$B$20000,"&gt;"&amp;B1039)+1)</f>
        <v/>
      </c>
    </row>
    <row r="1040">
      <c r="A1040" t="inlineStr">
        <is>
          <t>샘플종목10</t>
        </is>
      </c>
      <c r="B1040" s="3" t="n">
        <v>45891</v>
      </c>
      <c r="C1040" t="n">
        <v>204832</v>
      </c>
      <c r="D1040" t="n">
        <v>9771771</v>
      </c>
      <c r="E1040">
        <f>IF(A1040="","",COUNTIFS($A$2:$A$20000,A1040,$B$2:$B$20000,"&gt;"&amp;B1040)+1)</f>
        <v/>
      </c>
    </row>
    <row r="1041">
      <c r="A1041" t="inlineStr">
        <is>
          <t>샘플종목10</t>
        </is>
      </c>
      <c r="B1041" s="3" t="n">
        <v>45898</v>
      </c>
      <c r="C1041" t="n">
        <v>206471</v>
      </c>
      <c r="D1041" t="n">
        <v>7883623</v>
      </c>
      <c r="E1041">
        <f>IF(A1041="","",COUNTIFS($A$2:$A$20000,A1041,$B$2:$B$20000,"&gt;"&amp;B1041)+1)</f>
        <v/>
      </c>
    </row>
    <row r="1042">
      <c r="A1042" t="inlineStr">
        <is>
          <t>샘플종목10</t>
        </is>
      </c>
      <c r="B1042" s="3" t="n">
        <v>45905</v>
      </c>
      <c r="C1042" t="n">
        <v>194154</v>
      </c>
      <c r="D1042" t="n">
        <v>1825781</v>
      </c>
      <c r="E1042">
        <f>IF(A1042="","",COUNTIFS($A$2:$A$20000,A1042,$B$2:$B$20000,"&gt;"&amp;B1042)+1)</f>
        <v/>
      </c>
    </row>
    <row r="1043">
      <c r="A1043" t="inlineStr">
        <is>
          <t>샘플종목10</t>
        </is>
      </c>
      <c r="B1043" s="3" t="n">
        <v>45912</v>
      </c>
      <c r="C1043" t="n">
        <v>192807</v>
      </c>
      <c r="D1043" t="n">
        <v>5983765</v>
      </c>
      <c r="E1043">
        <f>IF(A1043="","",COUNTIFS($A$2:$A$20000,A1043,$B$2:$B$20000,"&gt;"&amp;B1043)+1)</f>
        <v/>
      </c>
    </row>
    <row r="1044">
      <c r="A1044" t="inlineStr">
        <is>
          <t>샘플종목10</t>
        </is>
      </c>
      <c r="B1044" s="3" t="n">
        <v>45919</v>
      </c>
      <c r="C1044" t="n">
        <v>201556</v>
      </c>
      <c r="D1044" t="n">
        <v>857837</v>
      </c>
      <c r="E1044">
        <f>IF(A1044="","",COUNTIFS($A$2:$A$20000,A1044,$B$2:$B$20000,"&gt;"&amp;B1044)+1)</f>
        <v/>
      </c>
    </row>
    <row r="1045">
      <c r="A1045" t="inlineStr">
        <is>
          <t>샘플종목10</t>
        </is>
      </c>
      <c r="B1045" s="3" t="n">
        <v>45926</v>
      </c>
      <c r="C1045" t="n">
        <v>192594</v>
      </c>
      <c r="D1045" t="n">
        <v>4680399</v>
      </c>
      <c r="E1045">
        <f>IF(A1045="","",COUNTIFS($A$2:$A$20000,A1045,$B$2:$B$20000,"&gt;"&amp;B1045)+1)</f>
        <v/>
      </c>
    </row>
    <row r="1046">
      <c r="A1046" t="inlineStr">
        <is>
          <t>샘플종목10</t>
        </is>
      </c>
      <c r="B1046" s="3" t="n">
        <v>45933</v>
      </c>
      <c r="C1046" t="n">
        <v>199411</v>
      </c>
      <c r="D1046" t="n">
        <v>8501283</v>
      </c>
      <c r="E1046">
        <f>IF(A1046="","",COUNTIFS($A$2:$A$20000,A1046,$B$2:$B$20000,"&gt;"&amp;B1046)+1)</f>
        <v/>
      </c>
    </row>
    <row r="1047">
      <c r="A1047" t="inlineStr">
        <is>
          <t>샘플종목10</t>
        </is>
      </c>
      <c r="B1047" s="3" t="n">
        <v>45940</v>
      </c>
      <c r="C1047" t="n">
        <v>206308</v>
      </c>
      <c r="D1047" t="n">
        <v>4791292</v>
      </c>
      <c r="E1047">
        <f>IF(A1047="","",COUNTIFS($A$2:$A$20000,A1047,$B$2:$B$20000,"&gt;"&amp;B1047)+1)</f>
        <v/>
      </c>
    </row>
    <row r="1048">
      <c r="A1048" t="inlineStr">
        <is>
          <t>샘플종목10</t>
        </is>
      </c>
      <c r="B1048" s="3" t="n">
        <v>45947</v>
      </c>
      <c r="C1048" t="n">
        <v>209957</v>
      </c>
      <c r="D1048" t="n">
        <v>2397717</v>
      </c>
      <c r="E1048">
        <f>IF(A1048="","",COUNTIFS($A$2:$A$20000,A1048,$B$2:$B$20000,"&gt;"&amp;B1048)+1)</f>
        <v/>
      </c>
    </row>
    <row r="1049">
      <c r="A1049" t="inlineStr">
        <is>
          <t>샘플종목10</t>
        </is>
      </c>
      <c r="B1049" s="3" t="n">
        <v>45954</v>
      </c>
      <c r="C1049" t="n">
        <v>213103</v>
      </c>
      <c r="D1049" t="n">
        <v>9186501</v>
      </c>
      <c r="E1049">
        <f>IF(A1049="","",COUNTIFS($A$2:$A$20000,A1049,$B$2:$B$20000,"&gt;"&amp;B1049)+1)</f>
        <v/>
      </c>
    </row>
    <row r="1050">
      <c r="A1050" t="inlineStr">
        <is>
          <t>샘플종목10</t>
        </is>
      </c>
      <c r="B1050" s="3" t="n">
        <v>45961</v>
      </c>
      <c r="C1050" t="n">
        <v>199333</v>
      </c>
      <c r="D1050" t="n">
        <v>2569950</v>
      </c>
      <c r="E1050">
        <f>IF(A1050="","",COUNTIFS($A$2:$A$20000,A1050,$B$2:$B$20000,"&gt;"&amp;B1050)+1)</f>
        <v/>
      </c>
    </row>
    <row r="1051">
      <c r="A1051" t="inlineStr">
        <is>
          <t>샘플종목10</t>
        </is>
      </c>
      <c r="B1051" s="3" t="n">
        <v>45968</v>
      </c>
      <c r="C1051" t="n">
        <v>191092</v>
      </c>
      <c r="D1051" t="n">
        <v>9710684</v>
      </c>
      <c r="E1051">
        <f>IF(A1051="","",COUNTIFS($A$2:$A$20000,A1051,$B$2:$B$20000,"&gt;"&amp;B1051)+1)</f>
        <v/>
      </c>
    </row>
    <row r="1052">
      <c r="A1052" t="inlineStr">
        <is>
          <t>샘플종목10</t>
        </is>
      </c>
      <c r="B1052" s="3" t="n">
        <v>45975</v>
      </c>
      <c r="C1052" t="n">
        <v>184008</v>
      </c>
      <c r="D1052" t="n">
        <v>410526</v>
      </c>
      <c r="E1052">
        <f>IF(A1052="","",COUNTIFS($A$2:$A$20000,A1052,$B$2:$B$20000,"&gt;"&amp;B1052)+1)</f>
        <v/>
      </c>
    </row>
    <row r="1053">
      <c r="A1053" t="inlineStr">
        <is>
          <t>샘플종목10</t>
        </is>
      </c>
      <c r="B1053" s="3" t="n">
        <v>45982</v>
      </c>
      <c r="C1053" t="n">
        <v>186123</v>
      </c>
      <c r="D1053" t="n">
        <v>6622054</v>
      </c>
      <c r="E1053">
        <f>IF(A1053="","",COUNTIFS($A$2:$A$20000,A1053,$B$2:$B$20000,"&gt;"&amp;B1053)+1)</f>
        <v/>
      </c>
    </row>
    <row r="1054">
      <c r="A1054" t="inlineStr">
        <is>
          <t>샘플종목10</t>
        </is>
      </c>
      <c r="B1054" s="3" t="n">
        <v>45989</v>
      </c>
      <c r="C1054" t="n">
        <v>183028</v>
      </c>
      <c r="D1054" t="n">
        <v>8918363</v>
      </c>
      <c r="E1054">
        <f>IF(A1054="","",COUNTIFS($A$2:$A$20000,A1054,$B$2:$B$20000,"&gt;"&amp;B1054)+1)</f>
        <v/>
      </c>
    </row>
    <row r="1055">
      <c r="A1055" t="inlineStr">
        <is>
          <t>샘플종목10</t>
        </is>
      </c>
      <c r="B1055" s="3" t="n">
        <v>45996</v>
      </c>
      <c r="C1055" t="n">
        <v>174131</v>
      </c>
      <c r="D1055" t="n">
        <v>707457</v>
      </c>
      <c r="E1055">
        <f>IF(A1055="","",COUNTIFS($A$2:$A$20000,A1055,$B$2:$B$20000,"&gt;"&amp;B1055)+1)</f>
        <v/>
      </c>
    </row>
    <row r="1056">
      <c r="A1056" t="inlineStr">
        <is>
          <t>샘플종목10</t>
        </is>
      </c>
      <c r="B1056" s="3" t="n">
        <v>46003</v>
      </c>
      <c r="C1056" t="n">
        <v>161333</v>
      </c>
      <c r="D1056" t="n">
        <v>6194402</v>
      </c>
      <c r="E1056">
        <f>IF(A1056="","",COUNTIFS($A$2:$A$20000,A1056,$B$2:$B$20000,"&gt;"&amp;B1056)+1)</f>
        <v/>
      </c>
    </row>
    <row r="1057">
      <c r="A1057" t="inlineStr">
        <is>
          <t>샘플종목10</t>
        </is>
      </c>
      <c r="B1057" s="3" t="n">
        <v>46010</v>
      </c>
      <c r="C1057" t="n">
        <v>171026</v>
      </c>
      <c r="D1057" t="n">
        <v>5779902</v>
      </c>
      <c r="E1057">
        <f>IF(A1057="","",COUNTIFS($A$2:$A$20000,A1057,$B$2:$B$20000,"&gt;"&amp;B1057)+1)</f>
        <v/>
      </c>
    </row>
    <row r="1058">
      <c r="A1058" t="inlineStr">
        <is>
          <t>샘플종목10</t>
        </is>
      </c>
      <c r="B1058" s="3" t="n">
        <v>46017</v>
      </c>
      <c r="C1058" t="n">
        <v>160764</v>
      </c>
      <c r="D1058" t="n">
        <v>7407851</v>
      </c>
      <c r="E1058">
        <f>IF(A1058="","",COUNTIFS($A$2:$A$20000,A1058,$B$2:$B$20000,"&gt;"&amp;B1058)+1)</f>
        <v/>
      </c>
    </row>
    <row r="1059">
      <c r="A1059" t="inlineStr">
        <is>
          <t>샘플종목10</t>
        </is>
      </c>
      <c r="B1059" s="3" t="n">
        <v>46024</v>
      </c>
      <c r="C1059" t="n">
        <v>168260</v>
      </c>
      <c r="D1059" t="n">
        <v>9569472</v>
      </c>
      <c r="E1059">
        <f>IF(A1059="","",COUNTIFS($A$2:$A$20000,A1059,$B$2:$B$20000,"&gt;"&amp;B1059)+1)</f>
        <v/>
      </c>
    </row>
    <row r="1060">
      <c r="A1060" t="inlineStr">
        <is>
          <t>샘플종목10</t>
        </is>
      </c>
      <c r="B1060" s="3" t="n">
        <v>46031</v>
      </c>
      <c r="C1060" t="n">
        <v>173578</v>
      </c>
      <c r="D1060" t="n">
        <v>6820819</v>
      </c>
      <c r="E1060">
        <f>IF(A1060="","",COUNTIFS($A$2:$A$20000,A1060,$B$2:$B$20000,"&gt;"&amp;B1060)+1)</f>
        <v/>
      </c>
    </row>
    <row r="1061">
      <c r="A1061" t="inlineStr">
        <is>
          <t>샘플종목10</t>
        </is>
      </c>
      <c r="B1061" s="3" t="n">
        <v>46038</v>
      </c>
      <c r="C1061" t="n">
        <v>159476</v>
      </c>
      <c r="D1061" t="n">
        <v>9513372</v>
      </c>
      <c r="E1061">
        <f>IF(A1061="","",COUNTIFS($A$2:$A$20000,A1061,$B$2:$B$20000,"&gt;"&amp;B1061)+1)</f>
        <v/>
      </c>
    </row>
    <row r="1062">
      <c r="A1062" t="inlineStr">
        <is>
          <t>샘플종목10</t>
        </is>
      </c>
      <c r="B1062" s="3" t="n">
        <v>46045</v>
      </c>
      <c r="C1062" t="n">
        <v>167063</v>
      </c>
      <c r="D1062" t="n">
        <v>6029401</v>
      </c>
      <c r="E1062">
        <f>IF(A1062="","",COUNTIFS($A$2:$A$20000,A1062,$B$2:$B$20000,"&gt;"&amp;B1062)+1)</f>
        <v/>
      </c>
    </row>
    <row r="1063">
      <c r="A1063" t="inlineStr">
        <is>
          <t>샘플종목10</t>
        </is>
      </c>
      <c r="B1063" s="3" t="n">
        <v>46052</v>
      </c>
      <c r="C1063" t="n">
        <v>170060</v>
      </c>
      <c r="D1063" t="n">
        <v>4282298</v>
      </c>
      <c r="E1063">
        <f>IF(A1063="","",COUNTIFS($A$2:$A$20000,A1063,$B$2:$B$20000,"&gt;"&amp;B1063)+1)</f>
        <v/>
      </c>
    </row>
    <row r="1064">
      <c r="A1064" t="inlineStr">
        <is>
          <t>샘플종목10</t>
        </is>
      </c>
      <c r="B1064" s="3" t="n">
        <v>46059</v>
      </c>
      <c r="C1064" t="n">
        <v>177292</v>
      </c>
      <c r="D1064" t="n">
        <v>293852</v>
      </c>
      <c r="E1064">
        <f>IF(A1064="","",COUNTIFS($A$2:$A$20000,A1064,$B$2:$B$20000,"&gt;"&amp;B1064)+1)</f>
        <v/>
      </c>
    </row>
    <row r="1065">
      <c r="A1065" t="inlineStr">
        <is>
          <t>샘플종목10</t>
        </is>
      </c>
      <c r="B1065" s="3" t="n">
        <v>46066</v>
      </c>
      <c r="C1065" t="n">
        <v>170044</v>
      </c>
      <c r="D1065" t="n">
        <v>6214153</v>
      </c>
      <c r="E1065">
        <f>IF(A1065="","",COUNTIFS($A$2:$A$20000,A1065,$B$2:$B$20000,"&gt;"&amp;B1065)+1)</f>
        <v/>
      </c>
    </row>
    <row r="1066">
      <c r="A1066" t="inlineStr">
        <is>
          <t>샘플종목10</t>
        </is>
      </c>
      <c r="B1066" s="3" t="n">
        <v>46073</v>
      </c>
      <c r="C1066" t="n">
        <v>173778</v>
      </c>
      <c r="D1066" t="n">
        <v>5541694</v>
      </c>
      <c r="E1066">
        <f>IF(A1066="","",COUNTIFS($A$2:$A$20000,A1066,$B$2:$B$20000,"&gt;"&amp;B1066)+1)</f>
        <v/>
      </c>
    </row>
    <row r="1067">
      <c r="A1067" t="inlineStr">
        <is>
          <t>샘플종목10</t>
        </is>
      </c>
      <c r="B1067" s="3" t="n">
        <v>46080</v>
      </c>
      <c r="C1067" t="n">
        <v>176960</v>
      </c>
      <c r="D1067" t="n">
        <v>7365214</v>
      </c>
      <c r="E1067">
        <f>IF(A1067="","",COUNTIFS($A$2:$A$20000,A1067,$B$2:$B$20000,"&gt;"&amp;B1067)+1)</f>
        <v/>
      </c>
    </row>
    <row r="1068">
      <c r="A1068" t="inlineStr">
        <is>
          <t>샘플종목10</t>
        </is>
      </c>
      <c r="B1068" s="3" t="n">
        <v>46087</v>
      </c>
      <c r="C1068" t="n">
        <v>180517</v>
      </c>
      <c r="D1068" t="n">
        <v>3882900</v>
      </c>
      <c r="E1068">
        <f>IF(A1068="","",COUNTIFS($A$2:$A$20000,A1068,$B$2:$B$20000,"&gt;"&amp;B1068)+1)</f>
        <v/>
      </c>
    </row>
    <row r="1069">
      <c r="A1069" t="inlineStr">
        <is>
          <t>샘플종목10</t>
        </is>
      </c>
      <c r="B1069" s="3" t="n">
        <v>46094</v>
      </c>
      <c r="C1069" t="n">
        <v>191108</v>
      </c>
      <c r="D1069" t="n">
        <v>2438856</v>
      </c>
      <c r="E1069">
        <f>IF(A1069="","",COUNTIFS($A$2:$A$20000,A1069,$B$2:$B$20000,"&gt;"&amp;B1069)+1)</f>
        <v/>
      </c>
    </row>
    <row r="1070">
      <c r="A1070" t="inlineStr">
        <is>
          <t>샘플종목10</t>
        </is>
      </c>
      <c r="B1070" s="3" t="n">
        <v>46101</v>
      </c>
      <c r="C1070" t="n">
        <v>184735</v>
      </c>
      <c r="D1070" t="n">
        <v>7712348</v>
      </c>
      <c r="E1070">
        <f>IF(A1070="","",COUNTIFS($A$2:$A$20000,A1070,$B$2:$B$20000,"&gt;"&amp;B1070)+1)</f>
        <v/>
      </c>
    </row>
    <row r="1071">
      <c r="A1071" t="inlineStr">
        <is>
          <t>샘플종목10</t>
        </is>
      </c>
      <c r="B1071" s="3" t="n">
        <v>46108</v>
      </c>
      <c r="C1071" t="n">
        <v>188656</v>
      </c>
      <c r="D1071" t="n">
        <v>884533</v>
      </c>
      <c r="E1071">
        <f>IF(A1071="","",COUNTIFS($A$2:$A$20000,A1071,$B$2:$B$20000,"&gt;"&amp;B1071)+1)</f>
        <v/>
      </c>
    </row>
    <row r="1072">
      <c r="A1072" t="inlineStr">
        <is>
          <t>샘플종목10</t>
        </is>
      </c>
      <c r="B1072" s="3" t="n">
        <v>46115</v>
      </c>
      <c r="C1072" t="n">
        <v>194737</v>
      </c>
      <c r="D1072" t="n">
        <v>775564</v>
      </c>
      <c r="E1072">
        <f>IF(A1072="","",COUNTIFS($A$2:$A$20000,A1072,$B$2:$B$20000,"&gt;"&amp;B1072)+1)</f>
        <v/>
      </c>
    </row>
    <row r="1073">
      <c r="A1073" t="inlineStr">
        <is>
          <t>샘플종목10</t>
        </is>
      </c>
      <c r="B1073" s="3" t="n">
        <v>46122</v>
      </c>
      <c r="C1073" t="n">
        <v>180055</v>
      </c>
      <c r="D1073" t="n">
        <v>676694</v>
      </c>
      <c r="E1073">
        <f>IF(A1073="","",COUNTIFS($A$2:$A$20000,A1073,$B$2:$B$20000,"&gt;"&amp;B1073)+1)</f>
        <v/>
      </c>
    </row>
    <row r="1074">
      <c r="A1074" t="inlineStr">
        <is>
          <t>샘플종목10</t>
        </is>
      </c>
      <c r="B1074" s="3" t="n">
        <v>46129</v>
      </c>
      <c r="C1074" t="n">
        <v>187078</v>
      </c>
      <c r="D1074" t="n">
        <v>4687446</v>
      </c>
      <c r="E1074">
        <f>IF(A1074="","",COUNTIFS($A$2:$A$20000,A1074,$B$2:$B$20000,"&gt;"&amp;B1074)+1)</f>
        <v/>
      </c>
    </row>
    <row r="1075">
      <c r="A1075" t="inlineStr">
        <is>
          <t>샘플종목10</t>
        </is>
      </c>
      <c r="B1075" s="3" t="n">
        <v>46136</v>
      </c>
      <c r="C1075" t="n">
        <v>179660</v>
      </c>
      <c r="D1075" t="n">
        <v>9197519</v>
      </c>
      <c r="E1075">
        <f>IF(A1075="","",COUNTIFS($A$2:$A$20000,A1075,$B$2:$B$20000,"&gt;"&amp;B1075)+1)</f>
        <v/>
      </c>
    </row>
    <row r="1076">
      <c r="A1076" t="inlineStr">
        <is>
          <t>샘플종목10</t>
        </is>
      </c>
      <c r="B1076" s="3" t="n">
        <v>46143</v>
      </c>
      <c r="C1076" t="n">
        <v>180691</v>
      </c>
      <c r="D1076" t="n">
        <v>1786180</v>
      </c>
      <c r="E1076">
        <f>IF(A1076="","",COUNTIFS($A$2:$A$20000,A1076,$B$2:$B$20000,"&gt;"&amp;B1076)+1)</f>
        <v/>
      </c>
    </row>
    <row r="1077">
      <c r="A1077" t="inlineStr">
        <is>
          <t>샘플종목10</t>
        </is>
      </c>
      <c r="B1077" s="3" t="n">
        <v>46150</v>
      </c>
      <c r="C1077" t="n">
        <v>179223</v>
      </c>
      <c r="D1077" t="n">
        <v>4304053</v>
      </c>
      <c r="E1077">
        <f>IF(A1077="","",COUNTIFS($A$2:$A$20000,A1077,$B$2:$B$20000,"&gt;"&amp;B1077)+1)</f>
        <v/>
      </c>
    </row>
    <row r="1078">
      <c r="A1078" t="inlineStr">
        <is>
          <t>샘플종목10</t>
        </is>
      </c>
      <c r="B1078" s="3" t="n">
        <v>46157</v>
      </c>
      <c r="C1078" t="n">
        <v>180439</v>
      </c>
      <c r="D1078" t="n">
        <v>4070367</v>
      </c>
      <c r="E1078">
        <f>IF(A1078="","",COUNTIFS($A$2:$A$20000,A1078,$B$2:$B$20000,"&gt;"&amp;B1078)+1)</f>
        <v/>
      </c>
    </row>
    <row r="1079">
      <c r="A1079" t="inlineStr">
        <is>
          <t>샘플종목10</t>
        </is>
      </c>
      <c r="B1079" s="3" t="n">
        <v>46164</v>
      </c>
      <c r="C1079" t="n">
        <v>181629</v>
      </c>
      <c r="D1079" t="n">
        <v>761339</v>
      </c>
      <c r="E1079">
        <f>IF(A1079="","",COUNTIFS($A$2:$A$20000,A1079,$B$2:$B$20000,"&gt;"&amp;B1079)+1)</f>
        <v/>
      </c>
    </row>
    <row r="1080">
      <c r="A1080" t="inlineStr">
        <is>
          <t>샘플종목10</t>
        </is>
      </c>
      <c r="B1080" s="3" t="n">
        <v>46171</v>
      </c>
      <c r="C1080" t="n">
        <v>180544</v>
      </c>
      <c r="D1080" t="n">
        <v>2901430</v>
      </c>
      <c r="E1080">
        <f>IF(A1080="","",COUNTIFS($A$2:$A$20000,A1080,$B$2:$B$20000,"&gt;"&amp;B1080)+1)</f>
        <v/>
      </c>
    </row>
    <row r="1081">
      <c r="A1081" t="inlineStr">
        <is>
          <t>샘플종목10</t>
        </is>
      </c>
      <c r="B1081" s="3" t="n">
        <v>46178</v>
      </c>
      <c r="C1081" t="n">
        <v>186900</v>
      </c>
      <c r="D1081" t="n">
        <v>2119662</v>
      </c>
      <c r="E1081">
        <f>IF(A1081="","",COUNTIFS($A$2:$A$20000,A1081,$B$2:$B$20000,"&gt;"&amp;B1081)+1)</f>
        <v/>
      </c>
    </row>
    <row r="1082">
      <c r="A1082" t="inlineStr">
        <is>
          <t>샘플종목10</t>
        </is>
      </c>
      <c r="B1082" s="3" t="n">
        <v>46185</v>
      </c>
      <c r="C1082" t="n">
        <v>204833</v>
      </c>
      <c r="D1082" t="n">
        <v>8719779</v>
      </c>
      <c r="E1082">
        <f>IF(A1082="","",COUNTIFS($A$2:$A$20000,A1082,$B$2:$B$20000,"&gt;"&amp;B1082)+1)</f>
        <v/>
      </c>
    </row>
    <row r="1083">
      <c r="A1083" t="inlineStr">
        <is>
          <t>샘플종목10</t>
        </is>
      </c>
      <c r="B1083" s="3" t="n">
        <v>46192</v>
      </c>
      <c r="C1083" t="n">
        <v>212909</v>
      </c>
      <c r="D1083" t="n">
        <v>4603198</v>
      </c>
      <c r="E1083">
        <f>IF(A1083="","",COUNTIFS($A$2:$A$20000,A1083,$B$2:$B$20000,"&gt;"&amp;B1083)+1)</f>
        <v/>
      </c>
    </row>
    <row r="1084">
      <c r="A1084" t="inlineStr">
        <is>
          <t>샘플종목10</t>
        </is>
      </c>
      <c r="B1084" s="3" t="n">
        <v>46199</v>
      </c>
      <c r="C1084" t="n">
        <v>223146</v>
      </c>
      <c r="D1084" t="n">
        <v>2589861</v>
      </c>
      <c r="E1084">
        <f>IF(A1084="","",COUNTIFS($A$2:$A$20000,A1084,$B$2:$B$20000,"&gt;"&amp;B1084)+1)</f>
        <v/>
      </c>
    </row>
    <row r="1085">
      <c r="A1085" t="inlineStr">
        <is>
          <t>샘플종목10</t>
        </is>
      </c>
      <c r="B1085" s="3" t="n">
        <v>46206</v>
      </c>
      <c r="C1085" t="n">
        <v>229628</v>
      </c>
      <c r="D1085" t="n">
        <v>7481591</v>
      </c>
      <c r="E1085">
        <f>IF(A1085="","",COUNTIFS($A$2:$A$20000,A1085,$B$2:$B$20000,"&gt;"&amp;B1085)+1)</f>
        <v/>
      </c>
    </row>
    <row r="1086">
      <c r="A1086" t="inlineStr">
        <is>
          <t>샘플종목10</t>
        </is>
      </c>
      <c r="B1086" s="3" t="n">
        <v>46213</v>
      </c>
      <c r="C1086" t="n">
        <v>233558</v>
      </c>
      <c r="D1086" t="n">
        <v>5025781</v>
      </c>
      <c r="E1086">
        <f>IF(A1086="","",COUNTIFS($A$2:$A$20000,A1086,$B$2:$B$20000,"&gt;"&amp;B1086)+1)</f>
        <v/>
      </c>
    </row>
    <row r="1087">
      <c r="A1087" t="inlineStr">
        <is>
          <t>샘플종목10</t>
        </is>
      </c>
      <c r="B1087" s="3" t="n">
        <v>46220</v>
      </c>
      <c r="C1087" t="n">
        <v>237507</v>
      </c>
      <c r="D1087" t="n">
        <v>6920677</v>
      </c>
      <c r="E1087">
        <f>IF(A1087="","",COUNTIFS($A$2:$A$20000,A1087,$B$2:$B$20000,"&gt;"&amp;B1087)+1)</f>
        <v/>
      </c>
    </row>
    <row r="1088">
      <c r="A1088" t="inlineStr">
        <is>
          <t>샘플종목10</t>
        </is>
      </c>
      <c r="B1088" s="3" t="n">
        <v>46227</v>
      </c>
      <c r="C1088" t="n">
        <v>231258</v>
      </c>
      <c r="D1088" t="n">
        <v>1573831</v>
      </c>
      <c r="E1088">
        <f>IF(A1088="","",COUNTIFS($A$2:$A$20000,A1088,$B$2:$B$20000,"&gt;"&amp;B1088)+1)</f>
        <v/>
      </c>
    </row>
    <row r="1089">
      <c r="A1089" t="inlineStr">
        <is>
          <t>샘플종목10</t>
        </is>
      </c>
      <c r="B1089" s="3" t="n">
        <v>46234</v>
      </c>
      <c r="C1089" t="n">
        <v>228262</v>
      </c>
      <c r="D1089" t="n">
        <v>9265638</v>
      </c>
      <c r="E1089">
        <f>IF(A1089="","",COUNTIFS($A$2:$A$20000,A1089,$B$2:$B$20000,"&gt;"&amp;B1089)+1)</f>
        <v/>
      </c>
    </row>
    <row r="1090">
      <c r="A1090" t="inlineStr">
        <is>
          <t>샘플종목10</t>
        </is>
      </c>
      <c r="B1090" s="3" t="n">
        <v>46241</v>
      </c>
      <c r="C1090" t="n">
        <v>226394</v>
      </c>
      <c r="D1090" t="n">
        <v>9666020</v>
      </c>
      <c r="E1090">
        <f>IF(A1090="","",COUNTIFS($A$2:$A$20000,A1090,$B$2:$B$20000,"&gt;"&amp;B1090)+1)</f>
        <v/>
      </c>
    </row>
    <row r="1091">
      <c r="A1091" t="inlineStr">
        <is>
          <t>샘플종목10</t>
        </is>
      </c>
      <c r="B1091" s="3" t="n">
        <v>46248</v>
      </c>
      <c r="C1091" t="n">
        <v>236541</v>
      </c>
      <c r="D1091" t="n">
        <v>3818100</v>
      </c>
      <c r="E1091">
        <f>IF(A1091="","",COUNTIFS($A$2:$A$20000,A1091,$B$2:$B$20000,"&gt;"&amp;B1091)+1)</f>
        <v/>
      </c>
    </row>
    <row r="1092">
      <c r="A1092" t="inlineStr">
        <is>
          <t>샘플종목10</t>
        </is>
      </c>
      <c r="B1092" s="3" t="n">
        <v>46255</v>
      </c>
      <c r="C1092" t="n">
        <v>233298</v>
      </c>
      <c r="D1092" t="n">
        <v>6254113</v>
      </c>
      <c r="E1092">
        <f>IF(A1092="","",COUNTIFS($A$2:$A$20000,A1092,$B$2:$B$20000,"&gt;"&amp;B1092)+1)</f>
        <v/>
      </c>
    </row>
    <row r="1093">
      <c r="A1093" t="inlineStr">
        <is>
          <t>샘플종목10</t>
        </is>
      </c>
      <c r="B1093" s="3" t="n">
        <v>46262</v>
      </c>
      <c r="C1093" t="n">
        <v>228696</v>
      </c>
      <c r="D1093" t="n">
        <v>7832340</v>
      </c>
      <c r="E1093">
        <f>IF(A1093="","",COUNTIFS($A$2:$A$20000,A1093,$B$2:$B$20000,"&gt;"&amp;B1093)+1)</f>
        <v/>
      </c>
    </row>
    <row r="1094">
      <c r="A1094" t="inlineStr">
        <is>
          <t>샘플종목10</t>
        </is>
      </c>
      <c r="B1094" s="3" t="n">
        <v>46269</v>
      </c>
      <c r="C1094" t="n">
        <v>235206</v>
      </c>
      <c r="D1094" t="n">
        <v>8117090</v>
      </c>
      <c r="E1094">
        <f>IF(A1094="","",COUNTIFS($A$2:$A$20000,A1094,$B$2:$B$20000,"&gt;"&amp;B1094)+1)</f>
        <v/>
      </c>
    </row>
    <row r="1095">
      <c r="A1095" t="inlineStr">
        <is>
          <t>샘플종목10</t>
        </is>
      </c>
      <c r="B1095" s="3" t="n">
        <v>46276</v>
      </c>
      <c r="C1095" t="n">
        <v>230644</v>
      </c>
      <c r="D1095" t="n">
        <v>7967937</v>
      </c>
      <c r="E1095">
        <f>IF(A1095="","",COUNTIFS($A$2:$A$20000,A1095,$B$2:$B$20000,"&gt;"&amp;B1095)+1)</f>
        <v/>
      </c>
    </row>
    <row r="1096">
      <c r="A1096" t="inlineStr">
        <is>
          <t>샘플종목10</t>
        </is>
      </c>
      <c r="B1096" s="3" t="n">
        <v>46283</v>
      </c>
      <c r="C1096" t="n">
        <v>232075</v>
      </c>
      <c r="D1096" t="n">
        <v>5697993</v>
      </c>
      <c r="E1096">
        <f>IF(A1096="","",COUNTIFS($A$2:$A$20000,A1096,$B$2:$B$20000,"&gt;"&amp;B1096)+1)</f>
        <v/>
      </c>
    </row>
    <row r="1097">
      <c r="A1097" t="inlineStr">
        <is>
          <t>샘플종목10</t>
        </is>
      </c>
      <c r="B1097" s="3" t="n">
        <v>46290</v>
      </c>
      <c r="C1097" t="n">
        <v>230426</v>
      </c>
      <c r="D1097" t="n">
        <v>3817505</v>
      </c>
      <c r="E1097">
        <f>IF(A1097="","",COUNTIFS($A$2:$A$20000,A1097,$B$2:$B$20000,"&gt;"&amp;B1097)+1)</f>
        <v/>
      </c>
    </row>
    <row r="1098">
      <c r="A1098" t="inlineStr">
        <is>
          <t>샘플종목10</t>
        </is>
      </c>
      <c r="B1098" s="3" t="n">
        <v>46297</v>
      </c>
      <c r="C1098" t="n">
        <v>235231</v>
      </c>
      <c r="D1098" t="n">
        <v>9926135</v>
      </c>
      <c r="E1098">
        <f>IF(A1098="","",COUNTIFS($A$2:$A$20000,A1098,$B$2:$B$20000,"&gt;"&amp;B1098)+1)</f>
        <v/>
      </c>
    </row>
    <row r="1099">
      <c r="A1099" t="inlineStr">
        <is>
          <t>샘플종목10</t>
        </is>
      </c>
      <c r="B1099" s="3" t="n">
        <v>46304</v>
      </c>
      <c r="C1099" t="n">
        <v>246661</v>
      </c>
      <c r="D1099" t="n">
        <v>6751400</v>
      </c>
      <c r="E1099">
        <f>IF(A1099="","",COUNTIFS($A$2:$A$20000,A1099,$B$2:$B$20000,"&gt;"&amp;B1099)+1)</f>
        <v/>
      </c>
    </row>
    <row r="1100">
      <c r="A1100" t="inlineStr">
        <is>
          <t>샘플종목10</t>
        </is>
      </c>
      <c r="B1100" s="3" t="n">
        <v>46311</v>
      </c>
      <c r="C1100" t="n">
        <v>256330</v>
      </c>
      <c r="D1100" t="n">
        <v>4102061</v>
      </c>
      <c r="E1100">
        <f>IF(A1100="","",COUNTIFS($A$2:$A$20000,A1100,$B$2:$B$20000,"&gt;"&amp;B1100)+1)</f>
        <v/>
      </c>
    </row>
    <row r="1101">
      <c r="A1101" t="inlineStr">
        <is>
          <t>샘플종목10</t>
        </is>
      </c>
      <c r="B1101" s="3" t="n">
        <v>46318</v>
      </c>
      <c r="C1101" t="n">
        <v>257556</v>
      </c>
      <c r="D1101" t="n">
        <v>5535021</v>
      </c>
      <c r="E1101">
        <f>IF(A1101="","",COUNTIFS($A$2:$A$20000,A1101,$B$2:$B$20000,"&gt;"&amp;B1101)+1)</f>
        <v/>
      </c>
    </row>
    <row r="1102">
      <c r="A1102" t="inlineStr">
        <is>
          <t>샘플종목11</t>
        </is>
      </c>
      <c r="B1102" s="3" t="n">
        <v>45555</v>
      </c>
      <c r="C1102" t="n">
        <v>110061</v>
      </c>
      <c r="D1102" t="n">
        <v>3726244</v>
      </c>
      <c r="E1102">
        <f>IF(A1102="","",COUNTIFS($A$2:$A$20000,A1102,$B$2:$B$20000,"&gt;"&amp;B1102)+1)</f>
        <v/>
      </c>
    </row>
    <row r="1103">
      <c r="A1103" t="inlineStr">
        <is>
          <t>샘플종목11</t>
        </is>
      </c>
      <c r="B1103" s="3" t="n">
        <v>45562</v>
      </c>
      <c r="C1103" t="n">
        <v>110476</v>
      </c>
      <c r="D1103" t="n">
        <v>5057738</v>
      </c>
      <c r="E1103">
        <f>IF(A1103="","",COUNTIFS($A$2:$A$20000,A1103,$B$2:$B$20000,"&gt;"&amp;B1103)+1)</f>
        <v/>
      </c>
    </row>
    <row r="1104">
      <c r="A1104" t="inlineStr">
        <is>
          <t>샘플종목11</t>
        </is>
      </c>
      <c r="B1104" s="3" t="n">
        <v>45569</v>
      </c>
      <c r="C1104" t="n">
        <v>111565</v>
      </c>
      <c r="D1104" t="n">
        <v>9346402</v>
      </c>
      <c r="E1104">
        <f>IF(A1104="","",COUNTIFS($A$2:$A$20000,A1104,$B$2:$B$20000,"&gt;"&amp;B1104)+1)</f>
        <v/>
      </c>
    </row>
    <row r="1105">
      <c r="A1105" t="inlineStr">
        <is>
          <t>샘플종목11</t>
        </is>
      </c>
      <c r="B1105" s="3" t="n">
        <v>45576</v>
      </c>
      <c r="C1105" t="n">
        <v>112116</v>
      </c>
      <c r="D1105" t="n">
        <v>1220698</v>
      </c>
      <c r="E1105">
        <f>IF(A1105="","",COUNTIFS($A$2:$A$20000,A1105,$B$2:$B$20000,"&gt;"&amp;B1105)+1)</f>
        <v/>
      </c>
    </row>
    <row r="1106">
      <c r="A1106" t="inlineStr">
        <is>
          <t>샘플종목11</t>
        </is>
      </c>
      <c r="B1106" s="3" t="n">
        <v>45583</v>
      </c>
      <c r="C1106" t="n">
        <v>109078</v>
      </c>
      <c r="D1106" t="n">
        <v>1140470</v>
      </c>
      <c r="E1106">
        <f>IF(A1106="","",COUNTIFS($A$2:$A$20000,A1106,$B$2:$B$20000,"&gt;"&amp;B1106)+1)</f>
        <v/>
      </c>
    </row>
    <row r="1107">
      <c r="A1107" t="inlineStr">
        <is>
          <t>샘플종목11</t>
        </is>
      </c>
      <c r="B1107" s="3" t="n">
        <v>45590</v>
      </c>
      <c r="C1107" t="n">
        <v>106804</v>
      </c>
      <c r="D1107" t="n">
        <v>8773746</v>
      </c>
      <c r="E1107">
        <f>IF(A1107="","",COUNTIFS($A$2:$A$20000,A1107,$B$2:$B$20000,"&gt;"&amp;B1107)+1)</f>
        <v/>
      </c>
    </row>
    <row r="1108">
      <c r="A1108" t="inlineStr">
        <is>
          <t>샘플종목11</t>
        </is>
      </c>
      <c r="B1108" s="3" t="n">
        <v>45597</v>
      </c>
      <c r="C1108" t="n">
        <v>103513</v>
      </c>
      <c r="D1108" t="n">
        <v>1932814</v>
      </c>
      <c r="E1108">
        <f>IF(A1108="","",COUNTIFS($A$2:$A$20000,A1108,$B$2:$B$20000,"&gt;"&amp;B1108)+1)</f>
        <v/>
      </c>
    </row>
    <row r="1109">
      <c r="A1109" t="inlineStr">
        <is>
          <t>샘플종목11</t>
        </is>
      </c>
      <c r="B1109" s="3" t="n">
        <v>45604</v>
      </c>
      <c r="C1109" t="n">
        <v>106607</v>
      </c>
      <c r="D1109" t="n">
        <v>8839741</v>
      </c>
      <c r="E1109">
        <f>IF(A1109="","",COUNTIFS($A$2:$A$20000,A1109,$B$2:$B$20000,"&gt;"&amp;B1109)+1)</f>
        <v/>
      </c>
    </row>
    <row r="1110">
      <c r="A1110" t="inlineStr">
        <is>
          <t>샘플종목11</t>
        </is>
      </c>
      <c r="B1110" s="3" t="n">
        <v>45611</v>
      </c>
      <c r="C1110" t="n">
        <v>108497</v>
      </c>
      <c r="D1110" t="n">
        <v>2692442</v>
      </c>
      <c r="E1110">
        <f>IF(A1110="","",COUNTIFS($A$2:$A$20000,A1110,$B$2:$B$20000,"&gt;"&amp;B1110)+1)</f>
        <v/>
      </c>
    </row>
    <row r="1111">
      <c r="A1111" t="inlineStr">
        <is>
          <t>샘플종목11</t>
        </is>
      </c>
      <c r="B1111" s="3" t="n">
        <v>45618</v>
      </c>
      <c r="C1111" t="n">
        <v>119563</v>
      </c>
      <c r="D1111" t="n">
        <v>7091934</v>
      </c>
      <c r="E1111">
        <f>IF(A1111="","",COUNTIFS($A$2:$A$20000,A1111,$B$2:$B$20000,"&gt;"&amp;B1111)+1)</f>
        <v/>
      </c>
    </row>
    <row r="1112">
      <c r="A1112" t="inlineStr">
        <is>
          <t>샘플종목11</t>
        </is>
      </c>
      <c r="B1112" s="3" t="n">
        <v>45625</v>
      </c>
      <c r="C1112" t="n">
        <v>117484</v>
      </c>
      <c r="D1112" t="n">
        <v>3497261</v>
      </c>
      <c r="E1112">
        <f>IF(A1112="","",COUNTIFS($A$2:$A$20000,A1112,$B$2:$B$20000,"&gt;"&amp;B1112)+1)</f>
        <v/>
      </c>
    </row>
    <row r="1113">
      <c r="A1113" t="inlineStr">
        <is>
          <t>샘플종목11</t>
        </is>
      </c>
      <c r="B1113" s="3" t="n">
        <v>45632</v>
      </c>
      <c r="C1113" t="n">
        <v>121461</v>
      </c>
      <c r="D1113" t="n">
        <v>4743052</v>
      </c>
      <c r="E1113">
        <f>IF(A1113="","",COUNTIFS($A$2:$A$20000,A1113,$B$2:$B$20000,"&gt;"&amp;B1113)+1)</f>
        <v/>
      </c>
    </row>
    <row r="1114">
      <c r="A1114" t="inlineStr">
        <is>
          <t>샘플종목11</t>
        </is>
      </c>
      <c r="B1114" s="3" t="n">
        <v>45639</v>
      </c>
      <c r="C1114" t="n">
        <v>124242</v>
      </c>
      <c r="D1114" t="n">
        <v>8073177</v>
      </c>
      <c r="E1114">
        <f>IF(A1114="","",COUNTIFS($A$2:$A$20000,A1114,$B$2:$B$20000,"&gt;"&amp;B1114)+1)</f>
        <v/>
      </c>
    </row>
    <row r="1115">
      <c r="A1115" t="inlineStr">
        <is>
          <t>샘플종목11</t>
        </is>
      </c>
      <c r="B1115" s="3" t="n">
        <v>45646</v>
      </c>
      <c r="C1115" t="n">
        <v>119079</v>
      </c>
      <c r="D1115" t="n">
        <v>4607746</v>
      </c>
      <c r="E1115">
        <f>IF(A1115="","",COUNTIFS($A$2:$A$20000,A1115,$B$2:$B$20000,"&gt;"&amp;B1115)+1)</f>
        <v/>
      </c>
    </row>
    <row r="1116">
      <c r="A1116" t="inlineStr">
        <is>
          <t>샘플종목11</t>
        </is>
      </c>
      <c r="B1116" s="3" t="n">
        <v>45653</v>
      </c>
      <c r="C1116" t="n">
        <v>120946</v>
      </c>
      <c r="D1116" t="n">
        <v>2235280</v>
      </c>
      <c r="E1116">
        <f>IF(A1116="","",COUNTIFS($A$2:$A$20000,A1116,$B$2:$B$20000,"&gt;"&amp;B1116)+1)</f>
        <v/>
      </c>
    </row>
    <row r="1117">
      <c r="A1117" t="inlineStr">
        <is>
          <t>샘플종목11</t>
        </is>
      </c>
      <c r="B1117" s="3" t="n">
        <v>45660</v>
      </c>
      <c r="C1117" t="n">
        <v>113774</v>
      </c>
      <c r="D1117" t="n">
        <v>7029557</v>
      </c>
      <c r="E1117">
        <f>IF(A1117="","",COUNTIFS($A$2:$A$20000,A1117,$B$2:$B$20000,"&gt;"&amp;B1117)+1)</f>
        <v/>
      </c>
    </row>
    <row r="1118">
      <c r="A1118" t="inlineStr">
        <is>
          <t>샘플종목11</t>
        </is>
      </c>
      <c r="B1118" s="3" t="n">
        <v>45667</v>
      </c>
      <c r="C1118" t="n">
        <v>114293</v>
      </c>
      <c r="D1118" t="n">
        <v>9326568</v>
      </c>
      <c r="E1118">
        <f>IF(A1118="","",COUNTIFS($A$2:$A$20000,A1118,$B$2:$B$20000,"&gt;"&amp;B1118)+1)</f>
        <v/>
      </c>
    </row>
    <row r="1119">
      <c r="A1119" t="inlineStr">
        <is>
          <t>샘플종목11</t>
        </is>
      </c>
      <c r="B1119" s="3" t="n">
        <v>45674</v>
      </c>
      <c r="C1119" t="n">
        <v>114213</v>
      </c>
      <c r="D1119" t="n">
        <v>9928672</v>
      </c>
      <c r="E1119">
        <f>IF(A1119="","",COUNTIFS($A$2:$A$20000,A1119,$B$2:$B$20000,"&gt;"&amp;B1119)+1)</f>
        <v/>
      </c>
    </row>
    <row r="1120">
      <c r="A1120" t="inlineStr">
        <is>
          <t>샘플종목11</t>
        </is>
      </c>
      <c r="B1120" s="3" t="n">
        <v>45681</v>
      </c>
      <c r="C1120" t="n">
        <v>117844</v>
      </c>
      <c r="D1120" t="n">
        <v>9695879</v>
      </c>
      <c r="E1120">
        <f>IF(A1120="","",COUNTIFS($A$2:$A$20000,A1120,$B$2:$B$20000,"&gt;"&amp;B1120)+1)</f>
        <v/>
      </c>
    </row>
    <row r="1121">
      <c r="A1121" t="inlineStr">
        <is>
          <t>샘플종목11</t>
        </is>
      </c>
      <c r="B1121" s="3" t="n">
        <v>45688</v>
      </c>
      <c r="C1121" t="n">
        <v>121272</v>
      </c>
      <c r="D1121" t="n">
        <v>2610426</v>
      </c>
      <c r="E1121">
        <f>IF(A1121="","",COUNTIFS($A$2:$A$20000,A1121,$B$2:$B$20000,"&gt;"&amp;B1121)+1)</f>
        <v/>
      </c>
    </row>
    <row r="1122">
      <c r="A1122" t="inlineStr">
        <is>
          <t>샘플종목11</t>
        </is>
      </c>
      <c r="B1122" s="3" t="n">
        <v>45695</v>
      </c>
      <c r="C1122" t="n">
        <v>114130</v>
      </c>
      <c r="D1122" t="n">
        <v>1962708</v>
      </c>
      <c r="E1122">
        <f>IF(A1122="","",COUNTIFS($A$2:$A$20000,A1122,$B$2:$B$20000,"&gt;"&amp;B1122)+1)</f>
        <v/>
      </c>
    </row>
    <row r="1123">
      <c r="A1123" t="inlineStr">
        <is>
          <t>샘플종목11</t>
        </is>
      </c>
      <c r="B1123" s="3" t="n">
        <v>45702</v>
      </c>
      <c r="C1123" t="n">
        <v>118298</v>
      </c>
      <c r="D1123" t="n">
        <v>6467999</v>
      </c>
      <c r="E1123">
        <f>IF(A1123="","",COUNTIFS($A$2:$A$20000,A1123,$B$2:$B$20000,"&gt;"&amp;B1123)+1)</f>
        <v/>
      </c>
    </row>
    <row r="1124">
      <c r="A1124" t="inlineStr">
        <is>
          <t>샘플종목11</t>
        </is>
      </c>
      <c r="B1124" s="3" t="n">
        <v>45709</v>
      </c>
      <c r="C1124" t="n">
        <v>122869</v>
      </c>
      <c r="D1124" t="n">
        <v>4932895</v>
      </c>
      <c r="E1124">
        <f>IF(A1124="","",COUNTIFS($A$2:$A$20000,A1124,$B$2:$B$20000,"&gt;"&amp;B1124)+1)</f>
        <v/>
      </c>
    </row>
    <row r="1125">
      <c r="A1125" t="inlineStr">
        <is>
          <t>샘플종목11</t>
        </is>
      </c>
      <c r="B1125" s="3" t="n">
        <v>45716</v>
      </c>
      <c r="C1125" t="n">
        <v>117055</v>
      </c>
      <c r="D1125" t="n">
        <v>6015960</v>
      </c>
      <c r="E1125">
        <f>IF(A1125="","",COUNTIFS($A$2:$A$20000,A1125,$B$2:$B$20000,"&gt;"&amp;B1125)+1)</f>
        <v/>
      </c>
    </row>
    <row r="1126">
      <c r="A1126" t="inlineStr">
        <is>
          <t>샘플종목11</t>
        </is>
      </c>
      <c r="B1126" s="3" t="n">
        <v>45723</v>
      </c>
      <c r="C1126" t="n">
        <v>116047</v>
      </c>
      <c r="D1126" t="n">
        <v>9417254</v>
      </c>
      <c r="E1126">
        <f>IF(A1126="","",COUNTIFS($A$2:$A$20000,A1126,$B$2:$B$20000,"&gt;"&amp;B1126)+1)</f>
        <v/>
      </c>
    </row>
    <row r="1127">
      <c r="A1127" t="inlineStr">
        <is>
          <t>샘플종목11</t>
        </is>
      </c>
      <c r="B1127" s="3" t="n">
        <v>45730</v>
      </c>
      <c r="C1127" t="n">
        <v>120733</v>
      </c>
      <c r="D1127" t="n">
        <v>6550854</v>
      </c>
      <c r="E1127">
        <f>IF(A1127="","",COUNTIFS($A$2:$A$20000,A1127,$B$2:$B$20000,"&gt;"&amp;B1127)+1)</f>
        <v/>
      </c>
    </row>
    <row r="1128">
      <c r="A1128" t="inlineStr">
        <is>
          <t>샘플종목11</t>
        </is>
      </c>
      <c r="B1128" s="3" t="n">
        <v>45737</v>
      </c>
      <c r="C1128" t="n">
        <v>120639</v>
      </c>
      <c r="D1128" t="n">
        <v>8481055</v>
      </c>
      <c r="E1128">
        <f>IF(A1128="","",COUNTIFS($A$2:$A$20000,A1128,$B$2:$B$20000,"&gt;"&amp;B1128)+1)</f>
        <v/>
      </c>
    </row>
    <row r="1129">
      <c r="A1129" t="inlineStr">
        <is>
          <t>샘플종목11</t>
        </is>
      </c>
      <c r="B1129" s="3" t="n">
        <v>45744</v>
      </c>
      <c r="C1129" t="n">
        <v>120429</v>
      </c>
      <c r="D1129" t="n">
        <v>6486651</v>
      </c>
      <c r="E1129">
        <f>IF(A1129="","",COUNTIFS($A$2:$A$20000,A1129,$B$2:$B$20000,"&gt;"&amp;B1129)+1)</f>
        <v/>
      </c>
    </row>
    <row r="1130">
      <c r="A1130" t="inlineStr">
        <is>
          <t>샘플종목11</t>
        </is>
      </c>
      <c r="B1130" s="3" t="n">
        <v>45751</v>
      </c>
      <c r="C1130" t="n">
        <v>117784</v>
      </c>
      <c r="D1130" t="n">
        <v>5200822</v>
      </c>
      <c r="E1130">
        <f>IF(A1130="","",COUNTIFS($A$2:$A$20000,A1130,$B$2:$B$20000,"&gt;"&amp;B1130)+1)</f>
        <v/>
      </c>
    </row>
    <row r="1131">
      <c r="A1131" t="inlineStr">
        <is>
          <t>샘플종목11</t>
        </is>
      </c>
      <c r="B1131" s="3" t="n">
        <v>45758</v>
      </c>
      <c r="C1131" t="n">
        <v>119055</v>
      </c>
      <c r="D1131" t="n">
        <v>2532538</v>
      </c>
      <c r="E1131">
        <f>IF(A1131="","",COUNTIFS($A$2:$A$20000,A1131,$B$2:$B$20000,"&gt;"&amp;B1131)+1)</f>
        <v/>
      </c>
    </row>
    <row r="1132">
      <c r="A1132" t="inlineStr">
        <is>
          <t>샘플종목11</t>
        </is>
      </c>
      <c r="B1132" s="3" t="n">
        <v>45765</v>
      </c>
      <c r="C1132" t="n">
        <v>115034</v>
      </c>
      <c r="D1132" t="n">
        <v>3991261</v>
      </c>
      <c r="E1132">
        <f>IF(A1132="","",COUNTIFS($A$2:$A$20000,A1132,$B$2:$B$20000,"&gt;"&amp;B1132)+1)</f>
        <v/>
      </c>
    </row>
    <row r="1133">
      <c r="A1133" t="inlineStr">
        <is>
          <t>샘플종목11</t>
        </is>
      </c>
      <c r="B1133" s="3" t="n">
        <v>45772</v>
      </c>
      <c r="C1133" t="n">
        <v>117025</v>
      </c>
      <c r="D1133" t="n">
        <v>1575216</v>
      </c>
      <c r="E1133">
        <f>IF(A1133="","",COUNTIFS($A$2:$A$20000,A1133,$B$2:$B$20000,"&gt;"&amp;B1133)+1)</f>
        <v/>
      </c>
    </row>
    <row r="1134">
      <c r="A1134" t="inlineStr">
        <is>
          <t>샘플종목11</t>
        </is>
      </c>
      <c r="B1134" s="3" t="n">
        <v>45779</v>
      </c>
      <c r="C1134" t="n">
        <v>119082</v>
      </c>
      <c r="D1134" t="n">
        <v>4171039</v>
      </c>
      <c r="E1134">
        <f>IF(A1134="","",COUNTIFS($A$2:$A$20000,A1134,$B$2:$B$20000,"&gt;"&amp;B1134)+1)</f>
        <v/>
      </c>
    </row>
    <row r="1135">
      <c r="A1135" t="inlineStr">
        <is>
          <t>샘플종목11</t>
        </is>
      </c>
      <c r="B1135" s="3" t="n">
        <v>45786</v>
      </c>
      <c r="C1135" t="n">
        <v>115481</v>
      </c>
      <c r="D1135" t="n">
        <v>5566334</v>
      </c>
      <c r="E1135">
        <f>IF(A1135="","",COUNTIFS($A$2:$A$20000,A1135,$B$2:$B$20000,"&gt;"&amp;B1135)+1)</f>
        <v/>
      </c>
    </row>
    <row r="1136">
      <c r="A1136" t="inlineStr">
        <is>
          <t>샘플종목11</t>
        </is>
      </c>
      <c r="B1136" s="3" t="n">
        <v>45793</v>
      </c>
      <c r="C1136" t="n">
        <v>117091</v>
      </c>
      <c r="D1136" t="n">
        <v>279386</v>
      </c>
      <c r="E1136">
        <f>IF(A1136="","",COUNTIFS($A$2:$A$20000,A1136,$B$2:$B$20000,"&gt;"&amp;B1136)+1)</f>
        <v/>
      </c>
    </row>
    <row r="1137">
      <c r="A1137" t="inlineStr">
        <is>
          <t>샘플종목11</t>
        </is>
      </c>
      <c r="B1137" s="3" t="n">
        <v>45800</v>
      </c>
      <c r="C1137" t="n">
        <v>122062</v>
      </c>
      <c r="D1137" t="n">
        <v>529081</v>
      </c>
      <c r="E1137">
        <f>IF(A1137="","",COUNTIFS($A$2:$A$20000,A1137,$B$2:$B$20000,"&gt;"&amp;B1137)+1)</f>
        <v/>
      </c>
    </row>
    <row r="1138">
      <c r="A1138" t="inlineStr">
        <is>
          <t>샘플종목11</t>
        </is>
      </c>
      <c r="B1138" s="3" t="n">
        <v>45807</v>
      </c>
      <c r="C1138" t="n">
        <v>128328</v>
      </c>
      <c r="D1138" t="n">
        <v>8443936</v>
      </c>
      <c r="E1138">
        <f>IF(A1138="","",COUNTIFS($A$2:$A$20000,A1138,$B$2:$B$20000,"&gt;"&amp;B1138)+1)</f>
        <v/>
      </c>
    </row>
    <row r="1139">
      <c r="A1139" t="inlineStr">
        <is>
          <t>샘플종목11</t>
        </is>
      </c>
      <c r="B1139" s="3" t="n">
        <v>45814</v>
      </c>
      <c r="C1139" t="n">
        <v>130529</v>
      </c>
      <c r="D1139" t="n">
        <v>5130126</v>
      </c>
      <c r="E1139">
        <f>IF(A1139="","",COUNTIFS($A$2:$A$20000,A1139,$B$2:$B$20000,"&gt;"&amp;B1139)+1)</f>
        <v/>
      </c>
    </row>
    <row r="1140">
      <c r="A1140" t="inlineStr">
        <is>
          <t>샘플종목11</t>
        </is>
      </c>
      <c r="B1140" s="3" t="n">
        <v>45821</v>
      </c>
      <c r="C1140" t="n">
        <v>138684</v>
      </c>
      <c r="D1140" t="n">
        <v>9134524</v>
      </c>
      <c r="E1140">
        <f>IF(A1140="","",COUNTIFS($A$2:$A$20000,A1140,$B$2:$B$20000,"&gt;"&amp;B1140)+1)</f>
        <v/>
      </c>
    </row>
    <row r="1141">
      <c r="A1141" t="inlineStr">
        <is>
          <t>샘플종목11</t>
        </is>
      </c>
      <c r="B1141" s="3" t="n">
        <v>45828</v>
      </c>
      <c r="C1141" t="n">
        <v>134372</v>
      </c>
      <c r="D1141" t="n">
        <v>7434323</v>
      </c>
      <c r="E1141">
        <f>IF(A1141="","",COUNTIFS($A$2:$A$20000,A1141,$B$2:$B$20000,"&gt;"&amp;B1141)+1)</f>
        <v/>
      </c>
    </row>
    <row r="1142">
      <c r="A1142" t="inlineStr">
        <is>
          <t>샘플종목11</t>
        </is>
      </c>
      <c r="B1142" s="3" t="n">
        <v>45835</v>
      </c>
      <c r="C1142" t="n">
        <v>128193</v>
      </c>
      <c r="D1142" t="n">
        <v>7315147</v>
      </c>
      <c r="E1142">
        <f>IF(A1142="","",COUNTIFS($A$2:$A$20000,A1142,$B$2:$B$20000,"&gt;"&amp;B1142)+1)</f>
        <v/>
      </c>
    </row>
    <row r="1143">
      <c r="A1143" t="inlineStr">
        <is>
          <t>샘플종목11</t>
        </is>
      </c>
      <c r="B1143" s="3" t="n">
        <v>45842</v>
      </c>
      <c r="C1143" t="n">
        <v>127772</v>
      </c>
      <c r="D1143" t="n">
        <v>6635020</v>
      </c>
      <c r="E1143">
        <f>IF(A1143="","",COUNTIFS($A$2:$A$20000,A1143,$B$2:$B$20000,"&gt;"&amp;B1143)+1)</f>
        <v/>
      </c>
    </row>
    <row r="1144">
      <c r="A1144" t="inlineStr">
        <is>
          <t>샘플종목11</t>
        </is>
      </c>
      <c r="B1144" s="3" t="n">
        <v>45849</v>
      </c>
      <c r="C1144" t="n">
        <v>126591</v>
      </c>
      <c r="D1144" t="n">
        <v>5990594</v>
      </c>
      <c r="E1144">
        <f>IF(A1144="","",COUNTIFS($A$2:$A$20000,A1144,$B$2:$B$20000,"&gt;"&amp;B1144)+1)</f>
        <v/>
      </c>
    </row>
    <row r="1145">
      <c r="A1145" t="inlineStr">
        <is>
          <t>샘플종목11</t>
        </is>
      </c>
      <c r="B1145" s="3" t="n">
        <v>45856</v>
      </c>
      <c r="C1145" t="n">
        <v>127169</v>
      </c>
      <c r="D1145" t="n">
        <v>7701169</v>
      </c>
      <c r="E1145">
        <f>IF(A1145="","",COUNTIFS($A$2:$A$20000,A1145,$B$2:$B$20000,"&gt;"&amp;B1145)+1)</f>
        <v/>
      </c>
    </row>
    <row r="1146">
      <c r="A1146" t="inlineStr">
        <is>
          <t>샘플종목11</t>
        </is>
      </c>
      <c r="B1146" s="3" t="n">
        <v>45863</v>
      </c>
      <c r="C1146" t="n">
        <v>134660</v>
      </c>
      <c r="D1146" t="n">
        <v>8912203</v>
      </c>
      <c r="E1146">
        <f>IF(A1146="","",COUNTIFS($A$2:$A$20000,A1146,$B$2:$B$20000,"&gt;"&amp;B1146)+1)</f>
        <v/>
      </c>
    </row>
    <row r="1147">
      <c r="A1147" t="inlineStr">
        <is>
          <t>샘플종목11</t>
        </is>
      </c>
      <c r="B1147" s="3" t="n">
        <v>45870</v>
      </c>
      <c r="C1147" t="n">
        <v>132327</v>
      </c>
      <c r="D1147" t="n">
        <v>3946541</v>
      </c>
      <c r="E1147">
        <f>IF(A1147="","",COUNTIFS($A$2:$A$20000,A1147,$B$2:$B$20000,"&gt;"&amp;B1147)+1)</f>
        <v/>
      </c>
    </row>
    <row r="1148">
      <c r="A1148" t="inlineStr">
        <is>
          <t>샘플종목11</t>
        </is>
      </c>
      <c r="B1148" s="3" t="n">
        <v>45877</v>
      </c>
      <c r="C1148" t="n">
        <v>136759</v>
      </c>
      <c r="D1148" t="n">
        <v>6825879</v>
      </c>
      <c r="E1148">
        <f>IF(A1148="","",COUNTIFS($A$2:$A$20000,A1148,$B$2:$B$20000,"&gt;"&amp;B1148)+1)</f>
        <v/>
      </c>
    </row>
    <row r="1149">
      <c r="A1149" t="inlineStr">
        <is>
          <t>샘플종목11</t>
        </is>
      </c>
      <c r="B1149" s="3" t="n">
        <v>45884</v>
      </c>
      <c r="C1149" t="n">
        <v>140119</v>
      </c>
      <c r="D1149" t="n">
        <v>9517700</v>
      </c>
      <c r="E1149">
        <f>IF(A1149="","",COUNTIFS($A$2:$A$20000,A1149,$B$2:$B$20000,"&gt;"&amp;B1149)+1)</f>
        <v/>
      </c>
    </row>
    <row r="1150">
      <c r="A1150" t="inlineStr">
        <is>
          <t>샘플종목11</t>
        </is>
      </c>
      <c r="B1150" s="3" t="n">
        <v>45891</v>
      </c>
      <c r="C1150" t="n">
        <v>143320</v>
      </c>
      <c r="D1150" t="n">
        <v>3257710</v>
      </c>
      <c r="E1150">
        <f>IF(A1150="","",COUNTIFS($A$2:$A$20000,A1150,$B$2:$B$20000,"&gt;"&amp;B1150)+1)</f>
        <v/>
      </c>
    </row>
    <row r="1151">
      <c r="A1151" t="inlineStr">
        <is>
          <t>샘플종목11</t>
        </is>
      </c>
      <c r="B1151" s="3" t="n">
        <v>45898</v>
      </c>
      <c r="C1151" t="n">
        <v>142164</v>
      </c>
      <c r="D1151" t="n">
        <v>7166988</v>
      </c>
      <c r="E1151">
        <f>IF(A1151="","",COUNTIFS($A$2:$A$20000,A1151,$B$2:$B$20000,"&gt;"&amp;B1151)+1)</f>
        <v/>
      </c>
    </row>
    <row r="1152">
      <c r="A1152" t="inlineStr">
        <is>
          <t>샘플종목11</t>
        </is>
      </c>
      <c r="B1152" s="3" t="n">
        <v>45905</v>
      </c>
      <c r="C1152" t="n">
        <v>136345</v>
      </c>
      <c r="D1152" t="n">
        <v>9954982</v>
      </c>
      <c r="E1152">
        <f>IF(A1152="","",COUNTIFS($A$2:$A$20000,A1152,$B$2:$B$20000,"&gt;"&amp;B1152)+1)</f>
        <v/>
      </c>
    </row>
    <row r="1153">
      <c r="A1153" t="inlineStr">
        <is>
          <t>샘플종목11</t>
        </is>
      </c>
      <c r="B1153" s="3" t="n">
        <v>45912</v>
      </c>
      <c r="C1153" t="n">
        <v>137107</v>
      </c>
      <c r="D1153" t="n">
        <v>5859277</v>
      </c>
      <c r="E1153">
        <f>IF(A1153="","",COUNTIFS($A$2:$A$20000,A1153,$B$2:$B$20000,"&gt;"&amp;B1153)+1)</f>
        <v/>
      </c>
    </row>
    <row r="1154">
      <c r="A1154" t="inlineStr">
        <is>
          <t>샘플종목11</t>
        </is>
      </c>
      <c r="B1154" s="3" t="n">
        <v>45919</v>
      </c>
      <c r="C1154" t="n">
        <v>134121</v>
      </c>
      <c r="D1154" t="n">
        <v>1647577</v>
      </c>
      <c r="E1154">
        <f>IF(A1154="","",COUNTIFS($A$2:$A$20000,A1154,$B$2:$B$20000,"&gt;"&amp;B1154)+1)</f>
        <v/>
      </c>
    </row>
    <row r="1155">
      <c r="A1155" t="inlineStr">
        <is>
          <t>샘플종목11</t>
        </is>
      </c>
      <c r="B1155" s="3" t="n">
        <v>45926</v>
      </c>
      <c r="C1155" t="n">
        <v>126094</v>
      </c>
      <c r="D1155" t="n">
        <v>2964245</v>
      </c>
      <c r="E1155">
        <f>IF(A1155="","",COUNTIFS($A$2:$A$20000,A1155,$B$2:$B$20000,"&gt;"&amp;B1155)+1)</f>
        <v/>
      </c>
    </row>
    <row r="1156">
      <c r="A1156" t="inlineStr">
        <is>
          <t>샘플종목11</t>
        </is>
      </c>
      <c r="B1156" s="3" t="n">
        <v>45933</v>
      </c>
      <c r="C1156" t="n">
        <v>123210</v>
      </c>
      <c r="D1156" t="n">
        <v>1359755</v>
      </c>
      <c r="E1156">
        <f>IF(A1156="","",COUNTIFS($A$2:$A$20000,A1156,$B$2:$B$20000,"&gt;"&amp;B1156)+1)</f>
        <v/>
      </c>
    </row>
    <row r="1157">
      <c r="A1157" t="inlineStr">
        <is>
          <t>샘플종목11</t>
        </is>
      </c>
      <c r="B1157" s="3" t="n">
        <v>45940</v>
      </c>
      <c r="C1157" t="n">
        <v>127034</v>
      </c>
      <c r="D1157" t="n">
        <v>5311506</v>
      </c>
      <c r="E1157">
        <f>IF(A1157="","",COUNTIFS($A$2:$A$20000,A1157,$B$2:$B$20000,"&gt;"&amp;B1157)+1)</f>
        <v/>
      </c>
    </row>
    <row r="1158">
      <c r="A1158" t="inlineStr">
        <is>
          <t>샘플종목11</t>
        </is>
      </c>
      <c r="B1158" s="3" t="n">
        <v>45947</v>
      </c>
      <c r="C1158" t="n">
        <v>124837</v>
      </c>
      <c r="D1158" t="n">
        <v>5047945</v>
      </c>
      <c r="E1158">
        <f>IF(A1158="","",COUNTIFS($A$2:$A$20000,A1158,$B$2:$B$20000,"&gt;"&amp;B1158)+1)</f>
        <v/>
      </c>
    </row>
    <row r="1159">
      <c r="A1159" t="inlineStr">
        <is>
          <t>샘플종목11</t>
        </is>
      </c>
      <c r="B1159" s="3" t="n">
        <v>45954</v>
      </c>
      <c r="C1159" t="n">
        <v>124895</v>
      </c>
      <c r="D1159" t="n">
        <v>5860542</v>
      </c>
      <c r="E1159">
        <f>IF(A1159="","",COUNTIFS($A$2:$A$20000,A1159,$B$2:$B$20000,"&gt;"&amp;B1159)+1)</f>
        <v/>
      </c>
    </row>
    <row r="1160">
      <c r="A1160" t="inlineStr">
        <is>
          <t>샘플종목11</t>
        </is>
      </c>
      <c r="B1160" s="3" t="n">
        <v>45961</v>
      </c>
      <c r="C1160" t="n">
        <v>131666</v>
      </c>
      <c r="D1160" t="n">
        <v>7161314</v>
      </c>
      <c r="E1160">
        <f>IF(A1160="","",COUNTIFS($A$2:$A$20000,A1160,$B$2:$B$20000,"&gt;"&amp;B1160)+1)</f>
        <v/>
      </c>
    </row>
    <row r="1161">
      <c r="A1161" t="inlineStr">
        <is>
          <t>샘플종목11</t>
        </is>
      </c>
      <c r="B1161" s="3" t="n">
        <v>45968</v>
      </c>
      <c r="C1161" t="n">
        <v>117452</v>
      </c>
      <c r="D1161" t="n">
        <v>2723950</v>
      </c>
      <c r="E1161">
        <f>IF(A1161="","",COUNTIFS($A$2:$A$20000,A1161,$B$2:$B$20000,"&gt;"&amp;B1161)+1)</f>
        <v/>
      </c>
    </row>
    <row r="1162">
      <c r="A1162" t="inlineStr">
        <is>
          <t>샘플종목11</t>
        </is>
      </c>
      <c r="B1162" s="3" t="n">
        <v>45975</v>
      </c>
      <c r="C1162" t="n">
        <v>109138</v>
      </c>
      <c r="D1162" t="n">
        <v>3586208</v>
      </c>
      <c r="E1162">
        <f>IF(A1162="","",COUNTIFS($A$2:$A$20000,A1162,$B$2:$B$20000,"&gt;"&amp;B1162)+1)</f>
        <v/>
      </c>
    </row>
    <row r="1163">
      <c r="A1163" t="inlineStr">
        <is>
          <t>샘플종목11</t>
        </is>
      </c>
      <c r="B1163" s="3" t="n">
        <v>45982</v>
      </c>
      <c r="C1163" t="n">
        <v>108147</v>
      </c>
      <c r="D1163" t="n">
        <v>8570604</v>
      </c>
      <c r="E1163">
        <f>IF(A1163="","",COUNTIFS($A$2:$A$20000,A1163,$B$2:$B$20000,"&gt;"&amp;B1163)+1)</f>
        <v/>
      </c>
    </row>
    <row r="1164">
      <c r="A1164" t="inlineStr">
        <is>
          <t>샘플종목11</t>
        </is>
      </c>
      <c r="B1164" s="3" t="n">
        <v>45989</v>
      </c>
      <c r="C1164" t="n">
        <v>111855</v>
      </c>
      <c r="D1164" t="n">
        <v>1109483</v>
      </c>
      <c r="E1164">
        <f>IF(A1164="","",COUNTIFS($A$2:$A$20000,A1164,$B$2:$B$20000,"&gt;"&amp;B1164)+1)</f>
        <v/>
      </c>
    </row>
    <row r="1165">
      <c r="A1165" t="inlineStr">
        <is>
          <t>샘플종목11</t>
        </is>
      </c>
      <c r="B1165" s="3" t="n">
        <v>45996</v>
      </c>
      <c r="C1165" t="n">
        <v>109209</v>
      </c>
      <c r="D1165" t="n">
        <v>9578314</v>
      </c>
      <c r="E1165">
        <f>IF(A1165="","",COUNTIFS($A$2:$A$20000,A1165,$B$2:$B$20000,"&gt;"&amp;B1165)+1)</f>
        <v/>
      </c>
    </row>
    <row r="1166">
      <c r="A1166" t="inlineStr">
        <is>
          <t>샘플종목11</t>
        </is>
      </c>
      <c r="B1166" s="3" t="n">
        <v>46003</v>
      </c>
      <c r="C1166" t="n">
        <v>106176</v>
      </c>
      <c r="D1166" t="n">
        <v>809905</v>
      </c>
      <c r="E1166">
        <f>IF(A1166="","",COUNTIFS($A$2:$A$20000,A1166,$B$2:$B$20000,"&gt;"&amp;B1166)+1)</f>
        <v/>
      </c>
    </row>
    <row r="1167">
      <c r="A1167" t="inlineStr">
        <is>
          <t>샘플종목11</t>
        </is>
      </c>
      <c r="B1167" s="3" t="n">
        <v>46010</v>
      </c>
      <c r="C1167" t="n">
        <v>103996</v>
      </c>
      <c r="D1167" t="n">
        <v>7002442</v>
      </c>
      <c r="E1167">
        <f>IF(A1167="","",COUNTIFS($A$2:$A$20000,A1167,$B$2:$B$20000,"&gt;"&amp;B1167)+1)</f>
        <v/>
      </c>
    </row>
    <row r="1168">
      <c r="A1168" t="inlineStr">
        <is>
          <t>샘플종목11</t>
        </is>
      </c>
      <c r="B1168" s="3" t="n">
        <v>46017</v>
      </c>
      <c r="C1168" t="n">
        <v>104513</v>
      </c>
      <c r="D1168" t="n">
        <v>9376665</v>
      </c>
      <c r="E1168">
        <f>IF(A1168="","",COUNTIFS($A$2:$A$20000,A1168,$B$2:$B$20000,"&gt;"&amp;B1168)+1)</f>
        <v/>
      </c>
    </row>
    <row r="1169">
      <c r="A1169" t="inlineStr">
        <is>
          <t>샘플종목11</t>
        </is>
      </c>
      <c r="B1169" s="3" t="n">
        <v>46024</v>
      </c>
      <c r="C1169" t="n">
        <v>104743</v>
      </c>
      <c r="D1169" t="n">
        <v>165650</v>
      </c>
      <c r="E1169">
        <f>IF(A1169="","",COUNTIFS($A$2:$A$20000,A1169,$B$2:$B$20000,"&gt;"&amp;B1169)+1)</f>
        <v/>
      </c>
    </row>
    <row r="1170">
      <c r="A1170" t="inlineStr">
        <is>
          <t>샘플종목11</t>
        </is>
      </c>
      <c r="B1170" s="3" t="n">
        <v>46031</v>
      </c>
      <c r="C1170" t="n">
        <v>108611</v>
      </c>
      <c r="D1170" t="n">
        <v>1752508</v>
      </c>
      <c r="E1170">
        <f>IF(A1170="","",COUNTIFS($A$2:$A$20000,A1170,$B$2:$B$20000,"&gt;"&amp;B1170)+1)</f>
        <v/>
      </c>
    </row>
    <row r="1171">
      <c r="A1171" t="inlineStr">
        <is>
          <t>샘플종목11</t>
        </is>
      </c>
      <c r="B1171" s="3" t="n">
        <v>46038</v>
      </c>
      <c r="C1171" t="n">
        <v>106650</v>
      </c>
      <c r="D1171" t="n">
        <v>9934811</v>
      </c>
      <c r="E1171">
        <f>IF(A1171="","",COUNTIFS($A$2:$A$20000,A1171,$B$2:$B$20000,"&gt;"&amp;B1171)+1)</f>
        <v/>
      </c>
    </row>
    <row r="1172">
      <c r="A1172" t="inlineStr">
        <is>
          <t>샘플종목11</t>
        </is>
      </c>
      <c r="B1172" s="3" t="n">
        <v>46045</v>
      </c>
      <c r="C1172" t="n">
        <v>107902</v>
      </c>
      <c r="D1172" t="n">
        <v>3039270</v>
      </c>
      <c r="E1172">
        <f>IF(A1172="","",COUNTIFS($A$2:$A$20000,A1172,$B$2:$B$20000,"&gt;"&amp;B1172)+1)</f>
        <v/>
      </c>
    </row>
    <row r="1173">
      <c r="A1173" t="inlineStr">
        <is>
          <t>샘플종목11</t>
        </is>
      </c>
      <c r="B1173" s="3" t="n">
        <v>46052</v>
      </c>
      <c r="C1173" t="n">
        <v>108221</v>
      </c>
      <c r="D1173" t="n">
        <v>8452726</v>
      </c>
      <c r="E1173">
        <f>IF(A1173="","",COUNTIFS($A$2:$A$20000,A1173,$B$2:$B$20000,"&gt;"&amp;B1173)+1)</f>
        <v/>
      </c>
    </row>
    <row r="1174">
      <c r="A1174" t="inlineStr">
        <is>
          <t>샘플종목11</t>
        </is>
      </c>
      <c r="B1174" s="3" t="n">
        <v>46059</v>
      </c>
      <c r="C1174" t="n">
        <v>109103</v>
      </c>
      <c r="D1174" t="n">
        <v>9016899</v>
      </c>
      <c r="E1174">
        <f>IF(A1174="","",COUNTIFS($A$2:$A$20000,A1174,$B$2:$B$20000,"&gt;"&amp;B1174)+1)</f>
        <v/>
      </c>
    </row>
    <row r="1175">
      <c r="A1175" t="inlineStr">
        <is>
          <t>샘플종목11</t>
        </is>
      </c>
      <c r="B1175" s="3" t="n">
        <v>46066</v>
      </c>
      <c r="C1175" t="n">
        <v>103715</v>
      </c>
      <c r="D1175" t="n">
        <v>8729124</v>
      </c>
      <c r="E1175">
        <f>IF(A1175="","",COUNTIFS($A$2:$A$20000,A1175,$B$2:$B$20000,"&gt;"&amp;B1175)+1)</f>
        <v/>
      </c>
    </row>
    <row r="1176">
      <c r="A1176" t="inlineStr">
        <is>
          <t>샘플종목11</t>
        </is>
      </c>
      <c r="B1176" s="3" t="n">
        <v>46073</v>
      </c>
      <c r="C1176" t="n">
        <v>109344</v>
      </c>
      <c r="D1176" t="n">
        <v>6997121</v>
      </c>
      <c r="E1176">
        <f>IF(A1176="","",COUNTIFS($A$2:$A$20000,A1176,$B$2:$B$20000,"&gt;"&amp;B1176)+1)</f>
        <v/>
      </c>
    </row>
    <row r="1177">
      <c r="A1177" t="inlineStr">
        <is>
          <t>샘플종목11</t>
        </is>
      </c>
      <c r="B1177" s="3" t="n">
        <v>46080</v>
      </c>
      <c r="C1177" t="n">
        <v>109459</v>
      </c>
      <c r="D1177" t="n">
        <v>2138454</v>
      </c>
      <c r="E1177">
        <f>IF(A1177="","",COUNTIFS($A$2:$A$20000,A1177,$B$2:$B$20000,"&gt;"&amp;B1177)+1)</f>
        <v/>
      </c>
    </row>
    <row r="1178">
      <c r="A1178" t="inlineStr">
        <is>
          <t>샘플종목11</t>
        </is>
      </c>
      <c r="B1178" s="3" t="n">
        <v>46087</v>
      </c>
      <c r="C1178" t="n">
        <v>112913</v>
      </c>
      <c r="D1178" t="n">
        <v>8647791</v>
      </c>
      <c r="E1178">
        <f>IF(A1178="","",COUNTIFS($A$2:$A$20000,A1178,$B$2:$B$20000,"&gt;"&amp;B1178)+1)</f>
        <v/>
      </c>
    </row>
    <row r="1179">
      <c r="A1179" t="inlineStr">
        <is>
          <t>샘플종목11</t>
        </is>
      </c>
      <c r="B1179" s="3" t="n">
        <v>46094</v>
      </c>
      <c r="C1179" t="n">
        <v>117460</v>
      </c>
      <c r="D1179" t="n">
        <v>1889225</v>
      </c>
      <c r="E1179">
        <f>IF(A1179="","",COUNTIFS($A$2:$A$20000,A1179,$B$2:$B$20000,"&gt;"&amp;B1179)+1)</f>
        <v/>
      </c>
    </row>
    <row r="1180">
      <c r="A1180" t="inlineStr">
        <is>
          <t>샘플종목11</t>
        </is>
      </c>
      <c r="B1180" s="3" t="n">
        <v>46101</v>
      </c>
      <c r="C1180" t="n">
        <v>119534</v>
      </c>
      <c r="D1180" t="n">
        <v>8866013</v>
      </c>
      <c r="E1180">
        <f>IF(A1180="","",COUNTIFS($A$2:$A$20000,A1180,$B$2:$B$20000,"&gt;"&amp;B1180)+1)</f>
        <v/>
      </c>
    </row>
    <row r="1181">
      <c r="A1181" t="inlineStr">
        <is>
          <t>샘플종목11</t>
        </is>
      </c>
      <c r="B1181" s="3" t="n">
        <v>46108</v>
      </c>
      <c r="C1181" t="n">
        <v>120118</v>
      </c>
      <c r="D1181" t="n">
        <v>8327994</v>
      </c>
      <c r="E1181">
        <f>IF(A1181="","",COUNTIFS($A$2:$A$20000,A1181,$B$2:$B$20000,"&gt;"&amp;B1181)+1)</f>
        <v/>
      </c>
    </row>
    <row r="1182">
      <c r="A1182" t="inlineStr">
        <is>
          <t>샘플종목11</t>
        </is>
      </c>
      <c r="B1182" s="3" t="n">
        <v>46115</v>
      </c>
      <c r="C1182" t="n">
        <v>123295</v>
      </c>
      <c r="D1182" t="n">
        <v>1142120</v>
      </c>
      <c r="E1182">
        <f>IF(A1182="","",COUNTIFS($A$2:$A$20000,A1182,$B$2:$B$20000,"&gt;"&amp;B1182)+1)</f>
        <v/>
      </c>
    </row>
    <row r="1183">
      <c r="A1183" t="inlineStr">
        <is>
          <t>샘플종목11</t>
        </is>
      </c>
      <c r="B1183" s="3" t="n">
        <v>46122</v>
      </c>
      <c r="C1183" t="n">
        <v>117451</v>
      </c>
      <c r="D1183" t="n">
        <v>309568</v>
      </c>
      <c r="E1183">
        <f>IF(A1183="","",COUNTIFS($A$2:$A$20000,A1183,$B$2:$B$20000,"&gt;"&amp;B1183)+1)</f>
        <v/>
      </c>
    </row>
    <row r="1184">
      <c r="A1184" t="inlineStr">
        <is>
          <t>샘플종목11</t>
        </is>
      </c>
      <c r="B1184" s="3" t="n">
        <v>46129</v>
      </c>
      <c r="C1184" t="n">
        <v>115216</v>
      </c>
      <c r="D1184" t="n">
        <v>2514696</v>
      </c>
      <c r="E1184">
        <f>IF(A1184="","",COUNTIFS($A$2:$A$20000,A1184,$B$2:$B$20000,"&gt;"&amp;B1184)+1)</f>
        <v/>
      </c>
    </row>
    <row r="1185">
      <c r="A1185" t="inlineStr">
        <is>
          <t>샘플종목11</t>
        </is>
      </c>
      <c r="B1185" s="3" t="n">
        <v>46136</v>
      </c>
      <c r="C1185" t="n">
        <v>109891</v>
      </c>
      <c r="D1185" t="n">
        <v>4097388</v>
      </c>
      <c r="E1185">
        <f>IF(A1185="","",COUNTIFS($A$2:$A$20000,A1185,$B$2:$B$20000,"&gt;"&amp;B1185)+1)</f>
        <v/>
      </c>
    </row>
    <row r="1186">
      <c r="A1186" t="inlineStr">
        <is>
          <t>샘플종목11</t>
        </is>
      </c>
      <c r="B1186" s="3" t="n">
        <v>46143</v>
      </c>
      <c r="C1186" t="n">
        <v>108485</v>
      </c>
      <c r="D1186" t="n">
        <v>4572974</v>
      </c>
      <c r="E1186">
        <f>IF(A1186="","",COUNTIFS($A$2:$A$20000,A1186,$B$2:$B$20000,"&gt;"&amp;B1186)+1)</f>
        <v/>
      </c>
    </row>
    <row r="1187">
      <c r="A1187" t="inlineStr">
        <is>
          <t>샘플종목11</t>
        </is>
      </c>
      <c r="B1187" s="3" t="n">
        <v>46150</v>
      </c>
      <c r="C1187" t="n">
        <v>110803</v>
      </c>
      <c r="D1187" t="n">
        <v>1768590</v>
      </c>
      <c r="E1187">
        <f>IF(A1187="","",COUNTIFS($A$2:$A$20000,A1187,$B$2:$B$20000,"&gt;"&amp;B1187)+1)</f>
        <v/>
      </c>
    </row>
    <row r="1188">
      <c r="A1188" t="inlineStr">
        <is>
          <t>샘플종목11</t>
        </is>
      </c>
      <c r="B1188" s="3" t="n">
        <v>46157</v>
      </c>
      <c r="C1188" t="n">
        <v>117852</v>
      </c>
      <c r="D1188" t="n">
        <v>1157342</v>
      </c>
      <c r="E1188">
        <f>IF(A1188="","",COUNTIFS($A$2:$A$20000,A1188,$B$2:$B$20000,"&gt;"&amp;B1188)+1)</f>
        <v/>
      </c>
    </row>
    <row r="1189">
      <c r="A1189" t="inlineStr">
        <is>
          <t>샘플종목11</t>
        </is>
      </c>
      <c r="B1189" s="3" t="n">
        <v>46164</v>
      </c>
      <c r="C1189" t="n">
        <v>109233</v>
      </c>
      <c r="D1189" t="n">
        <v>5953462</v>
      </c>
      <c r="E1189">
        <f>IF(A1189="","",COUNTIFS($A$2:$A$20000,A1189,$B$2:$B$20000,"&gt;"&amp;B1189)+1)</f>
        <v/>
      </c>
    </row>
    <row r="1190">
      <c r="A1190" t="inlineStr">
        <is>
          <t>샘플종목11</t>
        </is>
      </c>
      <c r="B1190" s="3" t="n">
        <v>46171</v>
      </c>
      <c r="C1190" t="n">
        <v>111642</v>
      </c>
      <c r="D1190" t="n">
        <v>427966</v>
      </c>
      <c r="E1190">
        <f>IF(A1190="","",COUNTIFS($A$2:$A$20000,A1190,$B$2:$B$20000,"&gt;"&amp;B1190)+1)</f>
        <v/>
      </c>
    </row>
    <row r="1191">
      <c r="A1191" t="inlineStr">
        <is>
          <t>샘플종목11</t>
        </is>
      </c>
      <c r="B1191" s="3" t="n">
        <v>46178</v>
      </c>
      <c r="C1191" t="n">
        <v>117697</v>
      </c>
      <c r="D1191" t="n">
        <v>1017359</v>
      </c>
      <c r="E1191">
        <f>IF(A1191="","",COUNTIFS($A$2:$A$20000,A1191,$B$2:$B$20000,"&gt;"&amp;B1191)+1)</f>
        <v/>
      </c>
    </row>
    <row r="1192">
      <c r="A1192" t="inlineStr">
        <is>
          <t>샘플종목11</t>
        </is>
      </c>
      <c r="B1192" s="3" t="n">
        <v>46185</v>
      </c>
      <c r="C1192" t="n">
        <v>118817</v>
      </c>
      <c r="D1192" t="n">
        <v>836915</v>
      </c>
      <c r="E1192">
        <f>IF(A1192="","",COUNTIFS($A$2:$A$20000,A1192,$B$2:$B$20000,"&gt;"&amp;B1192)+1)</f>
        <v/>
      </c>
    </row>
    <row r="1193">
      <c r="A1193" t="inlineStr">
        <is>
          <t>샘플종목11</t>
        </is>
      </c>
      <c r="B1193" s="3" t="n">
        <v>46192</v>
      </c>
      <c r="C1193" t="n">
        <v>123742</v>
      </c>
      <c r="D1193" t="n">
        <v>7475953</v>
      </c>
      <c r="E1193">
        <f>IF(A1193="","",COUNTIFS($A$2:$A$20000,A1193,$B$2:$B$20000,"&gt;"&amp;B1193)+1)</f>
        <v/>
      </c>
    </row>
    <row r="1194">
      <c r="A1194" t="inlineStr">
        <is>
          <t>샘플종목11</t>
        </is>
      </c>
      <c r="B1194" s="3" t="n">
        <v>46199</v>
      </c>
      <c r="C1194" t="n">
        <v>127429</v>
      </c>
      <c r="D1194" t="n">
        <v>3839632</v>
      </c>
      <c r="E1194">
        <f>IF(A1194="","",COUNTIFS($A$2:$A$20000,A1194,$B$2:$B$20000,"&gt;"&amp;B1194)+1)</f>
        <v/>
      </c>
    </row>
    <row r="1195">
      <c r="A1195" t="inlineStr">
        <is>
          <t>샘플종목11</t>
        </is>
      </c>
      <c r="B1195" s="3" t="n">
        <v>46206</v>
      </c>
      <c r="C1195" t="n">
        <v>128949</v>
      </c>
      <c r="D1195" t="n">
        <v>837841</v>
      </c>
      <c r="E1195">
        <f>IF(A1195="","",COUNTIFS($A$2:$A$20000,A1195,$B$2:$B$20000,"&gt;"&amp;B1195)+1)</f>
        <v/>
      </c>
    </row>
    <row r="1196">
      <c r="A1196" t="inlineStr">
        <is>
          <t>샘플종목11</t>
        </is>
      </c>
      <c r="B1196" s="3" t="n">
        <v>46213</v>
      </c>
      <c r="C1196" t="n">
        <v>132904</v>
      </c>
      <c r="D1196" t="n">
        <v>3011370</v>
      </c>
      <c r="E1196">
        <f>IF(A1196="","",COUNTIFS($A$2:$A$20000,A1196,$B$2:$B$20000,"&gt;"&amp;B1196)+1)</f>
        <v/>
      </c>
    </row>
    <row r="1197">
      <c r="A1197" t="inlineStr">
        <is>
          <t>샘플종목11</t>
        </is>
      </c>
      <c r="B1197" s="3" t="n">
        <v>46220</v>
      </c>
      <c r="C1197" t="n">
        <v>139125</v>
      </c>
      <c r="D1197" t="n">
        <v>5381358</v>
      </c>
      <c r="E1197">
        <f>IF(A1197="","",COUNTIFS($A$2:$A$20000,A1197,$B$2:$B$20000,"&gt;"&amp;B1197)+1)</f>
        <v/>
      </c>
    </row>
    <row r="1198">
      <c r="A1198" t="inlineStr">
        <is>
          <t>샘플종목11</t>
        </is>
      </c>
      <c r="B1198" s="3" t="n">
        <v>46227</v>
      </c>
      <c r="C1198" t="n">
        <v>150573</v>
      </c>
      <c r="D1198" t="n">
        <v>7741071</v>
      </c>
      <c r="E1198">
        <f>IF(A1198="","",COUNTIFS($A$2:$A$20000,A1198,$B$2:$B$20000,"&gt;"&amp;B1198)+1)</f>
        <v/>
      </c>
    </row>
    <row r="1199">
      <c r="A1199" t="inlineStr">
        <is>
          <t>샘플종목11</t>
        </is>
      </c>
      <c r="B1199" s="3" t="n">
        <v>46234</v>
      </c>
      <c r="C1199" t="n">
        <v>151342</v>
      </c>
      <c r="D1199" t="n">
        <v>5194847</v>
      </c>
      <c r="E1199">
        <f>IF(A1199="","",COUNTIFS($A$2:$A$20000,A1199,$B$2:$B$20000,"&gt;"&amp;B1199)+1)</f>
        <v/>
      </c>
    </row>
    <row r="1200">
      <c r="A1200" t="inlineStr">
        <is>
          <t>샘플종목11</t>
        </is>
      </c>
      <c r="B1200" s="3" t="n">
        <v>46241</v>
      </c>
      <c r="C1200" t="n">
        <v>147625</v>
      </c>
      <c r="D1200" t="n">
        <v>8413980</v>
      </c>
      <c r="E1200">
        <f>IF(A1200="","",COUNTIFS($A$2:$A$20000,A1200,$B$2:$B$20000,"&gt;"&amp;B1200)+1)</f>
        <v/>
      </c>
    </row>
    <row r="1201">
      <c r="A1201" t="inlineStr">
        <is>
          <t>샘플종목11</t>
        </is>
      </c>
      <c r="B1201" s="3" t="n">
        <v>46248</v>
      </c>
      <c r="C1201" t="n">
        <v>150128</v>
      </c>
      <c r="D1201" t="n">
        <v>1232897</v>
      </c>
      <c r="E1201">
        <f>IF(A1201="","",COUNTIFS($A$2:$A$20000,A1201,$B$2:$B$20000,"&gt;"&amp;B1201)+1)</f>
        <v/>
      </c>
    </row>
    <row r="1202">
      <c r="A1202" t="inlineStr">
        <is>
          <t>샘플종목11</t>
        </is>
      </c>
      <c r="B1202" s="3" t="n">
        <v>46255</v>
      </c>
      <c r="C1202" t="n">
        <v>150694</v>
      </c>
      <c r="D1202" t="n">
        <v>9911655</v>
      </c>
      <c r="E1202">
        <f>IF(A1202="","",COUNTIFS($A$2:$A$20000,A1202,$B$2:$B$20000,"&gt;"&amp;B1202)+1)</f>
        <v/>
      </c>
    </row>
    <row r="1203">
      <c r="A1203" t="inlineStr">
        <is>
          <t>샘플종목11</t>
        </is>
      </c>
      <c r="B1203" s="3" t="n">
        <v>46262</v>
      </c>
      <c r="C1203" t="n">
        <v>156981</v>
      </c>
      <c r="D1203" t="n">
        <v>3814447</v>
      </c>
      <c r="E1203">
        <f>IF(A1203="","",COUNTIFS($A$2:$A$20000,A1203,$B$2:$B$20000,"&gt;"&amp;B1203)+1)</f>
        <v/>
      </c>
    </row>
    <row r="1204">
      <c r="A1204" t="inlineStr">
        <is>
          <t>샘플종목11</t>
        </is>
      </c>
      <c r="B1204" s="3" t="n">
        <v>46269</v>
      </c>
      <c r="C1204" t="n">
        <v>151875</v>
      </c>
      <c r="D1204" t="n">
        <v>8226708</v>
      </c>
      <c r="E1204">
        <f>IF(A1204="","",COUNTIFS($A$2:$A$20000,A1204,$B$2:$B$20000,"&gt;"&amp;B1204)+1)</f>
        <v/>
      </c>
    </row>
    <row r="1205">
      <c r="A1205" t="inlineStr">
        <is>
          <t>샘플종목11</t>
        </is>
      </c>
      <c r="B1205" s="3" t="n">
        <v>46276</v>
      </c>
      <c r="C1205" t="n">
        <v>155347</v>
      </c>
      <c r="D1205" t="n">
        <v>476254</v>
      </c>
      <c r="E1205">
        <f>IF(A1205="","",COUNTIFS($A$2:$A$20000,A1205,$B$2:$B$20000,"&gt;"&amp;B1205)+1)</f>
        <v/>
      </c>
    </row>
    <row r="1206">
      <c r="A1206" t="inlineStr">
        <is>
          <t>샘플종목11</t>
        </is>
      </c>
      <c r="B1206" s="3" t="n">
        <v>46283</v>
      </c>
      <c r="C1206" t="n">
        <v>156889</v>
      </c>
      <c r="D1206" t="n">
        <v>3010303</v>
      </c>
      <c r="E1206">
        <f>IF(A1206="","",COUNTIFS($A$2:$A$20000,A1206,$B$2:$B$20000,"&gt;"&amp;B1206)+1)</f>
        <v/>
      </c>
    </row>
    <row r="1207">
      <c r="A1207" t="inlineStr">
        <is>
          <t>샘플종목11</t>
        </is>
      </c>
      <c r="B1207" s="3" t="n">
        <v>46290</v>
      </c>
      <c r="C1207" t="n">
        <v>152684</v>
      </c>
      <c r="D1207" t="n">
        <v>2950856</v>
      </c>
      <c r="E1207">
        <f>IF(A1207="","",COUNTIFS($A$2:$A$20000,A1207,$B$2:$B$20000,"&gt;"&amp;B1207)+1)</f>
        <v/>
      </c>
    </row>
    <row r="1208">
      <c r="A1208" t="inlineStr">
        <is>
          <t>샘플종목11</t>
        </is>
      </c>
      <c r="B1208" s="3" t="n">
        <v>46297</v>
      </c>
      <c r="C1208" t="n">
        <v>150518</v>
      </c>
      <c r="D1208" t="n">
        <v>4977147</v>
      </c>
      <c r="E1208">
        <f>IF(A1208="","",COUNTIFS($A$2:$A$20000,A1208,$B$2:$B$20000,"&gt;"&amp;B1208)+1)</f>
        <v/>
      </c>
    </row>
    <row r="1209">
      <c r="A1209" t="inlineStr">
        <is>
          <t>샘플종목11</t>
        </is>
      </c>
      <c r="B1209" s="3" t="n">
        <v>46304</v>
      </c>
      <c r="C1209" t="n">
        <v>153825</v>
      </c>
      <c r="D1209" t="n">
        <v>6744228</v>
      </c>
      <c r="E1209">
        <f>IF(A1209="","",COUNTIFS($A$2:$A$20000,A1209,$B$2:$B$20000,"&gt;"&amp;B1209)+1)</f>
        <v/>
      </c>
    </row>
    <row r="1210">
      <c r="A1210" t="inlineStr">
        <is>
          <t>샘플종목11</t>
        </is>
      </c>
      <c r="B1210" s="3" t="n">
        <v>46311</v>
      </c>
      <c r="C1210" t="n">
        <v>151318</v>
      </c>
      <c r="D1210" t="n">
        <v>9054847</v>
      </c>
      <c r="E1210">
        <f>IF(A1210="","",COUNTIFS($A$2:$A$20000,A1210,$B$2:$B$20000,"&gt;"&amp;B1210)+1)</f>
        <v/>
      </c>
    </row>
    <row r="1211">
      <c r="A1211" t="inlineStr">
        <is>
          <t>샘플종목11</t>
        </is>
      </c>
      <c r="B1211" s="3" t="n">
        <v>46318</v>
      </c>
      <c r="C1211" t="n">
        <v>150493</v>
      </c>
      <c r="D1211" t="n">
        <v>6569250</v>
      </c>
      <c r="E1211">
        <f>IF(A1211="","",COUNTIFS($A$2:$A$20000,A1211,$B$2:$B$20000,"&gt;"&amp;B1211)+1)</f>
        <v/>
      </c>
    </row>
    <row r="1212">
      <c r="A1212" t="inlineStr">
        <is>
          <t>샘플종목12</t>
        </is>
      </c>
      <c r="B1212" s="3" t="n">
        <v>45555</v>
      </c>
      <c r="C1212" t="n">
        <v>66459</v>
      </c>
      <c r="D1212" t="n">
        <v>7184632</v>
      </c>
      <c r="E1212">
        <f>IF(A1212="","",COUNTIFS($A$2:$A$20000,A1212,$B$2:$B$20000,"&gt;"&amp;B1212)+1)</f>
        <v/>
      </c>
    </row>
    <row r="1213">
      <c r="A1213" t="inlineStr">
        <is>
          <t>샘플종목12</t>
        </is>
      </c>
      <c r="B1213" s="3" t="n">
        <v>45562</v>
      </c>
      <c r="C1213" t="n">
        <v>61077</v>
      </c>
      <c r="D1213" t="n">
        <v>5992956</v>
      </c>
      <c r="E1213">
        <f>IF(A1213="","",COUNTIFS($A$2:$A$20000,A1213,$B$2:$B$20000,"&gt;"&amp;B1213)+1)</f>
        <v/>
      </c>
    </row>
    <row r="1214">
      <c r="A1214" t="inlineStr">
        <is>
          <t>샘플종목12</t>
        </is>
      </c>
      <c r="B1214" s="3" t="n">
        <v>45569</v>
      </c>
      <c r="C1214" t="n">
        <v>58917</v>
      </c>
      <c r="D1214" t="n">
        <v>7935192</v>
      </c>
      <c r="E1214">
        <f>IF(A1214="","",COUNTIFS($A$2:$A$20000,A1214,$B$2:$B$20000,"&gt;"&amp;B1214)+1)</f>
        <v/>
      </c>
    </row>
    <row r="1215">
      <c r="A1215" t="inlineStr">
        <is>
          <t>샘플종목12</t>
        </is>
      </c>
      <c r="B1215" s="3" t="n">
        <v>45576</v>
      </c>
      <c r="C1215" t="n">
        <v>58261</v>
      </c>
      <c r="D1215" t="n">
        <v>4857798</v>
      </c>
      <c r="E1215">
        <f>IF(A1215="","",COUNTIFS($A$2:$A$20000,A1215,$B$2:$B$20000,"&gt;"&amp;B1215)+1)</f>
        <v/>
      </c>
    </row>
    <row r="1216">
      <c r="A1216" t="inlineStr">
        <is>
          <t>샘플종목12</t>
        </is>
      </c>
      <c r="B1216" s="3" t="n">
        <v>45583</v>
      </c>
      <c r="C1216" t="n">
        <v>56983</v>
      </c>
      <c r="D1216" t="n">
        <v>4783072</v>
      </c>
      <c r="E1216">
        <f>IF(A1216="","",COUNTIFS($A$2:$A$20000,A1216,$B$2:$B$20000,"&gt;"&amp;B1216)+1)</f>
        <v/>
      </c>
    </row>
    <row r="1217">
      <c r="A1217" t="inlineStr">
        <is>
          <t>샘플종목12</t>
        </is>
      </c>
      <c r="B1217" s="3" t="n">
        <v>45590</v>
      </c>
      <c r="C1217" t="n">
        <v>59118</v>
      </c>
      <c r="D1217" t="n">
        <v>524198</v>
      </c>
      <c r="E1217">
        <f>IF(A1217="","",COUNTIFS($A$2:$A$20000,A1217,$B$2:$B$20000,"&gt;"&amp;B1217)+1)</f>
        <v/>
      </c>
    </row>
    <row r="1218">
      <c r="A1218" t="inlineStr">
        <is>
          <t>샘플종목12</t>
        </is>
      </c>
      <c r="B1218" s="3" t="n">
        <v>45597</v>
      </c>
      <c r="C1218" t="n">
        <v>58488</v>
      </c>
      <c r="D1218" t="n">
        <v>2278774</v>
      </c>
      <c r="E1218">
        <f>IF(A1218="","",COUNTIFS($A$2:$A$20000,A1218,$B$2:$B$20000,"&gt;"&amp;B1218)+1)</f>
        <v/>
      </c>
    </row>
    <row r="1219">
      <c r="A1219" t="inlineStr">
        <is>
          <t>샘플종목12</t>
        </is>
      </c>
      <c r="B1219" s="3" t="n">
        <v>45604</v>
      </c>
      <c r="C1219" t="n">
        <v>59749</v>
      </c>
      <c r="D1219" t="n">
        <v>1654095</v>
      </c>
      <c r="E1219">
        <f>IF(A1219="","",COUNTIFS($A$2:$A$20000,A1219,$B$2:$B$20000,"&gt;"&amp;B1219)+1)</f>
        <v/>
      </c>
    </row>
    <row r="1220">
      <c r="A1220" t="inlineStr">
        <is>
          <t>샘플종목12</t>
        </is>
      </c>
      <c r="B1220" s="3" t="n">
        <v>45611</v>
      </c>
      <c r="C1220" t="n">
        <v>60861</v>
      </c>
      <c r="D1220" t="n">
        <v>2244034</v>
      </c>
      <c r="E1220">
        <f>IF(A1220="","",COUNTIFS($A$2:$A$20000,A1220,$B$2:$B$20000,"&gt;"&amp;B1220)+1)</f>
        <v/>
      </c>
    </row>
    <row r="1221">
      <c r="A1221" t="inlineStr">
        <is>
          <t>샘플종목12</t>
        </is>
      </c>
      <c r="B1221" s="3" t="n">
        <v>45618</v>
      </c>
      <c r="C1221" t="n">
        <v>63865</v>
      </c>
      <c r="D1221" t="n">
        <v>9410948</v>
      </c>
      <c r="E1221">
        <f>IF(A1221="","",COUNTIFS($A$2:$A$20000,A1221,$B$2:$B$20000,"&gt;"&amp;B1221)+1)</f>
        <v/>
      </c>
    </row>
    <row r="1222">
      <c r="A1222" t="inlineStr">
        <is>
          <t>샘플종목12</t>
        </is>
      </c>
      <c r="B1222" s="3" t="n">
        <v>45625</v>
      </c>
      <c r="C1222" t="n">
        <v>59438</v>
      </c>
      <c r="D1222" t="n">
        <v>4129625</v>
      </c>
      <c r="E1222">
        <f>IF(A1222="","",COUNTIFS($A$2:$A$20000,A1222,$B$2:$B$20000,"&gt;"&amp;B1222)+1)</f>
        <v/>
      </c>
    </row>
    <row r="1223">
      <c r="A1223" t="inlineStr">
        <is>
          <t>샘플종목12</t>
        </is>
      </c>
      <c r="B1223" s="3" t="n">
        <v>45632</v>
      </c>
      <c r="C1223" t="n">
        <v>61134</v>
      </c>
      <c r="D1223" t="n">
        <v>2771301</v>
      </c>
      <c r="E1223">
        <f>IF(A1223="","",COUNTIFS($A$2:$A$20000,A1223,$B$2:$B$20000,"&gt;"&amp;B1223)+1)</f>
        <v/>
      </c>
    </row>
    <row r="1224">
      <c r="A1224" t="inlineStr">
        <is>
          <t>샘플종목12</t>
        </is>
      </c>
      <c r="B1224" s="3" t="n">
        <v>45639</v>
      </c>
      <c r="C1224" t="n">
        <v>60103</v>
      </c>
      <c r="D1224" t="n">
        <v>6897324</v>
      </c>
      <c r="E1224">
        <f>IF(A1224="","",COUNTIFS($A$2:$A$20000,A1224,$B$2:$B$20000,"&gt;"&amp;B1224)+1)</f>
        <v/>
      </c>
    </row>
    <row r="1225">
      <c r="A1225" t="inlineStr">
        <is>
          <t>샘플종목12</t>
        </is>
      </c>
      <c r="B1225" s="3" t="n">
        <v>45646</v>
      </c>
      <c r="C1225" t="n">
        <v>61462</v>
      </c>
      <c r="D1225" t="n">
        <v>6423225</v>
      </c>
      <c r="E1225">
        <f>IF(A1225="","",COUNTIFS($A$2:$A$20000,A1225,$B$2:$B$20000,"&gt;"&amp;B1225)+1)</f>
        <v/>
      </c>
    </row>
    <row r="1226">
      <c r="A1226" t="inlineStr">
        <is>
          <t>샘플종목12</t>
        </is>
      </c>
      <c r="B1226" s="3" t="n">
        <v>45653</v>
      </c>
      <c r="C1226" t="n">
        <v>59357</v>
      </c>
      <c r="D1226" t="n">
        <v>5087088</v>
      </c>
      <c r="E1226">
        <f>IF(A1226="","",COUNTIFS($A$2:$A$20000,A1226,$B$2:$B$20000,"&gt;"&amp;B1226)+1)</f>
        <v/>
      </c>
    </row>
    <row r="1227">
      <c r="A1227" t="inlineStr">
        <is>
          <t>샘플종목12</t>
        </is>
      </c>
      <c r="B1227" s="3" t="n">
        <v>45660</v>
      </c>
      <c r="C1227" t="n">
        <v>57202</v>
      </c>
      <c r="D1227" t="n">
        <v>8085181</v>
      </c>
      <c r="E1227">
        <f>IF(A1227="","",COUNTIFS($A$2:$A$20000,A1227,$B$2:$B$20000,"&gt;"&amp;B1227)+1)</f>
        <v/>
      </c>
    </row>
    <row r="1228">
      <c r="A1228" t="inlineStr">
        <is>
          <t>샘플종목12</t>
        </is>
      </c>
      <c r="B1228" s="3" t="n">
        <v>45667</v>
      </c>
      <c r="C1228" t="n">
        <v>55674</v>
      </c>
      <c r="D1228" t="n">
        <v>7694914</v>
      </c>
      <c r="E1228">
        <f>IF(A1228="","",COUNTIFS($A$2:$A$20000,A1228,$B$2:$B$20000,"&gt;"&amp;B1228)+1)</f>
        <v/>
      </c>
    </row>
    <row r="1229">
      <c r="A1229" t="inlineStr">
        <is>
          <t>샘플종목12</t>
        </is>
      </c>
      <c r="B1229" s="3" t="n">
        <v>45674</v>
      </c>
      <c r="C1229" t="n">
        <v>55737</v>
      </c>
      <c r="D1229" t="n">
        <v>2296890</v>
      </c>
      <c r="E1229">
        <f>IF(A1229="","",COUNTIFS($A$2:$A$20000,A1229,$B$2:$B$20000,"&gt;"&amp;B1229)+1)</f>
        <v/>
      </c>
    </row>
    <row r="1230">
      <c r="A1230" t="inlineStr">
        <is>
          <t>샘플종목12</t>
        </is>
      </c>
      <c r="B1230" s="3" t="n">
        <v>45681</v>
      </c>
      <c r="C1230" t="n">
        <v>63171</v>
      </c>
      <c r="D1230" t="n">
        <v>7487792</v>
      </c>
      <c r="E1230">
        <f>IF(A1230="","",COUNTIFS($A$2:$A$20000,A1230,$B$2:$B$20000,"&gt;"&amp;B1230)+1)</f>
        <v/>
      </c>
    </row>
    <row r="1231">
      <c r="A1231" t="inlineStr">
        <is>
          <t>샘플종목12</t>
        </is>
      </c>
      <c r="B1231" s="3" t="n">
        <v>45688</v>
      </c>
      <c r="C1231" t="n">
        <v>60136</v>
      </c>
      <c r="D1231" t="n">
        <v>9957683</v>
      </c>
      <c r="E1231">
        <f>IF(A1231="","",COUNTIFS($A$2:$A$20000,A1231,$B$2:$B$20000,"&gt;"&amp;B1231)+1)</f>
        <v/>
      </c>
    </row>
    <row r="1232">
      <c r="A1232" t="inlineStr">
        <is>
          <t>샘플종목12</t>
        </is>
      </c>
      <c r="B1232" s="3" t="n">
        <v>45695</v>
      </c>
      <c r="C1232" t="n">
        <v>63226</v>
      </c>
      <c r="D1232" t="n">
        <v>6880522</v>
      </c>
      <c r="E1232">
        <f>IF(A1232="","",COUNTIFS($A$2:$A$20000,A1232,$B$2:$B$20000,"&gt;"&amp;B1232)+1)</f>
        <v/>
      </c>
    </row>
    <row r="1233">
      <c r="A1233" t="inlineStr">
        <is>
          <t>샘플종목12</t>
        </is>
      </c>
      <c r="B1233" s="3" t="n">
        <v>45702</v>
      </c>
      <c r="C1233" t="n">
        <v>63156</v>
      </c>
      <c r="D1233" t="n">
        <v>8659633</v>
      </c>
      <c r="E1233">
        <f>IF(A1233="","",COUNTIFS($A$2:$A$20000,A1233,$B$2:$B$20000,"&gt;"&amp;B1233)+1)</f>
        <v/>
      </c>
    </row>
    <row r="1234">
      <c r="A1234" t="inlineStr">
        <is>
          <t>샘플종목12</t>
        </is>
      </c>
      <c r="B1234" s="3" t="n">
        <v>45709</v>
      </c>
      <c r="C1234" t="n">
        <v>64477</v>
      </c>
      <c r="D1234" t="n">
        <v>2160055</v>
      </c>
      <c r="E1234">
        <f>IF(A1234="","",COUNTIFS($A$2:$A$20000,A1234,$B$2:$B$20000,"&gt;"&amp;B1234)+1)</f>
        <v/>
      </c>
    </row>
    <row r="1235">
      <c r="A1235" t="inlineStr">
        <is>
          <t>샘플종목12</t>
        </is>
      </c>
      <c r="B1235" s="3" t="n">
        <v>45716</v>
      </c>
      <c r="C1235" t="n">
        <v>69696</v>
      </c>
      <c r="D1235" t="n">
        <v>8707182</v>
      </c>
      <c r="E1235">
        <f>IF(A1235="","",COUNTIFS($A$2:$A$20000,A1235,$B$2:$B$20000,"&gt;"&amp;B1235)+1)</f>
        <v/>
      </c>
    </row>
    <row r="1236">
      <c r="A1236" t="inlineStr">
        <is>
          <t>샘플종목12</t>
        </is>
      </c>
      <c r="B1236" s="3" t="n">
        <v>45723</v>
      </c>
      <c r="C1236" t="n">
        <v>74408</v>
      </c>
      <c r="D1236" t="n">
        <v>6556168</v>
      </c>
      <c r="E1236">
        <f>IF(A1236="","",COUNTIFS($A$2:$A$20000,A1236,$B$2:$B$20000,"&gt;"&amp;B1236)+1)</f>
        <v/>
      </c>
    </row>
    <row r="1237">
      <c r="A1237" t="inlineStr">
        <is>
          <t>샘플종목12</t>
        </is>
      </c>
      <c r="B1237" s="3" t="n">
        <v>45730</v>
      </c>
      <c r="C1237" t="n">
        <v>77718</v>
      </c>
      <c r="D1237" t="n">
        <v>581788</v>
      </c>
      <c r="E1237">
        <f>IF(A1237="","",COUNTIFS($A$2:$A$20000,A1237,$B$2:$B$20000,"&gt;"&amp;B1237)+1)</f>
        <v/>
      </c>
    </row>
    <row r="1238">
      <c r="A1238" t="inlineStr">
        <is>
          <t>샘플종목12</t>
        </is>
      </c>
      <c r="B1238" s="3" t="n">
        <v>45737</v>
      </c>
      <c r="C1238" t="n">
        <v>75664</v>
      </c>
      <c r="D1238" t="n">
        <v>5314173</v>
      </c>
      <c r="E1238">
        <f>IF(A1238="","",COUNTIFS($A$2:$A$20000,A1238,$B$2:$B$20000,"&gt;"&amp;B1238)+1)</f>
        <v/>
      </c>
    </row>
    <row r="1239">
      <c r="A1239" t="inlineStr">
        <is>
          <t>샘플종목12</t>
        </is>
      </c>
      <c r="B1239" s="3" t="n">
        <v>45744</v>
      </c>
      <c r="C1239" t="n">
        <v>72539</v>
      </c>
      <c r="D1239" t="n">
        <v>351664</v>
      </c>
      <c r="E1239">
        <f>IF(A1239="","",COUNTIFS($A$2:$A$20000,A1239,$B$2:$B$20000,"&gt;"&amp;B1239)+1)</f>
        <v/>
      </c>
    </row>
    <row r="1240">
      <c r="A1240" t="inlineStr">
        <is>
          <t>샘플종목12</t>
        </is>
      </c>
      <c r="B1240" s="3" t="n">
        <v>45751</v>
      </c>
      <c r="C1240" t="n">
        <v>71736</v>
      </c>
      <c r="D1240" t="n">
        <v>3070359</v>
      </c>
      <c r="E1240">
        <f>IF(A1240="","",COUNTIFS($A$2:$A$20000,A1240,$B$2:$B$20000,"&gt;"&amp;B1240)+1)</f>
        <v/>
      </c>
    </row>
    <row r="1241">
      <c r="A1241" t="inlineStr">
        <is>
          <t>샘플종목12</t>
        </is>
      </c>
      <c r="B1241" s="3" t="n">
        <v>45758</v>
      </c>
      <c r="C1241" t="n">
        <v>72656</v>
      </c>
      <c r="D1241" t="n">
        <v>3985011</v>
      </c>
      <c r="E1241">
        <f>IF(A1241="","",COUNTIFS($A$2:$A$20000,A1241,$B$2:$B$20000,"&gt;"&amp;B1241)+1)</f>
        <v/>
      </c>
    </row>
    <row r="1242">
      <c r="A1242" t="inlineStr">
        <is>
          <t>샘플종목12</t>
        </is>
      </c>
      <c r="B1242" s="3" t="n">
        <v>45765</v>
      </c>
      <c r="C1242" t="n">
        <v>70951</v>
      </c>
      <c r="D1242" t="n">
        <v>1928067</v>
      </c>
      <c r="E1242">
        <f>IF(A1242="","",COUNTIFS($A$2:$A$20000,A1242,$B$2:$B$20000,"&gt;"&amp;B1242)+1)</f>
        <v/>
      </c>
    </row>
    <row r="1243">
      <c r="A1243" t="inlineStr">
        <is>
          <t>샘플종목12</t>
        </is>
      </c>
      <c r="B1243" s="3" t="n">
        <v>45772</v>
      </c>
      <c r="C1243" t="n">
        <v>74868</v>
      </c>
      <c r="D1243" t="n">
        <v>1242206</v>
      </c>
      <c r="E1243">
        <f>IF(A1243="","",COUNTIFS($A$2:$A$20000,A1243,$B$2:$B$20000,"&gt;"&amp;B1243)+1)</f>
        <v/>
      </c>
    </row>
    <row r="1244">
      <c r="A1244" t="inlineStr">
        <is>
          <t>샘플종목12</t>
        </is>
      </c>
      <c r="B1244" s="3" t="n">
        <v>45779</v>
      </c>
      <c r="C1244" t="n">
        <v>72393</v>
      </c>
      <c r="D1244" t="n">
        <v>8494740</v>
      </c>
      <c r="E1244">
        <f>IF(A1244="","",COUNTIFS($A$2:$A$20000,A1244,$B$2:$B$20000,"&gt;"&amp;B1244)+1)</f>
        <v/>
      </c>
    </row>
    <row r="1245">
      <c r="A1245" t="inlineStr">
        <is>
          <t>샘플종목12</t>
        </is>
      </c>
      <c r="B1245" s="3" t="n">
        <v>45786</v>
      </c>
      <c r="C1245" t="n">
        <v>71497</v>
      </c>
      <c r="D1245" t="n">
        <v>5082139</v>
      </c>
      <c r="E1245">
        <f>IF(A1245="","",COUNTIFS($A$2:$A$20000,A1245,$B$2:$B$20000,"&gt;"&amp;B1245)+1)</f>
        <v/>
      </c>
    </row>
    <row r="1246">
      <c r="A1246" t="inlineStr">
        <is>
          <t>샘플종목12</t>
        </is>
      </c>
      <c r="B1246" s="3" t="n">
        <v>45793</v>
      </c>
      <c r="C1246" t="n">
        <v>73241</v>
      </c>
      <c r="D1246" t="n">
        <v>1575390</v>
      </c>
      <c r="E1246">
        <f>IF(A1246="","",COUNTIFS($A$2:$A$20000,A1246,$B$2:$B$20000,"&gt;"&amp;B1246)+1)</f>
        <v/>
      </c>
    </row>
    <row r="1247">
      <c r="A1247" t="inlineStr">
        <is>
          <t>샘플종목12</t>
        </is>
      </c>
      <c r="B1247" s="3" t="n">
        <v>45800</v>
      </c>
      <c r="C1247" t="n">
        <v>77756</v>
      </c>
      <c r="D1247" t="n">
        <v>3898778</v>
      </c>
      <c r="E1247">
        <f>IF(A1247="","",COUNTIFS($A$2:$A$20000,A1247,$B$2:$B$20000,"&gt;"&amp;B1247)+1)</f>
        <v/>
      </c>
    </row>
    <row r="1248">
      <c r="A1248" t="inlineStr">
        <is>
          <t>샘플종목12</t>
        </is>
      </c>
      <c r="B1248" s="3" t="n">
        <v>45807</v>
      </c>
      <c r="C1248" t="n">
        <v>76536</v>
      </c>
      <c r="D1248" t="n">
        <v>6793652</v>
      </c>
      <c r="E1248">
        <f>IF(A1248="","",COUNTIFS($A$2:$A$20000,A1248,$B$2:$B$20000,"&gt;"&amp;B1248)+1)</f>
        <v/>
      </c>
    </row>
    <row r="1249">
      <c r="A1249" t="inlineStr">
        <is>
          <t>샘플종목12</t>
        </is>
      </c>
      <c r="B1249" s="3" t="n">
        <v>45814</v>
      </c>
      <c r="C1249" t="n">
        <v>82165</v>
      </c>
      <c r="D1249" t="n">
        <v>4837282</v>
      </c>
      <c r="E1249">
        <f>IF(A1249="","",COUNTIFS($A$2:$A$20000,A1249,$B$2:$B$20000,"&gt;"&amp;B1249)+1)</f>
        <v/>
      </c>
    </row>
    <row r="1250">
      <c r="A1250" t="inlineStr">
        <is>
          <t>샘플종목12</t>
        </is>
      </c>
      <c r="B1250" s="3" t="n">
        <v>45821</v>
      </c>
      <c r="C1250" t="n">
        <v>78416</v>
      </c>
      <c r="D1250" t="n">
        <v>7892420</v>
      </c>
      <c r="E1250">
        <f>IF(A1250="","",COUNTIFS($A$2:$A$20000,A1250,$B$2:$B$20000,"&gt;"&amp;B1250)+1)</f>
        <v/>
      </c>
    </row>
    <row r="1251">
      <c r="A1251" t="inlineStr">
        <is>
          <t>샘플종목12</t>
        </is>
      </c>
      <c r="B1251" s="3" t="n">
        <v>45828</v>
      </c>
      <c r="C1251" t="n">
        <v>83332</v>
      </c>
      <c r="D1251" t="n">
        <v>2317408</v>
      </c>
      <c r="E1251">
        <f>IF(A1251="","",COUNTIFS($A$2:$A$20000,A1251,$B$2:$B$20000,"&gt;"&amp;B1251)+1)</f>
        <v/>
      </c>
    </row>
    <row r="1252">
      <c r="A1252" t="inlineStr">
        <is>
          <t>샘플종목12</t>
        </is>
      </c>
      <c r="B1252" s="3" t="n">
        <v>45835</v>
      </c>
      <c r="C1252" t="n">
        <v>85413</v>
      </c>
      <c r="D1252" t="n">
        <v>6250222</v>
      </c>
      <c r="E1252">
        <f>IF(A1252="","",COUNTIFS($A$2:$A$20000,A1252,$B$2:$B$20000,"&gt;"&amp;B1252)+1)</f>
        <v/>
      </c>
    </row>
    <row r="1253">
      <c r="A1253" t="inlineStr">
        <is>
          <t>샘플종목12</t>
        </is>
      </c>
      <c r="B1253" s="3" t="n">
        <v>45842</v>
      </c>
      <c r="C1253" t="n">
        <v>84760</v>
      </c>
      <c r="D1253" t="n">
        <v>5996001</v>
      </c>
      <c r="E1253">
        <f>IF(A1253="","",COUNTIFS($A$2:$A$20000,A1253,$B$2:$B$20000,"&gt;"&amp;B1253)+1)</f>
        <v/>
      </c>
    </row>
    <row r="1254">
      <c r="A1254" t="inlineStr">
        <is>
          <t>샘플종목12</t>
        </is>
      </c>
      <c r="B1254" s="3" t="n">
        <v>45849</v>
      </c>
      <c r="C1254" t="n">
        <v>85542</v>
      </c>
      <c r="D1254" t="n">
        <v>7860833</v>
      </c>
      <c r="E1254">
        <f>IF(A1254="","",COUNTIFS($A$2:$A$20000,A1254,$B$2:$B$20000,"&gt;"&amp;B1254)+1)</f>
        <v/>
      </c>
    </row>
    <row r="1255">
      <c r="A1255" t="inlineStr">
        <is>
          <t>샘플종목12</t>
        </is>
      </c>
      <c r="B1255" s="3" t="n">
        <v>45856</v>
      </c>
      <c r="C1255" t="n">
        <v>85246</v>
      </c>
      <c r="D1255" t="n">
        <v>4267812</v>
      </c>
      <c r="E1255">
        <f>IF(A1255="","",COUNTIFS($A$2:$A$20000,A1255,$B$2:$B$20000,"&gt;"&amp;B1255)+1)</f>
        <v/>
      </c>
    </row>
    <row r="1256">
      <c r="A1256" t="inlineStr">
        <is>
          <t>샘플종목12</t>
        </is>
      </c>
      <c r="B1256" s="3" t="n">
        <v>45863</v>
      </c>
      <c r="C1256" t="n">
        <v>88866</v>
      </c>
      <c r="D1256" t="n">
        <v>1739098</v>
      </c>
      <c r="E1256">
        <f>IF(A1256="","",COUNTIFS($A$2:$A$20000,A1256,$B$2:$B$20000,"&gt;"&amp;B1256)+1)</f>
        <v/>
      </c>
    </row>
    <row r="1257">
      <c r="A1257" t="inlineStr">
        <is>
          <t>샘플종목12</t>
        </is>
      </c>
      <c r="B1257" s="3" t="n">
        <v>45870</v>
      </c>
      <c r="C1257" t="n">
        <v>89042</v>
      </c>
      <c r="D1257" t="n">
        <v>3147697</v>
      </c>
      <c r="E1257">
        <f>IF(A1257="","",COUNTIFS($A$2:$A$20000,A1257,$B$2:$B$20000,"&gt;"&amp;B1257)+1)</f>
        <v/>
      </c>
    </row>
    <row r="1258">
      <c r="A1258" t="inlineStr">
        <is>
          <t>샘플종목12</t>
        </is>
      </c>
      <c r="B1258" s="3" t="n">
        <v>45877</v>
      </c>
      <c r="C1258" t="n">
        <v>88491</v>
      </c>
      <c r="D1258" t="n">
        <v>3777429</v>
      </c>
      <c r="E1258">
        <f>IF(A1258="","",COUNTIFS($A$2:$A$20000,A1258,$B$2:$B$20000,"&gt;"&amp;B1258)+1)</f>
        <v/>
      </c>
    </row>
    <row r="1259">
      <c r="A1259" t="inlineStr">
        <is>
          <t>샘플종목12</t>
        </is>
      </c>
      <c r="B1259" s="3" t="n">
        <v>45884</v>
      </c>
      <c r="C1259" t="n">
        <v>91386</v>
      </c>
      <c r="D1259" t="n">
        <v>778669</v>
      </c>
      <c r="E1259">
        <f>IF(A1259="","",COUNTIFS($A$2:$A$20000,A1259,$B$2:$B$20000,"&gt;"&amp;B1259)+1)</f>
        <v/>
      </c>
    </row>
    <row r="1260">
      <c r="A1260" t="inlineStr">
        <is>
          <t>샘플종목12</t>
        </is>
      </c>
      <c r="B1260" s="3" t="n">
        <v>45891</v>
      </c>
      <c r="C1260" t="n">
        <v>87434</v>
      </c>
      <c r="D1260" t="n">
        <v>7325997</v>
      </c>
      <c r="E1260">
        <f>IF(A1260="","",COUNTIFS($A$2:$A$20000,A1260,$B$2:$B$20000,"&gt;"&amp;B1260)+1)</f>
        <v/>
      </c>
    </row>
    <row r="1261">
      <c r="A1261" t="inlineStr">
        <is>
          <t>샘플종목12</t>
        </is>
      </c>
      <c r="B1261" s="3" t="n">
        <v>45898</v>
      </c>
      <c r="C1261" t="n">
        <v>90310</v>
      </c>
      <c r="D1261" t="n">
        <v>3423359</v>
      </c>
      <c r="E1261">
        <f>IF(A1261="","",COUNTIFS($A$2:$A$20000,A1261,$B$2:$B$20000,"&gt;"&amp;B1261)+1)</f>
        <v/>
      </c>
    </row>
    <row r="1262">
      <c r="A1262" t="inlineStr">
        <is>
          <t>샘플종목12</t>
        </is>
      </c>
      <c r="B1262" s="3" t="n">
        <v>45905</v>
      </c>
      <c r="C1262" t="n">
        <v>90583</v>
      </c>
      <c r="D1262" t="n">
        <v>758235</v>
      </c>
      <c r="E1262">
        <f>IF(A1262="","",COUNTIFS($A$2:$A$20000,A1262,$B$2:$B$20000,"&gt;"&amp;B1262)+1)</f>
        <v/>
      </c>
    </row>
    <row r="1263">
      <c r="A1263" t="inlineStr">
        <is>
          <t>샘플종목12</t>
        </is>
      </c>
      <c r="B1263" s="3" t="n">
        <v>45912</v>
      </c>
      <c r="C1263" t="n">
        <v>88654</v>
      </c>
      <c r="D1263" t="n">
        <v>9366800</v>
      </c>
      <c r="E1263">
        <f>IF(A1263="","",COUNTIFS($A$2:$A$20000,A1263,$B$2:$B$20000,"&gt;"&amp;B1263)+1)</f>
        <v/>
      </c>
    </row>
    <row r="1264">
      <c r="A1264" t="inlineStr">
        <is>
          <t>샘플종목12</t>
        </is>
      </c>
      <c r="B1264" s="3" t="n">
        <v>45919</v>
      </c>
      <c r="C1264" t="n">
        <v>86943</v>
      </c>
      <c r="D1264" t="n">
        <v>3114389</v>
      </c>
      <c r="E1264">
        <f>IF(A1264="","",COUNTIFS($A$2:$A$20000,A1264,$B$2:$B$20000,"&gt;"&amp;B1264)+1)</f>
        <v/>
      </c>
    </row>
    <row r="1265">
      <c r="A1265" t="inlineStr">
        <is>
          <t>샘플종목12</t>
        </is>
      </c>
      <c r="B1265" s="3" t="n">
        <v>45926</v>
      </c>
      <c r="C1265" t="n">
        <v>91717</v>
      </c>
      <c r="D1265" t="n">
        <v>9571574</v>
      </c>
      <c r="E1265">
        <f>IF(A1265="","",COUNTIFS($A$2:$A$20000,A1265,$B$2:$B$20000,"&gt;"&amp;B1265)+1)</f>
        <v/>
      </c>
    </row>
    <row r="1266">
      <c r="A1266" t="inlineStr">
        <is>
          <t>샘플종목12</t>
        </is>
      </c>
      <c r="B1266" s="3" t="n">
        <v>45933</v>
      </c>
      <c r="C1266" t="n">
        <v>94442</v>
      </c>
      <c r="D1266" t="n">
        <v>8837228</v>
      </c>
      <c r="E1266">
        <f>IF(A1266="","",COUNTIFS($A$2:$A$20000,A1266,$B$2:$B$20000,"&gt;"&amp;B1266)+1)</f>
        <v/>
      </c>
    </row>
    <row r="1267">
      <c r="A1267" t="inlineStr">
        <is>
          <t>샘플종목12</t>
        </is>
      </c>
      <c r="B1267" s="3" t="n">
        <v>45940</v>
      </c>
      <c r="C1267" t="n">
        <v>90477</v>
      </c>
      <c r="D1267" t="n">
        <v>4373309</v>
      </c>
      <c r="E1267">
        <f>IF(A1267="","",COUNTIFS($A$2:$A$20000,A1267,$B$2:$B$20000,"&gt;"&amp;B1267)+1)</f>
        <v/>
      </c>
    </row>
    <row r="1268">
      <c r="A1268" t="inlineStr">
        <is>
          <t>샘플종목12</t>
        </is>
      </c>
      <c r="B1268" s="3" t="n">
        <v>45947</v>
      </c>
      <c r="C1268" t="n">
        <v>95471</v>
      </c>
      <c r="D1268" t="n">
        <v>9751517</v>
      </c>
      <c r="E1268">
        <f>IF(A1268="","",COUNTIFS($A$2:$A$20000,A1268,$B$2:$B$20000,"&gt;"&amp;B1268)+1)</f>
        <v/>
      </c>
    </row>
    <row r="1269">
      <c r="A1269" t="inlineStr">
        <is>
          <t>샘플종목12</t>
        </is>
      </c>
      <c r="B1269" s="3" t="n">
        <v>45954</v>
      </c>
      <c r="C1269" t="n">
        <v>93102</v>
      </c>
      <c r="D1269" t="n">
        <v>5955904</v>
      </c>
      <c r="E1269">
        <f>IF(A1269="","",COUNTIFS($A$2:$A$20000,A1269,$B$2:$B$20000,"&gt;"&amp;B1269)+1)</f>
        <v/>
      </c>
    </row>
    <row r="1270">
      <c r="A1270" t="inlineStr">
        <is>
          <t>샘플종목12</t>
        </is>
      </c>
      <c r="B1270" s="3" t="n">
        <v>45961</v>
      </c>
      <c r="C1270" t="n">
        <v>94956</v>
      </c>
      <c r="D1270" t="n">
        <v>4903906</v>
      </c>
      <c r="E1270">
        <f>IF(A1270="","",COUNTIFS($A$2:$A$20000,A1270,$B$2:$B$20000,"&gt;"&amp;B1270)+1)</f>
        <v/>
      </c>
    </row>
    <row r="1271">
      <c r="A1271" t="inlineStr">
        <is>
          <t>샘플종목12</t>
        </is>
      </c>
      <c r="B1271" s="3" t="n">
        <v>45968</v>
      </c>
      <c r="C1271" t="n">
        <v>94419</v>
      </c>
      <c r="D1271" t="n">
        <v>820745</v>
      </c>
      <c r="E1271">
        <f>IF(A1271="","",COUNTIFS($A$2:$A$20000,A1271,$B$2:$B$20000,"&gt;"&amp;B1271)+1)</f>
        <v/>
      </c>
    </row>
    <row r="1272">
      <c r="A1272" t="inlineStr">
        <is>
          <t>샘플종목12</t>
        </is>
      </c>
      <c r="B1272" s="3" t="n">
        <v>45975</v>
      </c>
      <c r="C1272" t="n">
        <v>98152</v>
      </c>
      <c r="D1272" t="n">
        <v>894347</v>
      </c>
      <c r="E1272">
        <f>IF(A1272="","",COUNTIFS($A$2:$A$20000,A1272,$B$2:$B$20000,"&gt;"&amp;B1272)+1)</f>
        <v/>
      </c>
    </row>
    <row r="1273">
      <c r="A1273" t="inlineStr">
        <is>
          <t>샘플종목12</t>
        </is>
      </c>
      <c r="B1273" s="3" t="n">
        <v>45982</v>
      </c>
      <c r="C1273" t="n">
        <v>94669</v>
      </c>
      <c r="D1273" t="n">
        <v>4201309</v>
      </c>
      <c r="E1273">
        <f>IF(A1273="","",COUNTIFS($A$2:$A$20000,A1273,$B$2:$B$20000,"&gt;"&amp;B1273)+1)</f>
        <v/>
      </c>
    </row>
    <row r="1274">
      <c r="A1274" t="inlineStr">
        <is>
          <t>샘플종목12</t>
        </is>
      </c>
      <c r="B1274" s="3" t="n">
        <v>45989</v>
      </c>
      <c r="C1274" t="n">
        <v>94421</v>
      </c>
      <c r="D1274" t="n">
        <v>5444405</v>
      </c>
      <c r="E1274">
        <f>IF(A1274="","",COUNTIFS($A$2:$A$20000,A1274,$B$2:$B$20000,"&gt;"&amp;B1274)+1)</f>
        <v/>
      </c>
    </row>
    <row r="1275">
      <c r="A1275" t="inlineStr">
        <is>
          <t>샘플종목12</t>
        </is>
      </c>
      <c r="B1275" s="3" t="n">
        <v>45996</v>
      </c>
      <c r="C1275" t="n">
        <v>93667</v>
      </c>
      <c r="D1275" t="n">
        <v>3625550</v>
      </c>
      <c r="E1275">
        <f>IF(A1275="","",COUNTIFS($A$2:$A$20000,A1275,$B$2:$B$20000,"&gt;"&amp;B1275)+1)</f>
        <v/>
      </c>
    </row>
    <row r="1276">
      <c r="A1276" t="inlineStr">
        <is>
          <t>샘플종목12</t>
        </is>
      </c>
      <c r="B1276" s="3" t="n">
        <v>46003</v>
      </c>
      <c r="C1276" t="n">
        <v>94439</v>
      </c>
      <c r="D1276" t="n">
        <v>1545136</v>
      </c>
      <c r="E1276">
        <f>IF(A1276="","",COUNTIFS($A$2:$A$20000,A1276,$B$2:$B$20000,"&gt;"&amp;B1276)+1)</f>
        <v/>
      </c>
    </row>
    <row r="1277">
      <c r="A1277" t="inlineStr">
        <is>
          <t>샘플종목12</t>
        </is>
      </c>
      <c r="B1277" s="3" t="n">
        <v>46010</v>
      </c>
      <c r="C1277" t="n">
        <v>91199</v>
      </c>
      <c r="D1277" t="n">
        <v>7100063</v>
      </c>
      <c r="E1277">
        <f>IF(A1277="","",COUNTIFS($A$2:$A$20000,A1277,$B$2:$B$20000,"&gt;"&amp;B1277)+1)</f>
        <v/>
      </c>
    </row>
    <row r="1278">
      <c r="A1278" t="inlineStr">
        <is>
          <t>샘플종목12</t>
        </is>
      </c>
      <c r="B1278" s="3" t="n">
        <v>46017</v>
      </c>
      <c r="C1278" t="n">
        <v>90139</v>
      </c>
      <c r="D1278" t="n">
        <v>3804420</v>
      </c>
      <c r="E1278">
        <f>IF(A1278="","",COUNTIFS($A$2:$A$20000,A1278,$B$2:$B$20000,"&gt;"&amp;B1278)+1)</f>
        <v/>
      </c>
    </row>
    <row r="1279">
      <c r="A1279" t="inlineStr">
        <is>
          <t>샘플종목12</t>
        </is>
      </c>
      <c r="B1279" s="3" t="n">
        <v>46024</v>
      </c>
      <c r="C1279" t="n">
        <v>86928</v>
      </c>
      <c r="D1279" t="n">
        <v>4817177</v>
      </c>
      <c r="E1279">
        <f>IF(A1279="","",COUNTIFS($A$2:$A$20000,A1279,$B$2:$B$20000,"&gt;"&amp;B1279)+1)</f>
        <v/>
      </c>
    </row>
    <row r="1280">
      <c r="A1280" t="inlineStr">
        <is>
          <t>샘플종목12</t>
        </is>
      </c>
      <c r="B1280" s="3" t="n">
        <v>46031</v>
      </c>
      <c r="C1280" t="n">
        <v>83927</v>
      </c>
      <c r="D1280" t="n">
        <v>7213132</v>
      </c>
      <c r="E1280">
        <f>IF(A1280="","",COUNTIFS($A$2:$A$20000,A1280,$B$2:$B$20000,"&gt;"&amp;B1280)+1)</f>
        <v/>
      </c>
    </row>
    <row r="1281">
      <c r="A1281" t="inlineStr">
        <is>
          <t>샘플종목12</t>
        </is>
      </c>
      <c r="B1281" s="3" t="n">
        <v>46038</v>
      </c>
      <c r="C1281" t="n">
        <v>83564</v>
      </c>
      <c r="D1281" t="n">
        <v>7524876</v>
      </c>
      <c r="E1281">
        <f>IF(A1281="","",COUNTIFS($A$2:$A$20000,A1281,$B$2:$B$20000,"&gt;"&amp;B1281)+1)</f>
        <v/>
      </c>
    </row>
    <row r="1282">
      <c r="A1282" t="inlineStr">
        <is>
          <t>샘플종목12</t>
        </is>
      </c>
      <c r="B1282" s="3" t="n">
        <v>46045</v>
      </c>
      <c r="C1282" t="n">
        <v>88373</v>
      </c>
      <c r="D1282" t="n">
        <v>7696395</v>
      </c>
      <c r="E1282">
        <f>IF(A1282="","",COUNTIFS($A$2:$A$20000,A1282,$B$2:$B$20000,"&gt;"&amp;B1282)+1)</f>
        <v/>
      </c>
    </row>
    <row r="1283">
      <c r="A1283" t="inlineStr">
        <is>
          <t>샘플종목12</t>
        </is>
      </c>
      <c r="B1283" s="3" t="n">
        <v>46052</v>
      </c>
      <c r="C1283" t="n">
        <v>86247</v>
      </c>
      <c r="D1283" t="n">
        <v>8633870</v>
      </c>
      <c r="E1283">
        <f>IF(A1283="","",COUNTIFS($A$2:$A$20000,A1283,$B$2:$B$20000,"&gt;"&amp;B1283)+1)</f>
        <v/>
      </c>
    </row>
    <row r="1284">
      <c r="A1284" t="inlineStr">
        <is>
          <t>샘플종목12</t>
        </is>
      </c>
      <c r="B1284" s="3" t="n">
        <v>46059</v>
      </c>
      <c r="C1284" t="n">
        <v>91453</v>
      </c>
      <c r="D1284" t="n">
        <v>7286527</v>
      </c>
      <c r="E1284">
        <f>IF(A1284="","",COUNTIFS($A$2:$A$20000,A1284,$B$2:$B$20000,"&gt;"&amp;B1284)+1)</f>
        <v/>
      </c>
    </row>
    <row r="1285">
      <c r="A1285" t="inlineStr">
        <is>
          <t>샘플종목12</t>
        </is>
      </c>
      <c r="B1285" s="3" t="n">
        <v>46066</v>
      </c>
      <c r="C1285" t="n">
        <v>93530</v>
      </c>
      <c r="D1285" t="n">
        <v>8687939</v>
      </c>
      <c r="E1285">
        <f>IF(A1285="","",COUNTIFS($A$2:$A$20000,A1285,$B$2:$B$20000,"&gt;"&amp;B1285)+1)</f>
        <v/>
      </c>
    </row>
    <row r="1286">
      <c r="A1286" t="inlineStr">
        <is>
          <t>샘플종목12</t>
        </is>
      </c>
      <c r="B1286" s="3" t="n">
        <v>46073</v>
      </c>
      <c r="C1286" t="n">
        <v>97420</v>
      </c>
      <c r="D1286" t="n">
        <v>8312616</v>
      </c>
      <c r="E1286">
        <f>IF(A1286="","",COUNTIFS($A$2:$A$20000,A1286,$B$2:$B$20000,"&gt;"&amp;B1286)+1)</f>
        <v/>
      </c>
    </row>
    <row r="1287">
      <c r="A1287" t="inlineStr">
        <is>
          <t>샘플종목12</t>
        </is>
      </c>
      <c r="B1287" s="3" t="n">
        <v>46080</v>
      </c>
      <c r="C1287" t="n">
        <v>92058</v>
      </c>
      <c r="D1287" t="n">
        <v>3275861</v>
      </c>
      <c r="E1287">
        <f>IF(A1287="","",COUNTIFS($A$2:$A$20000,A1287,$B$2:$B$20000,"&gt;"&amp;B1287)+1)</f>
        <v/>
      </c>
    </row>
    <row r="1288">
      <c r="A1288" t="inlineStr">
        <is>
          <t>샘플종목12</t>
        </is>
      </c>
      <c r="B1288" s="3" t="n">
        <v>46087</v>
      </c>
      <c r="C1288" t="n">
        <v>97763</v>
      </c>
      <c r="D1288" t="n">
        <v>9480591</v>
      </c>
      <c r="E1288">
        <f>IF(A1288="","",COUNTIFS($A$2:$A$20000,A1288,$B$2:$B$20000,"&gt;"&amp;B1288)+1)</f>
        <v/>
      </c>
    </row>
    <row r="1289">
      <c r="A1289" t="inlineStr">
        <is>
          <t>샘플종목12</t>
        </is>
      </c>
      <c r="B1289" s="3" t="n">
        <v>46094</v>
      </c>
      <c r="C1289" t="n">
        <v>99610</v>
      </c>
      <c r="D1289" t="n">
        <v>4482167</v>
      </c>
      <c r="E1289">
        <f>IF(A1289="","",COUNTIFS($A$2:$A$20000,A1289,$B$2:$B$20000,"&gt;"&amp;B1289)+1)</f>
        <v/>
      </c>
    </row>
    <row r="1290">
      <c r="A1290" t="inlineStr">
        <is>
          <t>샘플종목12</t>
        </is>
      </c>
      <c r="B1290" s="3" t="n">
        <v>46101</v>
      </c>
      <c r="C1290" t="n">
        <v>100897</v>
      </c>
      <c r="D1290" t="n">
        <v>4059478</v>
      </c>
      <c r="E1290">
        <f>IF(A1290="","",COUNTIFS($A$2:$A$20000,A1290,$B$2:$B$20000,"&gt;"&amp;B1290)+1)</f>
        <v/>
      </c>
    </row>
    <row r="1291">
      <c r="A1291" t="inlineStr">
        <is>
          <t>샘플종목12</t>
        </is>
      </c>
      <c r="B1291" s="3" t="n">
        <v>46108</v>
      </c>
      <c r="C1291" t="n">
        <v>103246</v>
      </c>
      <c r="D1291" t="n">
        <v>9225657</v>
      </c>
      <c r="E1291">
        <f>IF(A1291="","",COUNTIFS($A$2:$A$20000,A1291,$B$2:$B$20000,"&gt;"&amp;B1291)+1)</f>
        <v/>
      </c>
    </row>
    <row r="1292">
      <c r="A1292" t="inlineStr">
        <is>
          <t>샘플종목12</t>
        </is>
      </c>
      <c r="B1292" s="3" t="n">
        <v>46115</v>
      </c>
      <c r="C1292" t="n">
        <v>102767</v>
      </c>
      <c r="D1292" t="n">
        <v>2919428</v>
      </c>
      <c r="E1292">
        <f>IF(A1292="","",COUNTIFS($A$2:$A$20000,A1292,$B$2:$B$20000,"&gt;"&amp;B1292)+1)</f>
        <v/>
      </c>
    </row>
    <row r="1293">
      <c r="A1293" t="inlineStr">
        <is>
          <t>샘플종목12</t>
        </is>
      </c>
      <c r="B1293" s="3" t="n">
        <v>46122</v>
      </c>
      <c r="C1293" t="n">
        <v>113532</v>
      </c>
      <c r="D1293" t="n">
        <v>6103320</v>
      </c>
      <c r="E1293">
        <f>IF(A1293="","",COUNTIFS($A$2:$A$20000,A1293,$B$2:$B$20000,"&gt;"&amp;B1293)+1)</f>
        <v/>
      </c>
    </row>
    <row r="1294">
      <c r="A1294" t="inlineStr">
        <is>
          <t>샘플종목12</t>
        </is>
      </c>
      <c r="B1294" s="3" t="n">
        <v>46129</v>
      </c>
      <c r="C1294" t="n">
        <v>112611</v>
      </c>
      <c r="D1294" t="n">
        <v>5310211</v>
      </c>
      <c r="E1294">
        <f>IF(A1294="","",COUNTIFS($A$2:$A$20000,A1294,$B$2:$B$20000,"&gt;"&amp;B1294)+1)</f>
        <v/>
      </c>
    </row>
    <row r="1295">
      <c r="A1295" t="inlineStr">
        <is>
          <t>샘플종목12</t>
        </is>
      </c>
      <c r="B1295" s="3" t="n">
        <v>46136</v>
      </c>
      <c r="C1295" t="n">
        <v>114462</v>
      </c>
      <c r="D1295" t="n">
        <v>2401673</v>
      </c>
      <c r="E1295">
        <f>IF(A1295="","",COUNTIFS($A$2:$A$20000,A1295,$B$2:$B$20000,"&gt;"&amp;B1295)+1)</f>
        <v/>
      </c>
    </row>
    <row r="1296">
      <c r="A1296" t="inlineStr">
        <is>
          <t>샘플종목12</t>
        </is>
      </c>
      <c r="B1296" s="3" t="n">
        <v>46143</v>
      </c>
      <c r="C1296" t="n">
        <v>119383</v>
      </c>
      <c r="D1296" t="n">
        <v>8199671</v>
      </c>
      <c r="E1296">
        <f>IF(A1296="","",COUNTIFS($A$2:$A$20000,A1296,$B$2:$B$20000,"&gt;"&amp;B1296)+1)</f>
        <v/>
      </c>
    </row>
    <row r="1297">
      <c r="A1297" t="inlineStr">
        <is>
          <t>샘플종목12</t>
        </is>
      </c>
      <c r="B1297" s="3" t="n">
        <v>46150</v>
      </c>
      <c r="C1297" t="n">
        <v>125282</v>
      </c>
      <c r="D1297" t="n">
        <v>4090840</v>
      </c>
      <c r="E1297">
        <f>IF(A1297="","",COUNTIFS($A$2:$A$20000,A1297,$B$2:$B$20000,"&gt;"&amp;B1297)+1)</f>
        <v/>
      </c>
    </row>
    <row r="1298">
      <c r="A1298" t="inlineStr">
        <is>
          <t>샘플종목12</t>
        </is>
      </c>
      <c r="B1298" s="3" t="n">
        <v>46157</v>
      </c>
      <c r="C1298" t="n">
        <v>125383</v>
      </c>
      <c r="D1298" t="n">
        <v>7566381</v>
      </c>
      <c r="E1298">
        <f>IF(A1298="","",COUNTIFS($A$2:$A$20000,A1298,$B$2:$B$20000,"&gt;"&amp;B1298)+1)</f>
        <v/>
      </c>
    </row>
    <row r="1299">
      <c r="A1299" t="inlineStr">
        <is>
          <t>샘플종목12</t>
        </is>
      </c>
      <c r="B1299" s="3" t="n">
        <v>46164</v>
      </c>
      <c r="C1299" t="n">
        <v>125110</v>
      </c>
      <c r="D1299" t="n">
        <v>2333083</v>
      </c>
      <c r="E1299">
        <f>IF(A1299="","",COUNTIFS($A$2:$A$20000,A1299,$B$2:$B$20000,"&gt;"&amp;B1299)+1)</f>
        <v/>
      </c>
    </row>
    <row r="1300">
      <c r="A1300" t="inlineStr">
        <is>
          <t>샘플종목12</t>
        </is>
      </c>
      <c r="B1300" s="3" t="n">
        <v>46171</v>
      </c>
      <c r="C1300" t="n">
        <v>129644</v>
      </c>
      <c r="D1300" t="n">
        <v>5122633</v>
      </c>
      <c r="E1300">
        <f>IF(A1300="","",COUNTIFS($A$2:$A$20000,A1300,$B$2:$B$20000,"&gt;"&amp;B1300)+1)</f>
        <v/>
      </c>
    </row>
    <row r="1301">
      <c r="A1301" t="inlineStr">
        <is>
          <t>샘플종목12</t>
        </is>
      </c>
      <c r="B1301" s="3" t="n">
        <v>46178</v>
      </c>
      <c r="C1301" t="n">
        <v>128010</v>
      </c>
      <c r="D1301" t="n">
        <v>2338064</v>
      </c>
      <c r="E1301">
        <f>IF(A1301="","",COUNTIFS($A$2:$A$20000,A1301,$B$2:$B$20000,"&gt;"&amp;B1301)+1)</f>
        <v/>
      </c>
    </row>
    <row r="1302">
      <c r="A1302" t="inlineStr">
        <is>
          <t>샘플종목12</t>
        </is>
      </c>
      <c r="B1302" s="3" t="n">
        <v>46185</v>
      </c>
      <c r="C1302" t="n">
        <v>130387</v>
      </c>
      <c r="D1302" t="n">
        <v>9550077</v>
      </c>
      <c r="E1302">
        <f>IF(A1302="","",COUNTIFS($A$2:$A$20000,A1302,$B$2:$B$20000,"&gt;"&amp;B1302)+1)</f>
        <v/>
      </c>
    </row>
    <row r="1303">
      <c r="A1303" t="inlineStr">
        <is>
          <t>샘플종목12</t>
        </is>
      </c>
      <c r="B1303" s="3" t="n">
        <v>46192</v>
      </c>
      <c r="C1303" t="n">
        <v>128735</v>
      </c>
      <c r="D1303" t="n">
        <v>4139467</v>
      </c>
      <c r="E1303">
        <f>IF(A1303="","",COUNTIFS($A$2:$A$20000,A1303,$B$2:$B$20000,"&gt;"&amp;B1303)+1)</f>
        <v/>
      </c>
    </row>
    <row r="1304">
      <c r="A1304" t="inlineStr">
        <is>
          <t>샘플종목12</t>
        </is>
      </c>
      <c r="B1304" s="3" t="n">
        <v>46199</v>
      </c>
      <c r="C1304" t="n">
        <v>124248</v>
      </c>
      <c r="D1304" t="n">
        <v>9298279</v>
      </c>
      <c r="E1304">
        <f>IF(A1304="","",COUNTIFS($A$2:$A$20000,A1304,$B$2:$B$20000,"&gt;"&amp;B1304)+1)</f>
        <v/>
      </c>
    </row>
    <row r="1305">
      <c r="A1305" t="inlineStr">
        <is>
          <t>샘플종목12</t>
        </is>
      </c>
      <c r="B1305" s="3" t="n">
        <v>46206</v>
      </c>
      <c r="C1305" t="n">
        <v>132401</v>
      </c>
      <c r="D1305" t="n">
        <v>7224196</v>
      </c>
      <c r="E1305">
        <f>IF(A1305="","",COUNTIFS($A$2:$A$20000,A1305,$B$2:$B$20000,"&gt;"&amp;B1305)+1)</f>
        <v/>
      </c>
    </row>
    <row r="1306">
      <c r="A1306" t="inlineStr">
        <is>
          <t>샘플종목12</t>
        </is>
      </c>
      <c r="B1306" s="3" t="n">
        <v>46213</v>
      </c>
      <c r="C1306" t="n">
        <v>132879</v>
      </c>
      <c r="D1306" t="n">
        <v>2696963</v>
      </c>
      <c r="E1306">
        <f>IF(A1306="","",COUNTIFS($A$2:$A$20000,A1306,$B$2:$B$20000,"&gt;"&amp;B1306)+1)</f>
        <v/>
      </c>
    </row>
    <row r="1307">
      <c r="A1307" t="inlineStr">
        <is>
          <t>샘플종목12</t>
        </is>
      </c>
      <c r="B1307" s="3" t="n">
        <v>46220</v>
      </c>
      <c r="C1307" t="n">
        <v>129915</v>
      </c>
      <c r="D1307" t="n">
        <v>7837296</v>
      </c>
      <c r="E1307">
        <f>IF(A1307="","",COUNTIFS($A$2:$A$20000,A1307,$B$2:$B$20000,"&gt;"&amp;B1307)+1)</f>
        <v/>
      </c>
    </row>
    <row r="1308">
      <c r="A1308" t="inlineStr">
        <is>
          <t>샘플종목12</t>
        </is>
      </c>
      <c r="B1308" s="3" t="n">
        <v>46227</v>
      </c>
      <c r="C1308" t="n">
        <v>133003</v>
      </c>
      <c r="D1308" t="n">
        <v>3561565</v>
      </c>
      <c r="E1308">
        <f>IF(A1308="","",COUNTIFS($A$2:$A$20000,A1308,$B$2:$B$20000,"&gt;"&amp;B1308)+1)</f>
        <v/>
      </c>
    </row>
    <row r="1309">
      <c r="A1309" t="inlineStr">
        <is>
          <t>샘플종목12</t>
        </is>
      </c>
      <c r="B1309" s="3" t="n">
        <v>46234</v>
      </c>
      <c r="C1309" t="n">
        <v>128674</v>
      </c>
      <c r="D1309" t="n">
        <v>2020626</v>
      </c>
      <c r="E1309">
        <f>IF(A1309="","",COUNTIFS($A$2:$A$20000,A1309,$B$2:$B$20000,"&gt;"&amp;B1309)+1)</f>
        <v/>
      </c>
    </row>
    <row r="1310">
      <c r="A1310" t="inlineStr">
        <is>
          <t>샘플종목12</t>
        </is>
      </c>
      <c r="B1310" s="3" t="n">
        <v>46241</v>
      </c>
      <c r="C1310" t="n">
        <v>128633</v>
      </c>
      <c r="D1310" t="n">
        <v>8263938</v>
      </c>
      <c r="E1310">
        <f>IF(A1310="","",COUNTIFS($A$2:$A$20000,A1310,$B$2:$B$20000,"&gt;"&amp;B1310)+1)</f>
        <v/>
      </c>
    </row>
    <row r="1311">
      <c r="A1311" t="inlineStr">
        <is>
          <t>샘플종목12</t>
        </is>
      </c>
      <c r="B1311" s="3" t="n">
        <v>46248</v>
      </c>
      <c r="C1311" t="n">
        <v>128136</v>
      </c>
      <c r="D1311" t="n">
        <v>3563367</v>
      </c>
      <c r="E1311">
        <f>IF(A1311="","",COUNTIFS($A$2:$A$20000,A1311,$B$2:$B$20000,"&gt;"&amp;B1311)+1)</f>
        <v/>
      </c>
    </row>
    <row r="1312">
      <c r="A1312" t="inlineStr">
        <is>
          <t>샘플종목12</t>
        </is>
      </c>
      <c r="B1312" s="3" t="n">
        <v>46255</v>
      </c>
      <c r="C1312" t="n">
        <v>138890</v>
      </c>
      <c r="D1312" t="n">
        <v>5198656</v>
      </c>
      <c r="E1312">
        <f>IF(A1312="","",COUNTIFS($A$2:$A$20000,A1312,$B$2:$B$20000,"&gt;"&amp;B1312)+1)</f>
        <v/>
      </c>
    </row>
    <row r="1313">
      <c r="A1313" t="inlineStr">
        <is>
          <t>샘플종목12</t>
        </is>
      </c>
      <c r="B1313" s="3" t="n">
        <v>46262</v>
      </c>
      <c r="C1313" t="n">
        <v>142349</v>
      </c>
      <c r="D1313" t="n">
        <v>3407009</v>
      </c>
      <c r="E1313">
        <f>IF(A1313="","",COUNTIFS($A$2:$A$20000,A1313,$B$2:$B$20000,"&gt;"&amp;B1313)+1)</f>
        <v/>
      </c>
    </row>
    <row r="1314">
      <c r="A1314" t="inlineStr">
        <is>
          <t>샘플종목12</t>
        </is>
      </c>
      <c r="B1314" s="3" t="n">
        <v>46269</v>
      </c>
      <c r="C1314" t="n">
        <v>146394</v>
      </c>
      <c r="D1314" t="n">
        <v>1995629</v>
      </c>
      <c r="E1314">
        <f>IF(A1314="","",COUNTIFS($A$2:$A$20000,A1314,$B$2:$B$20000,"&gt;"&amp;B1314)+1)</f>
        <v/>
      </c>
    </row>
    <row r="1315">
      <c r="A1315" t="inlineStr">
        <is>
          <t>샘플종목12</t>
        </is>
      </c>
      <c r="B1315" s="3" t="n">
        <v>46276</v>
      </c>
      <c r="C1315" t="n">
        <v>149910</v>
      </c>
      <c r="D1315" t="n">
        <v>2806493</v>
      </c>
      <c r="E1315">
        <f>IF(A1315="","",COUNTIFS($A$2:$A$20000,A1315,$B$2:$B$20000,"&gt;"&amp;B1315)+1)</f>
        <v/>
      </c>
    </row>
    <row r="1316">
      <c r="A1316" t="inlineStr">
        <is>
          <t>샘플종목12</t>
        </is>
      </c>
      <c r="B1316" s="3" t="n">
        <v>46283</v>
      </c>
      <c r="C1316" t="n">
        <v>147168</v>
      </c>
      <c r="D1316" t="n">
        <v>6189724</v>
      </c>
      <c r="E1316">
        <f>IF(A1316="","",COUNTIFS($A$2:$A$20000,A1316,$B$2:$B$20000,"&gt;"&amp;B1316)+1)</f>
        <v/>
      </c>
    </row>
    <row r="1317">
      <c r="A1317" t="inlineStr">
        <is>
          <t>샘플종목12</t>
        </is>
      </c>
      <c r="B1317" s="3" t="n">
        <v>46290</v>
      </c>
      <c r="C1317" t="n">
        <v>153371</v>
      </c>
      <c r="D1317" t="n">
        <v>4957100</v>
      </c>
      <c r="E1317">
        <f>IF(A1317="","",COUNTIFS($A$2:$A$20000,A1317,$B$2:$B$20000,"&gt;"&amp;B1317)+1)</f>
        <v/>
      </c>
    </row>
    <row r="1318">
      <c r="A1318" t="inlineStr">
        <is>
          <t>샘플종목12</t>
        </is>
      </c>
      <c r="B1318" s="3" t="n">
        <v>46297</v>
      </c>
      <c r="C1318" t="n">
        <v>154844</v>
      </c>
      <c r="D1318" t="n">
        <v>281431</v>
      </c>
      <c r="E1318">
        <f>IF(A1318="","",COUNTIFS($A$2:$A$20000,A1318,$B$2:$B$20000,"&gt;"&amp;B1318)+1)</f>
        <v/>
      </c>
    </row>
    <row r="1319">
      <c r="A1319" t="inlineStr">
        <is>
          <t>샘플종목12</t>
        </is>
      </c>
      <c r="B1319" s="3" t="n">
        <v>46304</v>
      </c>
      <c r="C1319" t="n">
        <v>157235</v>
      </c>
      <c r="D1319" t="n">
        <v>7960321</v>
      </c>
      <c r="E1319">
        <f>IF(A1319="","",COUNTIFS($A$2:$A$20000,A1319,$B$2:$B$20000,"&gt;"&amp;B1319)+1)</f>
        <v/>
      </c>
    </row>
    <row r="1320">
      <c r="A1320" t="inlineStr">
        <is>
          <t>샘플종목12</t>
        </is>
      </c>
      <c r="B1320" s="3" t="n">
        <v>46311</v>
      </c>
      <c r="C1320" t="n">
        <v>168016</v>
      </c>
      <c r="D1320" t="n">
        <v>1508812</v>
      </c>
      <c r="E1320">
        <f>IF(A1320="","",COUNTIFS($A$2:$A$20000,A1320,$B$2:$B$20000,"&gt;"&amp;B1320)+1)</f>
        <v/>
      </c>
    </row>
    <row r="1321">
      <c r="A1321" t="inlineStr">
        <is>
          <t>샘플종목12</t>
        </is>
      </c>
      <c r="B1321" s="3" t="n">
        <v>46318</v>
      </c>
      <c r="C1321" t="n">
        <v>167798</v>
      </c>
      <c r="D1321" t="n">
        <v>5665423</v>
      </c>
      <c r="E1321">
        <f>IF(A1321="","",COUNTIFS($A$2:$A$20000,A1321,$B$2:$B$20000,"&gt;"&amp;B1321)+1)</f>
        <v/>
      </c>
    </row>
    <row r="1322">
      <c r="A1322" t="inlineStr">
        <is>
          <t>샘플종목13</t>
        </is>
      </c>
      <c r="B1322" s="3" t="n">
        <v>45555</v>
      </c>
      <c r="C1322" t="n">
        <v>193066</v>
      </c>
      <c r="D1322" t="n">
        <v>8301983</v>
      </c>
      <c r="E1322">
        <f>IF(A1322="","",COUNTIFS($A$2:$A$20000,A1322,$B$2:$B$20000,"&gt;"&amp;B1322)+1)</f>
        <v/>
      </c>
    </row>
    <row r="1323">
      <c r="A1323" t="inlineStr">
        <is>
          <t>샘플종목13</t>
        </is>
      </c>
      <c r="B1323" s="3" t="n">
        <v>45562</v>
      </c>
      <c r="C1323" t="n">
        <v>192009</v>
      </c>
      <c r="D1323" t="n">
        <v>7385344</v>
      </c>
      <c r="E1323">
        <f>IF(A1323="","",COUNTIFS($A$2:$A$20000,A1323,$B$2:$B$20000,"&gt;"&amp;B1323)+1)</f>
        <v/>
      </c>
    </row>
    <row r="1324">
      <c r="A1324" t="inlineStr">
        <is>
          <t>샘플종목13</t>
        </is>
      </c>
      <c r="B1324" s="3" t="n">
        <v>45569</v>
      </c>
      <c r="C1324" t="n">
        <v>178985</v>
      </c>
      <c r="D1324" t="n">
        <v>5499126</v>
      </c>
      <c r="E1324">
        <f>IF(A1324="","",COUNTIFS($A$2:$A$20000,A1324,$B$2:$B$20000,"&gt;"&amp;B1324)+1)</f>
        <v/>
      </c>
    </row>
    <row r="1325">
      <c r="A1325" t="inlineStr">
        <is>
          <t>샘플종목13</t>
        </is>
      </c>
      <c r="B1325" s="3" t="n">
        <v>45576</v>
      </c>
      <c r="C1325" t="n">
        <v>180260</v>
      </c>
      <c r="D1325" t="n">
        <v>239286</v>
      </c>
      <c r="E1325">
        <f>IF(A1325="","",COUNTIFS($A$2:$A$20000,A1325,$B$2:$B$20000,"&gt;"&amp;B1325)+1)</f>
        <v/>
      </c>
    </row>
    <row r="1326">
      <c r="A1326" t="inlineStr">
        <is>
          <t>샘플종목13</t>
        </is>
      </c>
      <c r="B1326" s="3" t="n">
        <v>45583</v>
      </c>
      <c r="C1326" t="n">
        <v>178624</v>
      </c>
      <c r="D1326" t="n">
        <v>4897832</v>
      </c>
      <c r="E1326">
        <f>IF(A1326="","",COUNTIFS($A$2:$A$20000,A1326,$B$2:$B$20000,"&gt;"&amp;B1326)+1)</f>
        <v/>
      </c>
    </row>
    <row r="1327">
      <c r="A1327" t="inlineStr">
        <is>
          <t>샘플종목13</t>
        </is>
      </c>
      <c r="B1327" s="3" t="n">
        <v>45590</v>
      </c>
      <c r="C1327" t="n">
        <v>181395</v>
      </c>
      <c r="D1327" t="n">
        <v>4317994</v>
      </c>
      <c r="E1327">
        <f>IF(A1327="","",COUNTIFS($A$2:$A$20000,A1327,$B$2:$B$20000,"&gt;"&amp;B1327)+1)</f>
        <v/>
      </c>
    </row>
    <row r="1328">
      <c r="A1328" t="inlineStr">
        <is>
          <t>샘플종목13</t>
        </is>
      </c>
      <c r="B1328" s="3" t="n">
        <v>45597</v>
      </c>
      <c r="C1328" t="n">
        <v>180083</v>
      </c>
      <c r="D1328" t="n">
        <v>564200</v>
      </c>
      <c r="E1328">
        <f>IF(A1328="","",COUNTIFS($A$2:$A$20000,A1328,$B$2:$B$20000,"&gt;"&amp;B1328)+1)</f>
        <v/>
      </c>
    </row>
    <row r="1329">
      <c r="A1329" t="inlineStr">
        <is>
          <t>샘플종목13</t>
        </is>
      </c>
      <c r="B1329" s="3" t="n">
        <v>45604</v>
      </c>
      <c r="C1329" t="n">
        <v>178060</v>
      </c>
      <c r="D1329" t="n">
        <v>524346</v>
      </c>
      <c r="E1329">
        <f>IF(A1329="","",COUNTIFS($A$2:$A$20000,A1329,$B$2:$B$20000,"&gt;"&amp;B1329)+1)</f>
        <v/>
      </c>
    </row>
    <row r="1330">
      <c r="A1330" t="inlineStr">
        <is>
          <t>샘플종목13</t>
        </is>
      </c>
      <c r="B1330" s="3" t="n">
        <v>45611</v>
      </c>
      <c r="C1330" t="n">
        <v>180500</v>
      </c>
      <c r="D1330" t="n">
        <v>5071346</v>
      </c>
      <c r="E1330">
        <f>IF(A1330="","",COUNTIFS($A$2:$A$20000,A1330,$B$2:$B$20000,"&gt;"&amp;B1330)+1)</f>
        <v/>
      </c>
    </row>
    <row r="1331">
      <c r="A1331" t="inlineStr">
        <is>
          <t>샘플종목13</t>
        </is>
      </c>
      <c r="B1331" s="3" t="n">
        <v>45618</v>
      </c>
      <c r="C1331" t="n">
        <v>167211</v>
      </c>
      <c r="D1331" t="n">
        <v>6272132</v>
      </c>
      <c r="E1331">
        <f>IF(A1331="","",COUNTIFS($A$2:$A$20000,A1331,$B$2:$B$20000,"&gt;"&amp;B1331)+1)</f>
        <v/>
      </c>
    </row>
    <row r="1332">
      <c r="A1332" t="inlineStr">
        <is>
          <t>샘플종목13</t>
        </is>
      </c>
      <c r="B1332" s="3" t="n">
        <v>45625</v>
      </c>
      <c r="C1332" t="n">
        <v>171292</v>
      </c>
      <c r="D1332" t="n">
        <v>2926275</v>
      </c>
      <c r="E1332">
        <f>IF(A1332="","",COUNTIFS($A$2:$A$20000,A1332,$B$2:$B$20000,"&gt;"&amp;B1332)+1)</f>
        <v/>
      </c>
    </row>
    <row r="1333">
      <c r="A1333" t="inlineStr">
        <is>
          <t>샘플종목13</t>
        </is>
      </c>
      <c r="B1333" s="3" t="n">
        <v>45632</v>
      </c>
      <c r="C1333" t="n">
        <v>180618</v>
      </c>
      <c r="D1333" t="n">
        <v>1814246</v>
      </c>
      <c r="E1333">
        <f>IF(A1333="","",COUNTIFS($A$2:$A$20000,A1333,$B$2:$B$20000,"&gt;"&amp;B1333)+1)</f>
        <v/>
      </c>
    </row>
    <row r="1334">
      <c r="A1334" t="inlineStr">
        <is>
          <t>샘플종목13</t>
        </is>
      </c>
      <c r="B1334" s="3" t="n">
        <v>45639</v>
      </c>
      <c r="C1334" t="n">
        <v>183916</v>
      </c>
      <c r="D1334" t="n">
        <v>5580671</v>
      </c>
      <c r="E1334">
        <f>IF(A1334="","",COUNTIFS($A$2:$A$20000,A1334,$B$2:$B$20000,"&gt;"&amp;B1334)+1)</f>
        <v/>
      </c>
    </row>
    <row r="1335">
      <c r="A1335" t="inlineStr">
        <is>
          <t>샘플종목13</t>
        </is>
      </c>
      <c r="B1335" s="3" t="n">
        <v>45646</v>
      </c>
      <c r="C1335" t="n">
        <v>170752</v>
      </c>
      <c r="D1335" t="n">
        <v>6464865</v>
      </c>
      <c r="E1335">
        <f>IF(A1335="","",COUNTIFS($A$2:$A$20000,A1335,$B$2:$B$20000,"&gt;"&amp;B1335)+1)</f>
        <v/>
      </c>
    </row>
    <row r="1336">
      <c r="A1336" t="inlineStr">
        <is>
          <t>샘플종목13</t>
        </is>
      </c>
      <c r="B1336" s="3" t="n">
        <v>45653</v>
      </c>
      <c r="C1336" t="n">
        <v>176195</v>
      </c>
      <c r="D1336" t="n">
        <v>5471319</v>
      </c>
      <c r="E1336">
        <f>IF(A1336="","",COUNTIFS($A$2:$A$20000,A1336,$B$2:$B$20000,"&gt;"&amp;B1336)+1)</f>
        <v/>
      </c>
    </row>
    <row r="1337">
      <c r="A1337" t="inlineStr">
        <is>
          <t>샘플종목13</t>
        </is>
      </c>
      <c r="B1337" s="3" t="n">
        <v>45660</v>
      </c>
      <c r="C1337" t="n">
        <v>188615</v>
      </c>
      <c r="D1337" t="n">
        <v>3962549</v>
      </c>
      <c r="E1337">
        <f>IF(A1337="","",COUNTIFS($A$2:$A$20000,A1337,$B$2:$B$20000,"&gt;"&amp;B1337)+1)</f>
        <v/>
      </c>
    </row>
    <row r="1338">
      <c r="A1338" t="inlineStr">
        <is>
          <t>샘플종목13</t>
        </is>
      </c>
      <c r="B1338" s="3" t="n">
        <v>45667</v>
      </c>
      <c r="C1338" t="n">
        <v>182520</v>
      </c>
      <c r="D1338" t="n">
        <v>6295423</v>
      </c>
      <c r="E1338">
        <f>IF(A1338="","",COUNTIFS($A$2:$A$20000,A1338,$B$2:$B$20000,"&gt;"&amp;B1338)+1)</f>
        <v/>
      </c>
    </row>
    <row r="1339">
      <c r="A1339" t="inlineStr">
        <is>
          <t>샘플종목13</t>
        </is>
      </c>
      <c r="B1339" s="3" t="n">
        <v>45674</v>
      </c>
      <c r="C1339" t="n">
        <v>189680</v>
      </c>
      <c r="D1339" t="n">
        <v>4353862</v>
      </c>
      <c r="E1339">
        <f>IF(A1339="","",COUNTIFS($A$2:$A$20000,A1339,$B$2:$B$20000,"&gt;"&amp;B1339)+1)</f>
        <v/>
      </c>
    </row>
    <row r="1340">
      <c r="A1340" t="inlineStr">
        <is>
          <t>샘플종목13</t>
        </is>
      </c>
      <c r="B1340" s="3" t="n">
        <v>45681</v>
      </c>
      <c r="C1340" t="n">
        <v>190206</v>
      </c>
      <c r="D1340" t="n">
        <v>9610491</v>
      </c>
      <c r="E1340">
        <f>IF(A1340="","",COUNTIFS($A$2:$A$20000,A1340,$B$2:$B$20000,"&gt;"&amp;B1340)+1)</f>
        <v/>
      </c>
    </row>
    <row r="1341">
      <c r="A1341" t="inlineStr">
        <is>
          <t>샘플종목13</t>
        </is>
      </c>
      <c r="B1341" s="3" t="n">
        <v>45688</v>
      </c>
      <c r="C1341" t="n">
        <v>192790</v>
      </c>
      <c r="D1341" t="n">
        <v>6864948</v>
      </c>
      <c r="E1341">
        <f>IF(A1341="","",COUNTIFS($A$2:$A$20000,A1341,$B$2:$B$20000,"&gt;"&amp;B1341)+1)</f>
        <v/>
      </c>
    </row>
    <row r="1342">
      <c r="A1342" t="inlineStr">
        <is>
          <t>샘플종목13</t>
        </is>
      </c>
      <c r="B1342" s="3" t="n">
        <v>45695</v>
      </c>
      <c r="C1342" t="n">
        <v>208547</v>
      </c>
      <c r="D1342" t="n">
        <v>8394317</v>
      </c>
      <c r="E1342">
        <f>IF(A1342="","",COUNTIFS($A$2:$A$20000,A1342,$B$2:$B$20000,"&gt;"&amp;B1342)+1)</f>
        <v/>
      </c>
    </row>
    <row r="1343">
      <c r="A1343" t="inlineStr">
        <is>
          <t>샘플종목13</t>
        </is>
      </c>
      <c r="B1343" s="3" t="n">
        <v>45702</v>
      </c>
      <c r="C1343" t="n">
        <v>197693</v>
      </c>
      <c r="D1343" t="n">
        <v>7196426</v>
      </c>
      <c r="E1343">
        <f>IF(A1343="","",COUNTIFS($A$2:$A$20000,A1343,$B$2:$B$20000,"&gt;"&amp;B1343)+1)</f>
        <v/>
      </c>
    </row>
    <row r="1344">
      <c r="A1344" t="inlineStr">
        <is>
          <t>샘플종목13</t>
        </is>
      </c>
      <c r="B1344" s="3" t="n">
        <v>45709</v>
      </c>
      <c r="C1344" t="n">
        <v>193460</v>
      </c>
      <c r="D1344" t="n">
        <v>5125987</v>
      </c>
      <c r="E1344">
        <f>IF(A1344="","",COUNTIFS($A$2:$A$20000,A1344,$B$2:$B$20000,"&gt;"&amp;B1344)+1)</f>
        <v/>
      </c>
    </row>
    <row r="1345">
      <c r="A1345" t="inlineStr">
        <is>
          <t>샘플종목13</t>
        </is>
      </c>
      <c r="B1345" s="3" t="n">
        <v>45716</v>
      </c>
      <c r="C1345" t="n">
        <v>193860</v>
      </c>
      <c r="D1345" t="n">
        <v>9849510</v>
      </c>
      <c r="E1345">
        <f>IF(A1345="","",COUNTIFS($A$2:$A$20000,A1345,$B$2:$B$20000,"&gt;"&amp;B1345)+1)</f>
        <v/>
      </c>
    </row>
    <row r="1346">
      <c r="A1346" t="inlineStr">
        <is>
          <t>샘플종목13</t>
        </is>
      </c>
      <c r="B1346" s="3" t="n">
        <v>45723</v>
      </c>
      <c r="C1346" t="n">
        <v>191243</v>
      </c>
      <c r="D1346" t="n">
        <v>3916804</v>
      </c>
      <c r="E1346">
        <f>IF(A1346="","",COUNTIFS($A$2:$A$20000,A1346,$B$2:$B$20000,"&gt;"&amp;B1346)+1)</f>
        <v/>
      </c>
    </row>
    <row r="1347">
      <c r="A1347" t="inlineStr">
        <is>
          <t>샘플종목13</t>
        </is>
      </c>
      <c r="B1347" s="3" t="n">
        <v>45730</v>
      </c>
      <c r="C1347" t="n">
        <v>188605</v>
      </c>
      <c r="D1347" t="n">
        <v>2845391</v>
      </c>
      <c r="E1347">
        <f>IF(A1347="","",COUNTIFS($A$2:$A$20000,A1347,$B$2:$B$20000,"&gt;"&amp;B1347)+1)</f>
        <v/>
      </c>
    </row>
    <row r="1348">
      <c r="A1348" t="inlineStr">
        <is>
          <t>샘플종목13</t>
        </is>
      </c>
      <c r="B1348" s="3" t="n">
        <v>45737</v>
      </c>
      <c r="C1348" t="n">
        <v>195914</v>
      </c>
      <c r="D1348" t="n">
        <v>6834133</v>
      </c>
      <c r="E1348">
        <f>IF(A1348="","",COUNTIFS($A$2:$A$20000,A1348,$B$2:$B$20000,"&gt;"&amp;B1348)+1)</f>
        <v/>
      </c>
    </row>
    <row r="1349">
      <c r="A1349" t="inlineStr">
        <is>
          <t>샘플종목13</t>
        </is>
      </c>
      <c r="B1349" s="3" t="n">
        <v>45744</v>
      </c>
      <c r="C1349" t="n">
        <v>204822</v>
      </c>
      <c r="D1349" t="n">
        <v>1604264</v>
      </c>
      <c r="E1349">
        <f>IF(A1349="","",COUNTIFS($A$2:$A$20000,A1349,$B$2:$B$20000,"&gt;"&amp;B1349)+1)</f>
        <v/>
      </c>
    </row>
    <row r="1350">
      <c r="A1350" t="inlineStr">
        <is>
          <t>샘플종목13</t>
        </is>
      </c>
      <c r="B1350" s="3" t="n">
        <v>45751</v>
      </c>
      <c r="C1350" t="n">
        <v>221071</v>
      </c>
      <c r="D1350" t="n">
        <v>8143020</v>
      </c>
      <c r="E1350">
        <f>IF(A1350="","",COUNTIFS($A$2:$A$20000,A1350,$B$2:$B$20000,"&gt;"&amp;B1350)+1)</f>
        <v/>
      </c>
    </row>
    <row r="1351">
      <c r="A1351" t="inlineStr">
        <is>
          <t>샘플종목13</t>
        </is>
      </c>
      <c r="B1351" s="3" t="n">
        <v>45758</v>
      </c>
      <c r="C1351" t="n">
        <v>219249</v>
      </c>
      <c r="D1351" t="n">
        <v>3301331</v>
      </c>
      <c r="E1351">
        <f>IF(A1351="","",COUNTIFS($A$2:$A$20000,A1351,$B$2:$B$20000,"&gt;"&amp;B1351)+1)</f>
        <v/>
      </c>
    </row>
    <row r="1352">
      <c r="A1352" t="inlineStr">
        <is>
          <t>샘플종목13</t>
        </is>
      </c>
      <c r="B1352" s="3" t="n">
        <v>45765</v>
      </c>
      <c r="C1352" t="n">
        <v>221364</v>
      </c>
      <c r="D1352" t="n">
        <v>637227</v>
      </c>
      <c r="E1352">
        <f>IF(A1352="","",COUNTIFS($A$2:$A$20000,A1352,$B$2:$B$20000,"&gt;"&amp;B1352)+1)</f>
        <v/>
      </c>
    </row>
    <row r="1353">
      <c r="A1353" t="inlineStr">
        <is>
          <t>샘플종목13</t>
        </is>
      </c>
      <c r="B1353" s="3" t="n">
        <v>45772</v>
      </c>
      <c r="C1353" t="n">
        <v>230185</v>
      </c>
      <c r="D1353" t="n">
        <v>8678025</v>
      </c>
      <c r="E1353">
        <f>IF(A1353="","",COUNTIFS($A$2:$A$20000,A1353,$B$2:$B$20000,"&gt;"&amp;B1353)+1)</f>
        <v/>
      </c>
    </row>
    <row r="1354">
      <c r="A1354" t="inlineStr">
        <is>
          <t>샘플종목13</t>
        </is>
      </c>
      <c r="B1354" s="3" t="n">
        <v>45779</v>
      </c>
      <c r="C1354" t="n">
        <v>223941</v>
      </c>
      <c r="D1354" t="n">
        <v>1027750</v>
      </c>
      <c r="E1354">
        <f>IF(A1354="","",COUNTIFS($A$2:$A$20000,A1354,$B$2:$B$20000,"&gt;"&amp;B1354)+1)</f>
        <v/>
      </c>
    </row>
    <row r="1355">
      <c r="A1355" t="inlineStr">
        <is>
          <t>샘플종목13</t>
        </is>
      </c>
      <c r="B1355" s="3" t="n">
        <v>45786</v>
      </c>
      <c r="C1355" t="n">
        <v>227689</v>
      </c>
      <c r="D1355" t="n">
        <v>8733923</v>
      </c>
      <c r="E1355">
        <f>IF(A1355="","",COUNTIFS($A$2:$A$20000,A1355,$B$2:$B$20000,"&gt;"&amp;B1355)+1)</f>
        <v/>
      </c>
    </row>
    <row r="1356">
      <c r="A1356" t="inlineStr">
        <is>
          <t>샘플종목13</t>
        </is>
      </c>
      <c r="B1356" s="3" t="n">
        <v>45793</v>
      </c>
      <c r="C1356" t="n">
        <v>223470</v>
      </c>
      <c r="D1356" t="n">
        <v>1152228</v>
      </c>
      <c r="E1356">
        <f>IF(A1356="","",COUNTIFS($A$2:$A$20000,A1356,$B$2:$B$20000,"&gt;"&amp;B1356)+1)</f>
        <v/>
      </c>
    </row>
    <row r="1357">
      <c r="A1357" t="inlineStr">
        <is>
          <t>샘플종목13</t>
        </is>
      </c>
      <c r="B1357" s="3" t="n">
        <v>45800</v>
      </c>
      <c r="C1357" t="n">
        <v>205680</v>
      </c>
      <c r="D1357" t="n">
        <v>7460054</v>
      </c>
      <c r="E1357">
        <f>IF(A1357="","",COUNTIFS($A$2:$A$20000,A1357,$B$2:$B$20000,"&gt;"&amp;B1357)+1)</f>
        <v/>
      </c>
    </row>
    <row r="1358">
      <c r="A1358" t="inlineStr">
        <is>
          <t>샘플종목13</t>
        </is>
      </c>
      <c r="B1358" s="3" t="n">
        <v>45807</v>
      </c>
      <c r="C1358" t="n">
        <v>226624</v>
      </c>
      <c r="D1358" t="n">
        <v>3057519</v>
      </c>
      <c r="E1358">
        <f>IF(A1358="","",COUNTIFS($A$2:$A$20000,A1358,$B$2:$B$20000,"&gt;"&amp;B1358)+1)</f>
        <v/>
      </c>
    </row>
    <row r="1359">
      <c r="A1359" t="inlineStr">
        <is>
          <t>샘플종목13</t>
        </is>
      </c>
      <c r="B1359" s="3" t="n">
        <v>45814</v>
      </c>
      <c r="C1359" t="n">
        <v>228329</v>
      </c>
      <c r="D1359" t="n">
        <v>2859260</v>
      </c>
      <c r="E1359">
        <f>IF(A1359="","",COUNTIFS($A$2:$A$20000,A1359,$B$2:$B$20000,"&gt;"&amp;B1359)+1)</f>
        <v/>
      </c>
    </row>
    <row r="1360">
      <c r="A1360" t="inlineStr">
        <is>
          <t>샘플종목13</t>
        </is>
      </c>
      <c r="B1360" s="3" t="n">
        <v>45821</v>
      </c>
      <c r="C1360" t="n">
        <v>228180</v>
      </c>
      <c r="D1360" t="n">
        <v>9551837</v>
      </c>
      <c r="E1360">
        <f>IF(A1360="","",COUNTIFS($A$2:$A$20000,A1360,$B$2:$B$20000,"&gt;"&amp;B1360)+1)</f>
        <v/>
      </c>
    </row>
    <row r="1361">
      <c r="A1361" t="inlineStr">
        <is>
          <t>샘플종목13</t>
        </is>
      </c>
      <c r="B1361" s="3" t="n">
        <v>45828</v>
      </c>
      <c r="C1361" t="n">
        <v>229213</v>
      </c>
      <c r="D1361" t="n">
        <v>5940190</v>
      </c>
      <c r="E1361">
        <f>IF(A1361="","",COUNTIFS($A$2:$A$20000,A1361,$B$2:$B$20000,"&gt;"&amp;B1361)+1)</f>
        <v/>
      </c>
    </row>
    <row r="1362">
      <c r="A1362" t="inlineStr">
        <is>
          <t>샘플종목13</t>
        </is>
      </c>
      <c r="B1362" s="3" t="n">
        <v>45835</v>
      </c>
      <c r="C1362" t="n">
        <v>220272</v>
      </c>
      <c r="D1362" t="n">
        <v>9205358</v>
      </c>
      <c r="E1362">
        <f>IF(A1362="","",COUNTIFS($A$2:$A$20000,A1362,$B$2:$B$20000,"&gt;"&amp;B1362)+1)</f>
        <v/>
      </c>
    </row>
    <row r="1363">
      <c r="A1363" t="inlineStr">
        <is>
          <t>샘플종목13</t>
        </is>
      </c>
      <c r="B1363" s="3" t="n">
        <v>45842</v>
      </c>
      <c r="C1363" t="n">
        <v>216633</v>
      </c>
      <c r="D1363" t="n">
        <v>5530695</v>
      </c>
      <c r="E1363">
        <f>IF(A1363="","",COUNTIFS($A$2:$A$20000,A1363,$B$2:$B$20000,"&gt;"&amp;B1363)+1)</f>
        <v/>
      </c>
    </row>
    <row r="1364">
      <c r="A1364" t="inlineStr">
        <is>
          <t>샘플종목13</t>
        </is>
      </c>
      <c r="B1364" s="3" t="n">
        <v>45849</v>
      </c>
      <c r="C1364" t="n">
        <v>207953</v>
      </c>
      <c r="D1364" t="n">
        <v>9070698</v>
      </c>
      <c r="E1364">
        <f>IF(A1364="","",COUNTIFS($A$2:$A$20000,A1364,$B$2:$B$20000,"&gt;"&amp;B1364)+1)</f>
        <v/>
      </c>
    </row>
    <row r="1365">
      <c r="A1365" t="inlineStr">
        <is>
          <t>샘플종목13</t>
        </is>
      </c>
      <c r="B1365" s="3" t="n">
        <v>45856</v>
      </c>
      <c r="C1365" t="n">
        <v>207443</v>
      </c>
      <c r="D1365" t="n">
        <v>2689808</v>
      </c>
      <c r="E1365">
        <f>IF(A1365="","",COUNTIFS($A$2:$A$20000,A1365,$B$2:$B$20000,"&gt;"&amp;B1365)+1)</f>
        <v/>
      </c>
    </row>
    <row r="1366">
      <c r="A1366" t="inlineStr">
        <is>
          <t>샘플종목13</t>
        </is>
      </c>
      <c r="B1366" s="3" t="n">
        <v>45863</v>
      </c>
      <c r="C1366" t="n">
        <v>228789</v>
      </c>
      <c r="D1366" t="n">
        <v>1466314</v>
      </c>
      <c r="E1366">
        <f>IF(A1366="","",COUNTIFS($A$2:$A$20000,A1366,$B$2:$B$20000,"&gt;"&amp;B1366)+1)</f>
        <v/>
      </c>
    </row>
    <row r="1367">
      <c r="A1367" t="inlineStr">
        <is>
          <t>샘플종목13</t>
        </is>
      </c>
      <c r="B1367" s="3" t="n">
        <v>45870</v>
      </c>
      <c r="C1367" t="n">
        <v>225496</v>
      </c>
      <c r="D1367" t="n">
        <v>1106774</v>
      </c>
      <c r="E1367">
        <f>IF(A1367="","",COUNTIFS($A$2:$A$20000,A1367,$B$2:$B$20000,"&gt;"&amp;B1367)+1)</f>
        <v/>
      </c>
    </row>
    <row r="1368">
      <c r="A1368" t="inlineStr">
        <is>
          <t>샘플종목13</t>
        </is>
      </c>
      <c r="B1368" s="3" t="n">
        <v>45877</v>
      </c>
      <c r="C1368" t="n">
        <v>224569</v>
      </c>
      <c r="D1368" t="n">
        <v>5083482</v>
      </c>
      <c r="E1368">
        <f>IF(A1368="","",COUNTIFS($A$2:$A$20000,A1368,$B$2:$B$20000,"&gt;"&amp;B1368)+1)</f>
        <v/>
      </c>
    </row>
    <row r="1369">
      <c r="A1369" t="inlineStr">
        <is>
          <t>샘플종목13</t>
        </is>
      </c>
      <c r="B1369" s="3" t="n">
        <v>45884</v>
      </c>
      <c r="C1369" t="n">
        <v>217073</v>
      </c>
      <c r="D1369" t="n">
        <v>9579517</v>
      </c>
      <c r="E1369">
        <f>IF(A1369="","",COUNTIFS($A$2:$A$20000,A1369,$B$2:$B$20000,"&gt;"&amp;B1369)+1)</f>
        <v/>
      </c>
    </row>
    <row r="1370">
      <c r="A1370" t="inlineStr">
        <is>
          <t>샘플종목13</t>
        </is>
      </c>
      <c r="B1370" s="3" t="n">
        <v>45891</v>
      </c>
      <c r="C1370" t="n">
        <v>198157</v>
      </c>
      <c r="D1370" t="n">
        <v>8165348</v>
      </c>
      <c r="E1370">
        <f>IF(A1370="","",COUNTIFS($A$2:$A$20000,A1370,$B$2:$B$20000,"&gt;"&amp;B1370)+1)</f>
        <v/>
      </c>
    </row>
    <row r="1371">
      <c r="A1371" t="inlineStr">
        <is>
          <t>샘플종목13</t>
        </is>
      </c>
      <c r="B1371" s="3" t="n">
        <v>45898</v>
      </c>
      <c r="C1371" t="n">
        <v>190088</v>
      </c>
      <c r="D1371" t="n">
        <v>2395998</v>
      </c>
      <c r="E1371">
        <f>IF(A1371="","",COUNTIFS($A$2:$A$20000,A1371,$B$2:$B$20000,"&gt;"&amp;B1371)+1)</f>
        <v/>
      </c>
    </row>
    <row r="1372">
      <c r="A1372" t="inlineStr">
        <is>
          <t>샘플종목13</t>
        </is>
      </c>
      <c r="B1372" s="3" t="n">
        <v>45905</v>
      </c>
      <c r="C1372" t="n">
        <v>188342</v>
      </c>
      <c r="D1372" t="n">
        <v>567105</v>
      </c>
      <c r="E1372">
        <f>IF(A1372="","",COUNTIFS($A$2:$A$20000,A1372,$B$2:$B$20000,"&gt;"&amp;B1372)+1)</f>
        <v/>
      </c>
    </row>
    <row r="1373">
      <c r="A1373" t="inlineStr">
        <is>
          <t>샘플종목13</t>
        </is>
      </c>
      <c r="B1373" s="3" t="n">
        <v>45912</v>
      </c>
      <c r="C1373" t="n">
        <v>195300</v>
      </c>
      <c r="D1373" t="n">
        <v>3268286</v>
      </c>
      <c r="E1373">
        <f>IF(A1373="","",COUNTIFS($A$2:$A$20000,A1373,$B$2:$B$20000,"&gt;"&amp;B1373)+1)</f>
        <v/>
      </c>
    </row>
    <row r="1374">
      <c r="A1374" t="inlineStr">
        <is>
          <t>샘플종목13</t>
        </is>
      </c>
      <c r="B1374" s="3" t="n">
        <v>45919</v>
      </c>
      <c r="C1374" t="n">
        <v>197895</v>
      </c>
      <c r="D1374" t="n">
        <v>1529529</v>
      </c>
      <c r="E1374">
        <f>IF(A1374="","",COUNTIFS($A$2:$A$20000,A1374,$B$2:$B$20000,"&gt;"&amp;B1374)+1)</f>
        <v/>
      </c>
    </row>
    <row r="1375">
      <c r="A1375" t="inlineStr">
        <is>
          <t>샘플종목13</t>
        </is>
      </c>
      <c r="B1375" s="3" t="n">
        <v>45926</v>
      </c>
      <c r="C1375" t="n">
        <v>211085</v>
      </c>
      <c r="D1375" t="n">
        <v>2564875</v>
      </c>
      <c r="E1375">
        <f>IF(A1375="","",COUNTIFS($A$2:$A$20000,A1375,$B$2:$B$20000,"&gt;"&amp;B1375)+1)</f>
        <v/>
      </c>
    </row>
    <row r="1376">
      <c r="A1376" t="inlineStr">
        <is>
          <t>샘플종목13</t>
        </is>
      </c>
      <c r="B1376" s="3" t="n">
        <v>45933</v>
      </c>
      <c r="C1376" t="n">
        <v>207164</v>
      </c>
      <c r="D1376" t="n">
        <v>9843673</v>
      </c>
      <c r="E1376">
        <f>IF(A1376="","",COUNTIFS($A$2:$A$20000,A1376,$B$2:$B$20000,"&gt;"&amp;B1376)+1)</f>
        <v/>
      </c>
    </row>
    <row r="1377">
      <c r="A1377" t="inlineStr">
        <is>
          <t>샘플종목13</t>
        </is>
      </c>
      <c r="B1377" s="3" t="n">
        <v>45940</v>
      </c>
      <c r="C1377" t="n">
        <v>200817</v>
      </c>
      <c r="D1377" t="n">
        <v>7085645</v>
      </c>
      <c r="E1377">
        <f>IF(A1377="","",COUNTIFS($A$2:$A$20000,A1377,$B$2:$B$20000,"&gt;"&amp;B1377)+1)</f>
        <v/>
      </c>
    </row>
    <row r="1378">
      <c r="A1378" t="inlineStr">
        <is>
          <t>샘플종목13</t>
        </is>
      </c>
      <c r="B1378" s="3" t="n">
        <v>45947</v>
      </c>
      <c r="C1378" t="n">
        <v>197423</v>
      </c>
      <c r="D1378" t="n">
        <v>7504924</v>
      </c>
      <c r="E1378">
        <f>IF(A1378="","",COUNTIFS($A$2:$A$20000,A1378,$B$2:$B$20000,"&gt;"&amp;B1378)+1)</f>
        <v/>
      </c>
    </row>
    <row r="1379">
      <c r="A1379" t="inlineStr">
        <is>
          <t>샘플종목13</t>
        </is>
      </c>
      <c r="B1379" s="3" t="n">
        <v>45954</v>
      </c>
      <c r="C1379" t="n">
        <v>202328</v>
      </c>
      <c r="D1379" t="n">
        <v>6749534</v>
      </c>
      <c r="E1379">
        <f>IF(A1379="","",COUNTIFS($A$2:$A$20000,A1379,$B$2:$B$20000,"&gt;"&amp;B1379)+1)</f>
        <v/>
      </c>
    </row>
    <row r="1380">
      <c r="A1380" t="inlineStr">
        <is>
          <t>샘플종목13</t>
        </is>
      </c>
      <c r="B1380" s="3" t="n">
        <v>45961</v>
      </c>
      <c r="C1380" t="n">
        <v>202328</v>
      </c>
      <c r="D1380" t="n">
        <v>3502761</v>
      </c>
      <c r="E1380">
        <f>IF(A1380="","",COUNTIFS($A$2:$A$20000,A1380,$B$2:$B$20000,"&gt;"&amp;B1380)+1)</f>
        <v/>
      </c>
    </row>
    <row r="1381">
      <c r="A1381" t="inlineStr">
        <is>
          <t>샘플종목13</t>
        </is>
      </c>
      <c r="B1381" s="3" t="n">
        <v>45968</v>
      </c>
      <c r="C1381" t="n">
        <v>208530</v>
      </c>
      <c r="D1381" t="n">
        <v>9295824</v>
      </c>
      <c r="E1381">
        <f>IF(A1381="","",COUNTIFS($A$2:$A$20000,A1381,$B$2:$B$20000,"&gt;"&amp;B1381)+1)</f>
        <v/>
      </c>
    </row>
    <row r="1382">
      <c r="A1382" t="inlineStr">
        <is>
          <t>샘플종목13</t>
        </is>
      </c>
      <c r="B1382" s="3" t="n">
        <v>45975</v>
      </c>
      <c r="C1382" t="n">
        <v>208941</v>
      </c>
      <c r="D1382" t="n">
        <v>4352849</v>
      </c>
      <c r="E1382">
        <f>IF(A1382="","",COUNTIFS($A$2:$A$20000,A1382,$B$2:$B$20000,"&gt;"&amp;B1382)+1)</f>
        <v/>
      </c>
    </row>
    <row r="1383">
      <c r="A1383" t="inlineStr">
        <is>
          <t>샘플종목13</t>
        </is>
      </c>
      <c r="B1383" s="3" t="n">
        <v>45982</v>
      </c>
      <c r="C1383" t="n">
        <v>203449</v>
      </c>
      <c r="D1383" t="n">
        <v>1693243</v>
      </c>
      <c r="E1383">
        <f>IF(A1383="","",COUNTIFS($A$2:$A$20000,A1383,$B$2:$B$20000,"&gt;"&amp;B1383)+1)</f>
        <v/>
      </c>
    </row>
    <row r="1384">
      <c r="A1384" t="inlineStr">
        <is>
          <t>샘플종목13</t>
        </is>
      </c>
      <c r="B1384" s="3" t="n">
        <v>45989</v>
      </c>
      <c r="C1384" t="n">
        <v>208492</v>
      </c>
      <c r="D1384" t="n">
        <v>8308709</v>
      </c>
      <c r="E1384">
        <f>IF(A1384="","",COUNTIFS($A$2:$A$20000,A1384,$B$2:$B$20000,"&gt;"&amp;B1384)+1)</f>
        <v/>
      </c>
    </row>
    <row r="1385">
      <c r="A1385" t="inlineStr">
        <is>
          <t>샘플종목13</t>
        </is>
      </c>
      <c r="B1385" s="3" t="n">
        <v>45996</v>
      </c>
      <c r="C1385" t="n">
        <v>220387</v>
      </c>
      <c r="D1385" t="n">
        <v>3908263</v>
      </c>
      <c r="E1385">
        <f>IF(A1385="","",COUNTIFS($A$2:$A$20000,A1385,$B$2:$B$20000,"&gt;"&amp;B1385)+1)</f>
        <v/>
      </c>
    </row>
    <row r="1386">
      <c r="A1386" t="inlineStr">
        <is>
          <t>샘플종목13</t>
        </is>
      </c>
      <c r="B1386" s="3" t="n">
        <v>46003</v>
      </c>
      <c r="C1386" t="n">
        <v>214869</v>
      </c>
      <c r="D1386" t="n">
        <v>9708429</v>
      </c>
      <c r="E1386">
        <f>IF(A1386="","",COUNTIFS($A$2:$A$20000,A1386,$B$2:$B$20000,"&gt;"&amp;B1386)+1)</f>
        <v/>
      </c>
    </row>
    <row r="1387">
      <c r="A1387" t="inlineStr">
        <is>
          <t>샘플종목13</t>
        </is>
      </c>
      <c r="B1387" s="3" t="n">
        <v>46010</v>
      </c>
      <c r="C1387" t="n">
        <v>213248</v>
      </c>
      <c r="D1387" t="n">
        <v>1996124</v>
      </c>
      <c r="E1387">
        <f>IF(A1387="","",COUNTIFS($A$2:$A$20000,A1387,$B$2:$B$20000,"&gt;"&amp;B1387)+1)</f>
        <v/>
      </c>
    </row>
    <row r="1388">
      <c r="A1388" t="inlineStr">
        <is>
          <t>샘플종목13</t>
        </is>
      </c>
      <c r="B1388" s="3" t="n">
        <v>46017</v>
      </c>
      <c r="C1388" t="n">
        <v>211984</v>
      </c>
      <c r="D1388" t="n">
        <v>9610363</v>
      </c>
      <c r="E1388">
        <f>IF(A1388="","",COUNTIFS($A$2:$A$20000,A1388,$B$2:$B$20000,"&gt;"&amp;B1388)+1)</f>
        <v/>
      </c>
    </row>
    <row r="1389">
      <c r="A1389" t="inlineStr">
        <is>
          <t>샘플종목13</t>
        </is>
      </c>
      <c r="B1389" s="3" t="n">
        <v>46024</v>
      </c>
      <c r="C1389" t="n">
        <v>193908</v>
      </c>
      <c r="D1389" t="n">
        <v>1446012</v>
      </c>
      <c r="E1389">
        <f>IF(A1389="","",COUNTIFS($A$2:$A$20000,A1389,$B$2:$B$20000,"&gt;"&amp;B1389)+1)</f>
        <v/>
      </c>
    </row>
    <row r="1390">
      <c r="A1390" t="inlineStr">
        <is>
          <t>샘플종목13</t>
        </is>
      </c>
      <c r="B1390" s="3" t="n">
        <v>46031</v>
      </c>
      <c r="C1390" t="n">
        <v>201264</v>
      </c>
      <c r="D1390" t="n">
        <v>7474045</v>
      </c>
      <c r="E1390">
        <f>IF(A1390="","",COUNTIFS($A$2:$A$20000,A1390,$B$2:$B$20000,"&gt;"&amp;B1390)+1)</f>
        <v/>
      </c>
    </row>
    <row r="1391">
      <c r="A1391" t="inlineStr">
        <is>
          <t>샘플종목13</t>
        </is>
      </c>
      <c r="B1391" s="3" t="n">
        <v>46038</v>
      </c>
      <c r="C1391" t="n">
        <v>191911</v>
      </c>
      <c r="D1391" t="n">
        <v>2352927</v>
      </c>
      <c r="E1391">
        <f>IF(A1391="","",COUNTIFS($A$2:$A$20000,A1391,$B$2:$B$20000,"&gt;"&amp;B1391)+1)</f>
        <v/>
      </c>
    </row>
    <row r="1392">
      <c r="A1392" t="inlineStr">
        <is>
          <t>샘플종목13</t>
        </is>
      </c>
      <c r="B1392" s="3" t="n">
        <v>46045</v>
      </c>
      <c r="C1392" t="n">
        <v>198645</v>
      </c>
      <c r="D1392" t="n">
        <v>2022893</v>
      </c>
      <c r="E1392">
        <f>IF(A1392="","",COUNTIFS($A$2:$A$20000,A1392,$B$2:$B$20000,"&gt;"&amp;B1392)+1)</f>
        <v/>
      </c>
    </row>
    <row r="1393">
      <c r="A1393" t="inlineStr">
        <is>
          <t>샘플종목13</t>
        </is>
      </c>
      <c r="B1393" s="3" t="n">
        <v>46052</v>
      </c>
      <c r="C1393" t="n">
        <v>191441</v>
      </c>
      <c r="D1393" t="n">
        <v>8742887</v>
      </c>
      <c r="E1393">
        <f>IF(A1393="","",COUNTIFS($A$2:$A$20000,A1393,$B$2:$B$20000,"&gt;"&amp;B1393)+1)</f>
        <v/>
      </c>
    </row>
    <row r="1394">
      <c r="A1394" t="inlineStr">
        <is>
          <t>샘플종목13</t>
        </is>
      </c>
      <c r="B1394" s="3" t="n">
        <v>46059</v>
      </c>
      <c r="C1394" t="n">
        <v>203378</v>
      </c>
      <c r="D1394" t="n">
        <v>6676043</v>
      </c>
      <c r="E1394">
        <f>IF(A1394="","",COUNTIFS($A$2:$A$20000,A1394,$B$2:$B$20000,"&gt;"&amp;B1394)+1)</f>
        <v/>
      </c>
    </row>
    <row r="1395">
      <c r="A1395" t="inlineStr">
        <is>
          <t>샘플종목13</t>
        </is>
      </c>
      <c r="B1395" s="3" t="n">
        <v>46066</v>
      </c>
      <c r="C1395" t="n">
        <v>212952</v>
      </c>
      <c r="D1395" t="n">
        <v>9231834</v>
      </c>
      <c r="E1395">
        <f>IF(A1395="","",COUNTIFS($A$2:$A$20000,A1395,$B$2:$B$20000,"&gt;"&amp;B1395)+1)</f>
        <v/>
      </c>
    </row>
    <row r="1396">
      <c r="A1396" t="inlineStr">
        <is>
          <t>샘플종목13</t>
        </is>
      </c>
      <c r="B1396" s="3" t="n">
        <v>46073</v>
      </c>
      <c r="C1396" t="n">
        <v>223642</v>
      </c>
      <c r="D1396" t="n">
        <v>9546133</v>
      </c>
      <c r="E1396">
        <f>IF(A1396="","",COUNTIFS($A$2:$A$20000,A1396,$B$2:$B$20000,"&gt;"&amp;B1396)+1)</f>
        <v/>
      </c>
    </row>
    <row r="1397">
      <c r="A1397" t="inlineStr">
        <is>
          <t>샘플종목13</t>
        </is>
      </c>
      <c r="B1397" s="3" t="n">
        <v>46080</v>
      </c>
      <c r="C1397" t="n">
        <v>244067</v>
      </c>
      <c r="D1397" t="n">
        <v>8070998</v>
      </c>
      <c r="E1397">
        <f>IF(A1397="","",COUNTIFS($A$2:$A$20000,A1397,$B$2:$B$20000,"&gt;"&amp;B1397)+1)</f>
        <v/>
      </c>
    </row>
    <row r="1398">
      <c r="A1398" t="inlineStr">
        <is>
          <t>샘플종목13</t>
        </is>
      </c>
      <c r="B1398" s="3" t="n">
        <v>46087</v>
      </c>
      <c r="C1398" t="n">
        <v>245383</v>
      </c>
      <c r="D1398" t="n">
        <v>1065604</v>
      </c>
      <c r="E1398">
        <f>IF(A1398="","",COUNTIFS($A$2:$A$20000,A1398,$B$2:$B$20000,"&gt;"&amp;B1398)+1)</f>
        <v/>
      </c>
    </row>
    <row r="1399">
      <c r="A1399" t="inlineStr">
        <is>
          <t>샘플종목13</t>
        </is>
      </c>
      <c r="B1399" s="3" t="n">
        <v>46094</v>
      </c>
      <c r="C1399" t="n">
        <v>240615</v>
      </c>
      <c r="D1399" t="n">
        <v>6883976</v>
      </c>
      <c r="E1399">
        <f>IF(A1399="","",COUNTIFS($A$2:$A$20000,A1399,$B$2:$B$20000,"&gt;"&amp;B1399)+1)</f>
        <v/>
      </c>
    </row>
    <row r="1400">
      <c r="A1400" t="inlineStr">
        <is>
          <t>샘플종목13</t>
        </is>
      </c>
      <c r="B1400" s="3" t="n">
        <v>46101</v>
      </c>
      <c r="C1400" t="n">
        <v>241860</v>
      </c>
      <c r="D1400" t="n">
        <v>354528</v>
      </c>
      <c r="E1400">
        <f>IF(A1400="","",COUNTIFS($A$2:$A$20000,A1400,$B$2:$B$20000,"&gt;"&amp;B1400)+1)</f>
        <v/>
      </c>
    </row>
    <row r="1401">
      <c r="A1401" t="inlineStr">
        <is>
          <t>샘플종목13</t>
        </is>
      </c>
      <c r="B1401" s="3" t="n">
        <v>46108</v>
      </c>
      <c r="C1401" t="n">
        <v>251650</v>
      </c>
      <c r="D1401" t="n">
        <v>3675790</v>
      </c>
      <c r="E1401">
        <f>IF(A1401="","",COUNTIFS($A$2:$A$20000,A1401,$B$2:$B$20000,"&gt;"&amp;B1401)+1)</f>
        <v/>
      </c>
    </row>
    <row r="1402">
      <c r="A1402" t="inlineStr">
        <is>
          <t>샘플종목13</t>
        </is>
      </c>
      <c r="B1402" s="3" t="n">
        <v>46115</v>
      </c>
      <c r="C1402" t="n">
        <v>247214</v>
      </c>
      <c r="D1402" t="n">
        <v>2374907</v>
      </c>
      <c r="E1402">
        <f>IF(A1402="","",COUNTIFS($A$2:$A$20000,A1402,$B$2:$B$20000,"&gt;"&amp;B1402)+1)</f>
        <v/>
      </c>
    </row>
    <row r="1403">
      <c r="A1403" t="inlineStr">
        <is>
          <t>샘플종목13</t>
        </is>
      </c>
      <c r="B1403" s="3" t="n">
        <v>46122</v>
      </c>
      <c r="C1403" t="n">
        <v>248964</v>
      </c>
      <c r="D1403" t="n">
        <v>7246681</v>
      </c>
      <c r="E1403">
        <f>IF(A1403="","",COUNTIFS($A$2:$A$20000,A1403,$B$2:$B$20000,"&gt;"&amp;B1403)+1)</f>
        <v/>
      </c>
    </row>
    <row r="1404">
      <c r="A1404" t="inlineStr">
        <is>
          <t>샘플종목13</t>
        </is>
      </c>
      <c r="B1404" s="3" t="n">
        <v>46129</v>
      </c>
      <c r="C1404" t="n">
        <v>253043</v>
      </c>
      <c r="D1404" t="n">
        <v>3482274</v>
      </c>
      <c r="E1404">
        <f>IF(A1404="","",COUNTIFS($A$2:$A$20000,A1404,$B$2:$B$20000,"&gt;"&amp;B1404)+1)</f>
        <v/>
      </c>
    </row>
    <row r="1405">
      <c r="A1405" t="inlineStr">
        <is>
          <t>샘플종목13</t>
        </is>
      </c>
      <c r="B1405" s="3" t="n">
        <v>46136</v>
      </c>
      <c r="C1405" t="n">
        <v>251192</v>
      </c>
      <c r="D1405" t="n">
        <v>9544889</v>
      </c>
      <c r="E1405">
        <f>IF(A1405="","",COUNTIFS($A$2:$A$20000,A1405,$B$2:$B$20000,"&gt;"&amp;B1405)+1)</f>
        <v/>
      </c>
    </row>
    <row r="1406">
      <c r="A1406" t="inlineStr">
        <is>
          <t>샘플종목13</t>
        </is>
      </c>
      <c r="B1406" s="3" t="n">
        <v>46143</v>
      </c>
      <c r="C1406" t="n">
        <v>263879</v>
      </c>
      <c r="D1406" t="n">
        <v>6050233</v>
      </c>
      <c r="E1406">
        <f>IF(A1406="","",COUNTIFS($A$2:$A$20000,A1406,$B$2:$B$20000,"&gt;"&amp;B1406)+1)</f>
        <v/>
      </c>
    </row>
    <row r="1407">
      <c r="A1407" t="inlineStr">
        <is>
          <t>샘플종목13</t>
        </is>
      </c>
      <c r="B1407" s="3" t="n">
        <v>46150</v>
      </c>
      <c r="C1407" t="n">
        <v>275651</v>
      </c>
      <c r="D1407" t="n">
        <v>2918657</v>
      </c>
      <c r="E1407">
        <f>IF(A1407="","",COUNTIFS($A$2:$A$20000,A1407,$B$2:$B$20000,"&gt;"&amp;B1407)+1)</f>
        <v/>
      </c>
    </row>
    <row r="1408">
      <c r="A1408" t="inlineStr">
        <is>
          <t>샘플종목13</t>
        </is>
      </c>
      <c r="B1408" s="3" t="n">
        <v>46157</v>
      </c>
      <c r="C1408" t="n">
        <v>262011</v>
      </c>
      <c r="D1408" t="n">
        <v>295404</v>
      </c>
      <c r="E1408">
        <f>IF(A1408="","",COUNTIFS($A$2:$A$20000,A1408,$B$2:$B$20000,"&gt;"&amp;B1408)+1)</f>
        <v/>
      </c>
    </row>
    <row r="1409">
      <c r="A1409" t="inlineStr">
        <is>
          <t>샘플종목13</t>
        </is>
      </c>
      <c r="B1409" s="3" t="n">
        <v>46164</v>
      </c>
      <c r="C1409" t="n">
        <v>277456</v>
      </c>
      <c r="D1409" t="n">
        <v>4388521</v>
      </c>
      <c r="E1409">
        <f>IF(A1409="","",COUNTIFS($A$2:$A$20000,A1409,$B$2:$B$20000,"&gt;"&amp;B1409)+1)</f>
        <v/>
      </c>
    </row>
    <row r="1410">
      <c r="A1410" t="inlineStr">
        <is>
          <t>샘플종목13</t>
        </is>
      </c>
      <c r="B1410" s="3" t="n">
        <v>46171</v>
      </c>
      <c r="C1410" t="n">
        <v>285702</v>
      </c>
      <c r="D1410" t="n">
        <v>8903152</v>
      </c>
      <c r="E1410">
        <f>IF(A1410="","",COUNTIFS($A$2:$A$20000,A1410,$B$2:$B$20000,"&gt;"&amp;B1410)+1)</f>
        <v/>
      </c>
    </row>
    <row r="1411">
      <c r="A1411" t="inlineStr">
        <is>
          <t>샘플종목13</t>
        </is>
      </c>
      <c r="B1411" s="3" t="n">
        <v>46178</v>
      </c>
      <c r="C1411" t="n">
        <v>293969</v>
      </c>
      <c r="D1411" t="n">
        <v>6088791</v>
      </c>
      <c r="E1411">
        <f>IF(A1411="","",COUNTIFS($A$2:$A$20000,A1411,$B$2:$B$20000,"&gt;"&amp;B1411)+1)</f>
        <v/>
      </c>
    </row>
    <row r="1412">
      <c r="A1412" t="inlineStr">
        <is>
          <t>샘플종목13</t>
        </is>
      </c>
      <c r="B1412" s="3" t="n">
        <v>46185</v>
      </c>
      <c r="C1412" t="n">
        <v>293938</v>
      </c>
      <c r="D1412" t="n">
        <v>6029781</v>
      </c>
      <c r="E1412">
        <f>IF(A1412="","",COUNTIFS($A$2:$A$20000,A1412,$B$2:$B$20000,"&gt;"&amp;B1412)+1)</f>
        <v/>
      </c>
    </row>
    <row r="1413">
      <c r="A1413" t="inlineStr">
        <is>
          <t>샘플종목13</t>
        </is>
      </c>
      <c r="B1413" s="3" t="n">
        <v>46192</v>
      </c>
      <c r="C1413" t="n">
        <v>291074</v>
      </c>
      <c r="D1413" t="n">
        <v>1771770</v>
      </c>
      <c r="E1413">
        <f>IF(A1413="","",COUNTIFS($A$2:$A$20000,A1413,$B$2:$B$20000,"&gt;"&amp;B1413)+1)</f>
        <v/>
      </c>
    </row>
    <row r="1414">
      <c r="A1414" t="inlineStr">
        <is>
          <t>샘플종목13</t>
        </is>
      </c>
      <c r="B1414" s="3" t="n">
        <v>46199</v>
      </c>
      <c r="C1414" t="n">
        <v>285263</v>
      </c>
      <c r="D1414" t="n">
        <v>1995311</v>
      </c>
      <c r="E1414">
        <f>IF(A1414="","",COUNTIFS($A$2:$A$20000,A1414,$B$2:$B$20000,"&gt;"&amp;B1414)+1)</f>
        <v/>
      </c>
    </row>
    <row r="1415">
      <c r="A1415" t="inlineStr">
        <is>
          <t>샘플종목13</t>
        </is>
      </c>
      <c r="B1415" s="3" t="n">
        <v>46206</v>
      </c>
      <c r="C1415" t="n">
        <v>293834</v>
      </c>
      <c r="D1415" t="n">
        <v>672882</v>
      </c>
      <c r="E1415">
        <f>IF(A1415="","",COUNTIFS($A$2:$A$20000,A1415,$B$2:$B$20000,"&gt;"&amp;B1415)+1)</f>
        <v/>
      </c>
    </row>
    <row r="1416">
      <c r="A1416" t="inlineStr">
        <is>
          <t>샘플종목13</t>
        </is>
      </c>
      <c r="B1416" s="3" t="n">
        <v>46213</v>
      </c>
      <c r="C1416" t="n">
        <v>310145</v>
      </c>
      <c r="D1416" t="n">
        <v>4371519</v>
      </c>
      <c r="E1416">
        <f>IF(A1416="","",COUNTIFS($A$2:$A$20000,A1416,$B$2:$B$20000,"&gt;"&amp;B1416)+1)</f>
        <v/>
      </c>
    </row>
    <row r="1417">
      <c r="A1417" t="inlineStr">
        <is>
          <t>샘플종목13</t>
        </is>
      </c>
      <c r="B1417" s="3" t="n">
        <v>46220</v>
      </c>
      <c r="C1417" t="n">
        <v>302356</v>
      </c>
      <c r="D1417" t="n">
        <v>6045076</v>
      </c>
      <c r="E1417">
        <f>IF(A1417="","",COUNTIFS($A$2:$A$20000,A1417,$B$2:$B$20000,"&gt;"&amp;B1417)+1)</f>
        <v/>
      </c>
    </row>
    <row r="1418">
      <c r="A1418" t="inlineStr">
        <is>
          <t>샘플종목13</t>
        </is>
      </c>
      <c r="B1418" s="3" t="n">
        <v>46227</v>
      </c>
      <c r="C1418" t="n">
        <v>307562</v>
      </c>
      <c r="D1418" t="n">
        <v>9853820</v>
      </c>
      <c r="E1418">
        <f>IF(A1418="","",COUNTIFS($A$2:$A$20000,A1418,$B$2:$B$20000,"&gt;"&amp;B1418)+1)</f>
        <v/>
      </c>
    </row>
    <row r="1419">
      <c r="A1419" t="inlineStr">
        <is>
          <t>샘플종목13</t>
        </is>
      </c>
      <c r="B1419" s="3" t="n">
        <v>46234</v>
      </c>
      <c r="C1419" t="n">
        <v>320719</v>
      </c>
      <c r="D1419" t="n">
        <v>7479933</v>
      </c>
      <c r="E1419">
        <f>IF(A1419="","",COUNTIFS($A$2:$A$20000,A1419,$B$2:$B$20000,"&gt;"&amp;B1419)+1)</f>
        <v/>
      </c>
    </row>
    <row r="1420">
      <c r="A1420" t="inlineStr">
        <is>
          <t>샘플종목13</t>
        </is>
      </c>
      <c r="B1420" s="3" t="n">
        <v>46241</v>
      </c>
      <c r="C1420" t="n">
        <v>323356</v>
      </c>
      <c r="D1420" t="n">
        <v>1952493</v>
      </c>
      <c r="E1420">
        <f>IF(A1420="","",COUNTIFS($A$2:$A$20000,A1420,$B$2:$B$20000,"&gt;"&amp;B1420)+1)</f>
        <v/>
      </c>
    </row>
    <row r="1421">
      <c r="A1421" t="inlineStr">
        <is>
          <t>샘플종목13</t>
        </is>
      </c>
      <c r="B1421" s="3" t="n">
        <v>46248</v>
      </c>
      <c r="C1421" t="n">
        <v>325746</v>
      </c>
      <c r="D1421" t="n">
        <v>1337400</v>
      </c>
      <c r="E1421">
        <f>IF(A1421="","",COUNTIFS($A$2:$A$20000,A1421,$B$2:$B$20000,"&gt;"&amp;B1421)+1)</f>
        <v/>
      </c>
    </row>
    <row r="1422">
      <c r="A1422" t="inlineStr">
        <is>
          <t>샘플종목13</t>
        </is>
      </c>
      <c r="B1422" s="3" t="n">
        <v>46255</v>
      </c>
      <c r="C1422" t="n">
        <v>329009</v>
      </c>
      <c r="D1422" t="n">
        <v>9398708</v>
      </c>
      <c r="E1422">
        <f>IF(A1422="","",COUNTIFS($A$2:$A$20000,A1422,$B$2:$B$20000,"&gt;"&amp;B1422)+1)</f>
        <v/>
      </c>
    </row>
    <row r="1423">
      <c r="A1423" t="inlineStr">
        <is>
          <t>샘플종목13</t>
        </is>
      </c>
      <c r="B1423" s="3" t="n">
        <v>46262</v>
      </c>
      <c r="C1423" t="n">
        <v>321666</v>
      </c>
      <c r="D1423" t="n">
        <v>4965979</v>
      </c>
      <c r="E1423">
        <f>IF(A1423="","",COUNTIFS($A$2:$A$20000,A1423,$B$2:$B$20000,"&gt;"&amp;B1423)+1)</f>
        <v/>
      </c>
    </row>
    <row r="1424">
      <c r="A1424" t="inlineStr">
        <is>
          <t>샘플종목13</t>
        </is>
      </c>
      <c r="B1424" s="3" t="n">
        <v>46269</v>
      </c>
      <c r="C1424" t="n">
        <v>335742</v>
      </c>
      <c r="D1424" t="n">
        <v>2519971</v>
      </c>
      <c r="E1424">
        <f>IF(A1424="","",COUNTIFS($A$2:$A$20000,A1424,$B$2:$B$20000,"&gt;"&amp;B1424)+1)</f>
        <v/>
      </c>
    </row>
    <row r="1425">
      <c r="A1425" t="inlineStr">
        <is>
          <t>샘플종목13</t>
        </is>
      </c>
      <c r="B1425" s="3" t="n">
        <v>46276</v>
      </c>
      <c r="C1425" t="n">
        <v>322170</v>
      </c>
      <c r="D1425" t="n">
        <v>9970295</v>
      </c>
      <c r="E1425">
        <f>IF(A1425="","",COUNTIFS($A$2:$A$20000,A1425,$B$2:$B$20000,"&gt;"&amp;B1425)+1)</f>
        <v/>
      </c>
    </row>
    <row r="1426">
      <c r="A1426" t="inlineStr">
        <is>
          <t>샘플종목13</t>
        </is>
      </c>
      <c r="B1426" s="3" t="n">
        <v>46283</v>
      </c>
      <c r="C1426" t="n">
        <v>334174</v>
      </c>
      <c r="D1426" t="n">
        <v>4608274</v>
      </c>
      <c r="E1426">
        <f>IF(A1426="","",COUNTIFS($A$2:$A$20000,A1426,$B$2:$B$20000,"&gt;"&amp;B1426)+1)</f>
        <v/>
      </c>
    </row>
    <row r="1427">
      <c r="A1427" t="inlineStr">
        <is>
          <t>샘플종목13</t>
        </is>
      </c>
      <c r="B1427" s="3" t="n">
        <v>46290</v>
      </c>
      <c r="C1427" t="n">
        <v>323119</v>
      </c>
      <c r="D1427" t="n">
        <v>7550577</v>
      </c>
      <c r="E1427">
        <f>IF(A1427="","",COUNTIFS($A$2:$A$20000,A1427,$B$2:$B$20000,"&gt;"&amp;B1427)+1)</f>
        <v/>
      </c>
    </row>
    <row r="1428">
      <c r="A1428" t="inlineStr">
        <is>
          <t>샘플종목13</t>
        </is>
      </c>
      <c r="B1428" s="3" t="n">
        <v>46297</v>
      </c>
      <c r="C1428" t="n">
        <v>335554</v>
      </c>
      <c r="D1428" t="n">
        <v>2632241</v>
      </c>
      <c r="E1428">
        <f>IF(A1428="","",COUNTIFS($A$2:$A$20000,A1428,$B$2:$B$20000,"&gt;"&amp;B1428)+1)</f>
        <v/>
      </c>
    </row>
    <row r="1429">
      <c r="A1429" t="inlineStr">
        <is>
          <t>샘플종목13</t>
        </is>
      </c>
      <c r="B1429" s="3" t="n">
        <v>46304</v>
      </c>
      <c r="C1429" t="n">
        <v>337290</v>
      </c>
      <c r="D1429" t="n">
        <v>8273361</v>
      </c>
      <c r="E1429">
        <f>IF(A1429="","",COUNTIFS($A$2:$A$20000,A1429,$B$2:$B$20000,"&gt;"&amp;B1429)+1)</f>
        <v/>
      </c>
    </row>
    <row r="1430">
      <c r="A1430" t="inlineStr">
        <is>
          <t>샘플종목13</t>
        </is>
      </c>
      <c r="B1430" s="3" t="n">
        <v>46311</v>
      </c>
      <c r="C1430" t="n">
        <v>310554</v>
      </c>
      <c r="D1430" t="n">
        <v>694901</v>
      </c>
      <c r="E1430">
        <f>IF(A1430="","",COUNTIFS($A$2:$A$20000,A1430,$B$2:$B$20000,"&gt;"&amp;B1430)+1)</f>
        <v/>
      </c>
    </row>
    <row r="1431">
      <c r="A1431" t="inlineStr">
        <is>
          <t>샘플종목13</t>
        </is>
      </c>
      <c r="B1431" s="3" t="n">
        <v>46318</v>
      </c>
      <c r="C1431" t="n">
        <v>310894</v>
      </c>
      <c r="D1431" t="n">
        <v>1351645</v>
      </c>
      <c r="E1431">
        <f>IF(A1431="","",COUNTIFS($A$2:$A$20000,A1431,$B$2:$B$20000,"&gt;"&amp;B1431)+1)</f>
        <v/>
      </c>
    </row>
    <row r="1432">
      <c r="A1432" t="inlineStr">
        <is>
          <t>샘플종목14</t>
        </is>
      </c>
      <c r="B1432" s="3" t="n">
        <v>45555</v>
      </c>
      <c r="C1432" t="n">
        <v>41645</v>
      </c>
      <c r="D1432" t="n">
        <v>6686141</v>
      </c>
      <c r="E1432">
        <f>IF(A1432="","",COUNTIFS($A$2:$A$20000,A1432,$B$2:$B$20000,"&gt;"&amp;B1432)+1)</f>
        <v/>
      </c>
    </row>
    <row r="1433">
      <c r="A1433" t="inlineStr">
        <is>
          <t>샘플종목14</t>
        </is>
      </c>
      <c r="B1433" s="3" t="n">
        <v>45562</v>
      </c>
      <c r="C1433" t="n">
        <v>39443</v>
      </c>
      <c r="D1433" t="n">
        <v>8081877</v>
      </c>
      <c r="E1433">
        <f>IF(A1433="","",COUNTIFS($A$2:$A$20000,A1433,$B$2:$B$20000,"&gt;"&amp;B1433)+1)</f>
        <v/>
      </c>
    </row>
    <row r="1434">
      <c r="A1434" t="inlineStr">
        <is>
          <t>샘플종목14</t>
        </is>
      </c>
      <c r="B1434" s="3" t="n">
        <v>45569</v>
      </c>
      <c r="C1434" t="n">
        <v>41896</v>
      </c>
      <c r="D1434" t="n">
        <v>7626043</v>
      </c>
      <c r="E1434">
        <f>IF(A1434="","",COUNTIFS($A$2:$A$20000,A1434,$B$2:$B$20000,"&gt;"&amp;B1434)+1)</f>
        <v/>
      </c>
    </row>
    <row r="1435">
      <c r="A1435" t="inlineStr">
        <is>
          <t>샘플종목14</t>
        </is>
      </c>
      <c r="B1435" s="3" t="n">
        <v>45576</v>
      </c>
      <c r="C1435" t="n">
        <v>41458</v>
      </c>
      <c r="D1435" t="n">
        <v>6700426</v>
      </c>
      <c r="E1435">
        <f>IF(A1435="","",COUNTIFS($A$2:$A$20000,A1435,$B$2:$B$20000,"&gt;"&amp;B1435)+1)</f>
        <v/>
      </c>
    </row>
    <row r="1436">
      <c r="A1436" t="inlineStr">
        <is>
          <t>샘플종목14</t>
        </is>
      </c>
      <c r="B1436" s="3" t="n">
        <v>45583</v>
      </c>
      <c r="C1436" t="n">
        <v>42085</v>
      </c>
      <c r="D1436" t="n">
        <v>8773776</v>
      </c>
      <c r="E1436">
        <f>IF(A1436="","",COUNTIFS($A$2:$A$20000,A1436,$B$2:$B$20000,"&gt;"&amp;B1436)+1)</f>
        <v/>
      </c>
    </row>
    <row r="1437">
      <c r="A1437" t="inlineStr">
        <is>
          <t>샘플종목14</t>
        </is>
      </c>
      <c r="B1437" s="3" t="n">
        <v>45590</v>
      </c>
      <c r="C1437" t="n">
        <v>46370</v>
      </c>
      <c r="D1437" t="n">
        <v>1373114</v>
      </c>
      <c r="E1437">
        <f>IF(A1437="","",COUNTIFS($A$2:$A$20000,A1437,$B$2:$B$20000,"&gt;"&amp;B1437)+1)</f>
        <v/>
      </c>
    </row>
    <row r="1438">
      <c r="A1438" t="inlineStr">
        <is>
          <t>샘플종목14</t>
        </is>
      </c>
      <c r="B1438" s="3" t="n">
        <v>45597</v>
      </c>
      <c r="C1438" t="n">
        <v>45003</v>
      </c>
      <c r="D1438" t="n">
        <v>5322025</v>
      </c>
      <c r="E1438">
        <f>IF(A1438="","",COUNTIFS($A$2:$A$20000,A1438,$B$2:$B$20000,"&gt;"&amp;B1438)+1)</f>
        <v/>
      </c>
    </row>
    <row r="1439">
      <c r="A1439" t="inlineStr">
        <is>
          <t>샘플종목14</t>
        </is>
      </c>
      <c r="B1439" s="3" t="n">
        <v>45604</v>
      </c>
      <c r="C1439" t="n">
        <v>46785</v>
      </c>
      <c r="D1439" t="n">
        <v>2296488</v>
      </c>
      <c r="E1439">
        <f>IF(A1439="","",COUNTIFS($A$2:$A$20000,A1439,$B$2:$B$20000,"&gt;"&amp;B1439)+1)</f>
        <v/>
      </c>
    </row>
    <row r="1440">
      <c r="A1440" t="inlineStr">
        <is>
          <t>샘플종목14</t>
        </is>
      </c>
      <c r="B1440" s="3" t="n">
        <v>45611</v>
      </c>
      <c r="C1440" t="n">
        <v>46405</v>
      </c>
      <c r="D1440" t="n">
        <v>2947560</v>
      </c>
      <c r="E1440">
        <f>IF(A1440="","",COUNTIFS($A$2:$A$20000,A1440,$B$2:$B$20000,"&gt;"&amp;B1440)+1)</f>
        <v/>
      </c>
    </row>
    <row r="1441">
      <c r="A1441" t="inlineStr">
        <is>
          <t>샘플종목14</t>
        </is>
      </c>
      <c r="B1441" s="3" t="n">
        <v>45618</v>
      </c>
      <c r="C1441" t="n">
        <v>46203</v>
      </c>
      <c r="D1441" t="n">
        <v>6156325</v>
      </c>
      <c r="E1441">
        <f>IF(A1441="","",COUNTIFS($A$2:$A$20000,A1441,$B$2:$B$20000,"&gt;"&amp;B1441)+1)</f>
        <v/>
      </c>
    </row>
    <row r="1442">
      <c r="A1442" t="inlineStr">
        <is>
          <t>샘플종목14</t>
        </is>
      </c>
      <c r="B1442" s="3" t="n">
        <v>45625</v>
      </c>
      <c r="C1442" t="n">
        <v>46059</v>
      </c>
      <c r="D1442" t="n">
        <v>7958538</v>
      </c>
      <c r="E1442">
        <f>IF(A1442="","",COUNTIFS($A$2:$A$20000,A1442,$B$2:$B$20000,"&gt;"&amp;B1442)+1)</f>
        <v/>
      </c>
    </row>
    <row r="1443">
      <c r="A1443" t="inlineStr">
        <is>
          <t>샘플종목14</t>
        </is>
      </c>
      <c r="B1443" s="3" t="n">
        <v>45632</v>
      </c>
      <c r="C1443" t="n">
        <v>44515</v>
      </c>
      <c r="D1443" t="n">
        <v>6607568</v>
      </c>
      <c r="E1443">
        <f>IF(A1443="","",COUNTIFS($A$2:$A$20000,A1443,$B$2:$B$20000,"&gt;"&amp;B1443)+1)</f>
        <v/>
      </c>
    </row>
    <row r="1444">
      <c r="A1444" t="inlineStr">
        <is>
          <t>샘플종목14</t>
        </is>
      </c>
      <c r="B1444" s="3" t="n">
        <v>45639</v>
      </c>
      <c r="C1444" t="n">
        <v>46033</v>
      </c>
      <c r="D1444" t="n">
        <v>5728842</v>
      </c>
      <c r="E1444">
        <f>IF(A1444="","",COUNTIFS($A$2:$A$20000,A1444,$B$2:$B$20000,"&gt;"&amp;B1444)+1)</f>
        <v/>
      </c>
    </row>
    <row r="1445">
      <c r="A1445" t="inlineStr">
        <is>
          <t>샘플종목14</t>
        </is>
      </c>
      <c r="B1445" s="3" t="n">
        <v>45646</v>
      </c>
      <c r="C1445" t="n">
        <v>45512</v>
      </c>
      <c r="D1445" t="n">
        <v>9816719</v>
      </c>
      <c r="E1445">
        <f>IF(A1445="","",COUNTIFS($A$2:$A$20000,A1445,$B$2:$B$20000,"&gt;"&amp;B1445)+1)</f>
        <v/>
      </c>
    </row>
    <row r="1446">
      <c r="A1446" t="inlineStr">
        <is>
          <t>샘플종목14</t>
        </is>
      </c>
      <c r="B1446" s="3" t="n">
        <v>45653</v>
      </c>
      <c r="C1446" t="n">
        <v>44305</v>
      </c>
      <c r="D1446" t="n">
        <v>4273163</v>
      </c>
      <c r="E1446">
        <f>IF(A1446="","",COUNTIFS($A$2:$A$20000,A1446,$B$2:$B$20000,"&gt;"&amp;B1446)+1)</f>
        <v/>
      </c>
    </row>
    <row r="1447">
      <c r="A1447" t="inlineStr">
        <is>
          <t>샘플종목14</t>
        </is>
      </c>
      <c r="B1447" s="3" t="n">
        <v>45660</v>
      </c>
      <c r="C1447" t="n">
        <v>44526</v>
      </c>
      <c r="D1447" t="n">
        <v>7807582</v>
      </c>
      <c r="E1447">
        <f>IF(A1447="","",COUNTIFS($A$2:$A$20000,A1447,$B$2:$B$20000,"&gt;"&amp;B1447)+1)</f>
        <v/>
      </c>
    </row>
    <row r="1448">
      <c r="A1448" t="inlineStr">
        <is>
          <t>샘플종목14</t>
        </is>
      </c>
      <c r="B1448" s="3" t="n">
        <v>45667</v>
      </c>
      <c r="C1448" t="n">
        <v>46354</v>
      </c>
      <c r="D1448" t="n">
        <v>2546599</v>
      </c>
      <c r="E1448">
        <f>IF(A1448="","",COUNTIFS($A$2:$A$20000,A1448,$B$2:$B$20000,"&gt;"&amp;B1448)+1)</f>
        <v/>
      </c>
    </row>
    <row r="1449">
      <c r="A1449" t="inlineStr">
        <is>
          <t>샘플종목14</t>
        </is>
      </c>
      <c r="B1449" s="3" t="n">
        <v>45674</v>
      </c>
      <c r="C1449" t="n">
        <v>44665</v>
      </c>
      <c r="D1449" t="n">
        <v>2510063</v>
      </c>
      <c r="E1449">
        <f>IF(A1449="","",COUNTIFS($A$2:$A$20000,A1449,$B$2:$B$20000,"&gt;"&amp;B1449)+1)</f>
        <v/>
      </c>
    </row>
    <row r="1450">
      <c r="A1450" t="inlineStr">
        <is>
          <t>샘플종목14</t>
        </is>
      </c>
      <c r="B1450" s="3" t="n">
        <v>45681</v>
      </c>
      <c r="C1450" t="n">
        <v>44552</v>
      </c>
      <c r="D1450" t="n">
        <v>8488636</v>
      </c>
      <c r="E1450">
        <f>IF(A1450="","",COUNTIFS($A$2:$A$20000,A1450,$B$2:$B$20000,"&gt;"&amp;B1450)+1)</f>
        <v/>
      </c>
    </row>
    <row r="1451">
      <c r="A1451" t="inlineStr">
        <is>
          <t>샘플종목14</t>
        </is>
      </c>
      <c r="B1451" s="3" t="n">
        <v>45688</v>
      </c>
      <c r="C1451" t="n">
        <v>46050</v>
      </c>
      <c r="D1451" t="n">
        <v>4496765</v>
      </c>
      <c r="E1451">
        <f>IF(A1451="","",COUNTIFS($A$2:$A$20000,A1451,$B$2:$B$20000,"&gt;"&amp;B1451)+1)</f>
        <v/>
      </c>
    </row>
    <row r="1452">
      <c r="A1452" t="inlineStr">
        <is>
          <t>샘플종목14</t>
        </is>
      </c>
      <c r="B1452" s="3" t="n">
        <v>45695</v>
      </c>
      <c r="C1452" t="n">
        <v>44647</v>
      </c>
      <c r="D1452" t="n">
        <v>9904806</v>
      </c>
      <c r="E1452">
        <f>IF(A1452="","",COUNTIFS($A$2:$A$20000,A1452,$B$2:$B$20000,"&gt;"&amp;B1452)+1)</f>
        <v/>
      </c>
    </row>
    <row r="1453">
      <c r="A1453" t="inlineStr">
        <is>
          <t>샘플종목14</t>
        </is>
      </c>
      <c r="B1453" s="3" t="n">
        <v>45702</v>
      </c>
      <c r="C1453" t="n">
        <v>46562</v>
      </c>
      <c r="D1453" t="n">
        <v>2433622</v>
      </c>
      <c r="E1453">
        <f>IF(A1453="","",COUNTIFS($A$2:$A$20000,A1453,$B$2:$B$20000,"&gt;"&amp;B1453)+1)</f>
        <v/>
      </c>
    </row>
    <row r="1454">
      <c r="A1454" t="inlineStr">
        <is>
          <t>샘플종목14</t>
        </is>
      </c>
      <c r="B1454" s="3" t="n">
        <v>45709</v>
      </c>
      <c r="C1454" t="n">
        <v>47145</v>
      </c>
      <c r="D1454" t="n">
        <v>9505784</v>
      </c>
      <c r="E1454">
        <f>IF(A1454="","",COUNTIFS($A$2:$A$20000,A1454,$B$2:$B$20000,"&gt;"&amp;B1454)+1)</f>
        <v/>
      </c>
    </row>
    <row r="1455">
      <c r="A1455" t="inlineStr">
        <is>
          <t>샘플종목14</t>
        </is>
      </c>
      <c r="B1455" s="3" t="n">
        <v>45716</v>
      </c>
      <c r="C1455" t="n">
        <v>47215</v>
      </c>
      <c r="D1455" t="n">
        <v>1698063</v>
      </c>
      <c r="E1455">
        <f>IF(A1455="","",COUNTIFS($A$2:$A$20000,A1455,$B$2:$B$20000,"&gt;"&amp;B1455)+1)</f>
        <v/>
      </c>
    </row>
    <row r="1456">
      <c r="A1456" t="inlineStr">
        <is>
          <t>샘플종목14</t>
        </is>
      </c>
      <c r="B1456" s="3" t="n">
        <v>45723</v>
      </c>
      <c r="C1456" t="n">
        <v>49575</v>
      </c>
      <c r="D1456" t="n">
        <v>9692708</v>
      </c>
      <c r="E1456">
        <f>IF(A1456="","",COUNTIFS($A$2:$A$20000,A1456,$B$2:$B$20000,"&gt;"&amp;B1456)+1)</f>
        <v/>
      </c>
    </row>
    <row r="1457">
      <c r="A1457" t="inlineStr">
        <is>
          <t>샘플종목14</t>
        </is>
      </c>
      <c r="B1457" s="3" t="n">
        <v>45730</v>
      </c>
      <c r="C1457" t="n">
        <v>47216</v>
      </c>
      <c r="D1457" t="n">
        <v>1760819</v>
      </c>
      <c r="E1457">
        <f>IF(A1457="","",COUNTIFS($A$2:$A$20000,A1457,$B$2:$B$20000,"&gt;"&amp;B1457)+1)</f>
        <v/>
      </c>
    </row>
    <row r="1458">
      <c r="A1458" t="inlineStr">
        <is>
          <t>샘플종목14</t>
        </is>
      </c>
      <c r="B1458" s="3" t="n">
        <v>45737</v>
      </c>
      <c r="C1458" t="n">
        <v>46310</v>
      </c>
      <c r="D1458" t="n">
        <v>4093611</v>
      </c>
      <c r="E1458">
        <f>IF(A1458="","",COUNTIFS($A$2:$A$20000,A1458,$B$2:$B$20000,"&gt;"&amp;B1458)+1)</f>
        <v/>
      </c>
    </row>
    <row r="1459">
      <c r="A1459" t="inlineStr">
        <is>
          <t>샘플종목14</t>
        </is>
      </c>
      <c r="B1459" s="3" t="n">
        <v>45744</v>
      </c>
      <c r="C1459" t="n">
        <v>47545</v>
      </c>
      <c r="D1459" t="n">
        <v>2467997</v>
      </c>
      <c r="E1459">
        <f>IF(A1459="","",COUNTIFS($A$2:$A$20000,A1459,$B$2:$B$20000,"&gt;"&amp;B1459)+1)</f>
        <v/>
      </c>
    </row>
    <row r="1460">
      <c r="A1460" t="inlineStr">
        <is>
          <t>샘플종목14</t>
        </is>
      </c>
      <c r="B1460" s="3" t="n">
        <v>45751</v>
      </c>
      <c r="C1460" t="n">
        <v>46963</v>
      </c>
      <c r="D1460" t="n">
        <v>5829424</v>
      </c>
      <c r="E1460">
        <f>IF(A1460="","",COUNTIFS($A$2:$A$20000,A1460,$B$2:$B$20000,"&gt;"&amp;B1460)+1)</f>
        <v/>
      </c>
    </row>
    <row r="1461">
      <c r="A1461" t="inlineStr">
        <is>
          <t>샘플종목14</t>
        </is>
      </c>
      <c r="B1461" s="3" t="n">
        <v>45758</v>
      </c>
      <c r="C1461" t="n">
        <v>45604</v>
      </c>
      <c r="D1461" t="n">
        <v>6184310</v>
      </c>
      <c r="E1461">
        <f>IF(A1461="","",COUNTIFS($A$2:$A$20000,A1461,$B$2:$B$20000,"&gt;"&amp;B1461)+1)</f>
        <v/>
      </c>
    </row>
    <row r="1462">
      <c r="A1462" t="inlineStr">
        <is>
          <t>샘플종목14</t>
        </is>
      </c>
      <c r="B1462" s="3" t="n">
        <v>45765</v>
      </c>
      <c r="C1462" t="n">
        <v>43109</v>
      </c>
      <c r="D1462" t="n">
        <v>5979236</v>
      </c>
      <c r="E1462">
        <f>IF(A1462="","",COUNTIFS($A$2:$A$20000,A1462,$B$2:$B$20000,"&gt;"&amp;B1462)+1)</f>
        <v/>
      </c>
    </row>
    <row r="1463">
      <c r="A1463" t="inlineStr">
        <is>
          <t>샘플종목14</t>
        </is>
      </c>
      <c r="B1463" s="3" t="n">
        <v>45772</v>
      </c>
      <c r="C1463" t="n">
        <v>43058</v>
      </c>
      <c r="D1463" t="n">
        <v>9339886</v>
      </c>
      <c r="E1463">
        <f>IF(A1463="","",COUNTIFS($A$2:$A$20000,A1463,$B$2:$B$20000,"&gt;"&amp;B1463)+1)</f>
        <v/>
      </c>
    </row>
    <row r="1464">
      <c r="A1464" t="inlineStr">
        <is>
          <t>샘플종목14</t>
        </is>
      </c>
      <c r="B1464" s="3" t="n">
        <v>45779</v>
      </c>
      <c r="C1464" t="n">
        <v>42812</v>
      </c>
      <c r="D1464" t="n">
        <v>5757551</v>
      </c>
      <c r="E1464">
        <f>IF(A1464="","",COUNTIFS($A$2:$A$20000,A1464,$B$2:$B$20000,"&gt;"&amp;B1464)+1)</f>
        <v/>
      </c>
    </row>
    <row r="1465">
      <c r="A1465" t="inlineStr">
        <is>
          <t>샘플종목14</t>
        </is>
      </c>
      <c r="B1465" s="3" t="n">
        <v>45786</v>
      </c>
      <c r="C1465" t="n">
        <v>41388</v>
      </c>
      <c r="D1465" t="n">
        <v>5522395</v>
      </c>
      <c r="E1465">
        <f>IF(A1465="","",COUNTIFS($A$2:$A$20000,A1465,$B$2:$B$20000,"&gt;"&amp;B1465)+1)</f>
        <v/>
      </c>
    </row>
    <row r="1466">
      <c r="A1466" t="inlineStr">
        <is>
          <t>샘플종목14</t>
        </is>
      </c>
      <c r="B1466" s="3" t="n">
        <v>45793</v>
      </c>
      <c r="C1466" t="n">
        <v>43624</v>
      </c>
      <c r="D1466" t="n">
        <v>8551241</v>
      </c>
      <c r="E1466">
        <f>IF(A1466="","",COUNTIFS($A$2:$A$20000,A1466,$B$2:$B$20000,"&gt;"&amp;B1466)+1)</f>
        <v/>
      </c>
    </row>
    <row r="1467">
      <c r="A1467" t="inlineStr">
        <is>
          <t>샘플종목14</t>
        </is>
      </c>
      <c r="B1467" s="3" t="n">
        <v>45800</v>
      </c>
      <c r="C1467" t="n">
        <v>41676</v>
      </c>
      <c r="D1467" t="n">
        <v>6262027</v>
      </c>
      <c r="E1467">
        <f>IF(A1467="","",COUNTIFS($A$2:$A$20000,A1467,$B$2:$B$20000,"&gt;"&amp;B1467)+1)</f>
        <v/>
      </c>
    </row>
    <row r="1468">
      <c r="A1468" t="inlineStr">
        <is>
          <t>샘플종목14</t>
        </is>
      </c>
      <c r="B1468" s="3" t="n">
        <v>45807</v>
      </c>
      <c r="C1468" t="n">
        <v>44148</v>
      </c>
      <c r="D1468" t="n">
        <v>5959207</v>
      </c>
      <c r="E1468">
        <f>IF(A1468="","",COUNTIFS($A$2:$A$20000,A1468,$B$2:$B$20000,"&gt;"&amp;B1468)+1)</f>
        <v/>
      </c>
    </row>
    <row r="1469">
      <c r="A1469" t="inlineStr">
        <is>
          <t>샘플종목14</t>
        </is>
      </c>
      <c r="B1469" s="3" t="n">
        <v>45814</v>
      </c>
      <c r="C1469" t="n">
        <v>42253</v>
      </c>
      <c r="D1469" t="n">
        <v>2630169</v>
      </c>
      <c r="E1469">
        <f>IF(A1469="","",COUNTIFS($A$2:$A$20000,A1469,$B$2:$B$20000,"&gt;"&amp;B1469)+1)</f>
        <v/>
      </c>
    </row>
    <row r="1470">
      <c r="A1470" t="inlineStr">
        <is>
          <t>샘플종목14</t>
        </is>
      </c>
      <c r="B1470" s="3" t="n">
        <v>45821</v>
      </c>
      <c r="C1470" t="n">
        <v>42472</v>
      </c>
      <c r="D1470" t="n">
        <v>7702207</v>
      </c>
      <c r="E1470">
        <f>IF(A1470="","",COUNTIFS($A$2:$A$20000,A1470,$B$2:$B$20000,"&gt;"&amp;B1470)+1)</f>
        <v/>
      </c>
    </row>
    <row r="1471">
      <c r="A1471" t="inlineStr">
        <is>
          <t>샘플종목14</t>
        </is>
      </c>
      <c r="B1471" s="3" t="n">
        <v>45828</v>
      </c>
      <c r="C1471" t="n">
        <v>42711</v>
      </c>
      <c r="D1471" t="n">
        <v>6894462</v>
      </c>
      <c r="E1471">
        <f>IF(A1471="","",COUNTIFS($A$2:$A$20000,A1471,$B$2:$B$20000,"&gt;"&amp;B1471)+1)</f>
        <v/>
      </c>
    </row>
    <row r="1472">
      <c r="A1472" t="inlineStr">
        <is>
          <t>샘플종목14</t>
        </is>
      </c>
      <c r="B1472" s="3" t="n">
        <v>45835</v>
      </c>
      <c r="C1472" t="n">
        <v>40709</v>
      </c>
      <c r="D1472" t="n">
        <v>5173601</v>
      </c>
      <c r="E1472">
        <f>IF(A1472="","",COUNTIFS($A$2:$A$20000,A1472,$B$2:$B$20000,"&gt;"&amp;B1472)+1)</f>
        <v/>
      </c>
    </row>
    <row r="1473">
      <c r="A1473" t="inlineStr">
        <is>
          <t>샘플종목14</t>
        </is>
      </c>
      <c r="B1473" s="3" t="n">
        <v>45842</v>
      </c>
      <c r="C1473" t="n">
        <v>41500</v>
      </c>
      <c r="D1473" t="n">
        <v>2933994</v>
      </c>
      <c r="E1473">
        <f>IF(A1473="","",COUNTIFS($A$2:$A$20000,A1473,$B$2:$B$20000,"&gt;"&amp;B1473)+1)</f>
        <v/>
      </c>
    </row>
    <row r="1474">
      <c r="A1474" t="inlineStr">
        <is>
          <t>샘플종목14</t>
        </is>
      </c>
      <c r="B1474" s="3" t="n">
        <v>45849</v>
      </c>
      <c r="C1474" t="n">
        <v>40792</v>
      </c>
      <c r="D1474" t="n">
        <v>5275710</v>
      </c>
      <c r="E1474">
        <f>IF(A1474="","",COUNTIFS($A$2:$A$20000,A1474,$B$2:$B$20000,"&gt;"&amp;B1474)+1)</f>
        <v/>
      </c>
    </row>
    <row r="1475">
      <c r="A1475" t="inlineStr">
        <is>
          <t>샘플종목14</t>
        </is>
      </c>
      <c r="B1475" s="3" t="n">
        <v>45856</v>
      </c>
      <c r="C1475" t="n">
        <v>40402</v>
      </c>
      <c r="D1475" t="n">
        <v>4329832</v>
      </c>
      <c r="E1475">
        <f>IF(A1475="","",COUNTIFS($A$2:$A$20000,A1475,$B$2:$B$20000,"&gt;"&amp;B1475)+1)</f>
        <v/>
      </c>
    </row>
    <row r="1476">
      <c r="A1476" t="inlineStr">
        <is>
          <t>샘플종목14</t>
        </is>
      </c>
      <c r="B1476" s="3" t="n">
        <v>45863</v>
      </c>
      <c r="C1476" t="n">
        <v>40183</v>
      </c>
      <c r="D1476" t="n">
        <v>5812091</v>
      </c>
      <c r="E1476">
        <f>IF(A1476="","",COUNTIFS($A$2:$A$20000,A1476,$B$2:$B$20000,"&gt;"&amp;B1476)+1)</f>
        <v/>
      </c>
    </row>
    <row r="1477">
      <c r="A1477" t="inlineStr">
        <is>
          <t>샘플종목14</t>
        </is>
      </c>
      <c r="B1477" s="3" t="n">
        <v>45870</v>
      </c>
      <c r="C1477" t="n">
        <v>38251</v>
      </c>
      <c r="D1477" t="n">
        <v>1333134</v>
      </c>
      <c r="E1477">
        <f>IF(A1477="","",COUNTIFS($A$2:$A$20000,A1477,$B$2:$B$20000,"&gt;"&amp;B1477)+1)</f>
        <v/>
      </c>
    </row>
    <row r="1478">
      <c r="A1478" t="inlineStr">
        <is>
          <t>샘플종목14</t>
        </is>
      </c>
      <c r="B1478" s="3" t="n">
        <v>45877</v>
      </c>
      <c r="C1478" t="n">
        <v>40109</v>
      </c>
      <c r="D1478" t="n">
        <v>1442714</v>
      </c>
      <c r="E1478">
        <f>IF(A1478="","",COUNTIFS($A$2:$A$20000,A1478,$B$2:$B$20000,"&gt;"&amp;B1478)+1)</f>
        <v/>
      </c>
    </row>
    <row r="1479">
      <c r="A1479" t="inlineStr">
        <is>
          <t>샘플종목14</t>
        </is>
      </c>
      <c r="B1479" s="3" t="n">
        <v>45884</v>
      </c>
      <c r="C1479" t="n">
        <v>39181</v>
      </c>
      <c r="D1479" t="n">
        <v>9913378</v>
      </c>
      <c r="E1479">
        <f>IF(A1479="","",COUNTIFS($A$2:$A$20000,A1479,$B$2:$B$20000,"&gt;"&amp;B1479)+1)</f>
        <v/>
      </c>
    </row>
    <row r="1480">
      <c r="A1480" t="inlineStr">
        <is>
          <t>샘플종목14</t>
        </is>
      </c>
      <c r="B1480" s="3" t="n">
        <v>45891</v>
      </c>
      <c r="C1480" t="n">
        <v>40153</v>
      </c>
      <c r="D1480" t="n">
        <v>7949596</v>
      </c>
      <c r="E1480">
        <f>IF(A1480="","",COUNTIFS($A$2:$A$20000,A1480,$B$2:$B$20000,"&gt;"&amp;B1480)+1)</f>
        <v/>
      </c>
    </row>
    <row r="1481">
      <c r="A1481" t="inlineStr">
        <is>
          <t>샘플종목14</t>
        </is>
      </c>
      <c r="B1481" s="3" t="n">
        <v>45898</v>
      </c>
      <c r="C1481" t="n">
        <v>42142</v>
      </c>
      <c r="D1481" t="n">
        <v>6089075</v>
      </c>
      <c r="E1481">
        <f>IF(A1481="","",COUNTIFS($A$2:$A$20000,A1481,$B$2:$B$20000,"&gt;"&amp;B1481)+1)</f>
        <v/>
      </c>
    </row>
    <row r="1482">
      <c r="A1482" t="inlineStr">
        <is>
          <t>샘플종목14</t>
        </is>
      </c>
      <c r="B1482" s="3" t="n">
        <v>45905</v>
      </c>
      <c r="C1482" t="n">
        <v>44763</v>
      </c>
      <c r="D1482" t="n">
        <v>1236607</v>
      </c>
      <c r="E1482">
        <f>IF(A1482="","",COUNTIFS($A$2:$A$20000,A1482,$B$2:$B$20000,"&gt;"&amp;B1482)+1)</f>
        <v/>
      </c>
    </row>
    <row r="1483">
      <c r="A1483" t="inlineStr">
        <is>
          <t>샘플종목14</t>
        </is>
      </c>
      <c r="B1483" s="3" t="n">
        <v>45912</v>
      </c>
      <c r="C1483" t="n">
        <v>44348</v>
      </c>
      <c r="D1483" t="n">
        <v>8228826</v>
      </c>
      <c r="E1483">
        <f>IF(A1483="","",COUNTIFS($A$2:$A$20000,A1483,$B$2:$B$20000,"&gt;"&amp;B1483)+1)</f>
        <v/>
      </c>
    </row>
    <row r="1484">
      <c r="A1484" t="inlineStr">
        <is>
          <t>샘플종목14</t>
        </is>
      </c>
      <c r="B1484" s="3" t="n">
        <v>45919</v>
      </c>
      <c r="C1484" t="n">
        <v>43973</v>
      </c>
      <c r="D1484" t="n">
        <v>4420791</v>
      </c>
      <c r="E1484">
        <f>IF(A1484="","",COUNTIFS($A$2:$A$20000,A1484,$B$2:$B$20000,"&gt;"&amp;B1484)+1)</f>
        <v/>
      </c>
    </row>
    <row r="1485">
      <c r="A1485" t="inlineStr">
        <is>
          <t>샘플종목14</t>
        </is>
      </c>
      <c r="B1485" s="3" t="n">
        <v>45926</v>
      </c>
      <c r="C1485" t="n">
        <v>45051</v>
      </c>
      <c r="D1485" t="n">
        <v>9268494</v>
      </c>
      <c r="E1485">
        <f>IF(A1485="","",COUNTIFS($A$2:$A$20000,A1485,$B$2:$B$20000,"&gt;"&amp;B1485)+1)</f>
        <v/>
      </c>
    </row>
    <row r="1486">
      <c r="A1486" t="inlineStr">
        <is>
          <t>샘플종목14</t>
        </is>
      </c>
      <c r="B1486" s="3" t="n">
        <v>45933</v>
      </c>
      <c r="C1486" t="n">
        <v>46210</v>
      </c>
      <c r="D1486" t="n">
        <v>4597150</v>
      </c>
      <c r="E1486">
        <f>IF(A1486="","",COUNTIFS($A$2:$A$20000,A1486,$B$2:$B$20000,"&gt;"&amp;B1486)+1)</f>
        <v/>
      </c>
    </row>
    <row r="1487">
      <c r="A1487" t="inlineStr">
        <is>
          <t>샘플종목14</t>
        </is>
      </c>
      <c r="B1487" s="3" t="n">
        <v>45940</v>
      </c>
      <c r="C1487" t="n">
        <v>46463</v>
      </c>
      <c r="D1487" t="n">
        <v>4074547</v>
      </c>
      <c r="E1487">
        <f>IF(A1487="","",COUNTIFS($A$2:$A$20000,A1487,$B$2:$B$20000,"&gt;"&amp;B1487)+1)</f>
        <v/>
      </c>
    </row>
    <row r="1488">
      <c r="A1488" t="inlineStr">
        <is>
          <t>샘플종목14</t>
        </is>
      </c>
      <c r="B1488" s="3" t="n">
        <v>45947</v>
      </c>
      <c r="C1488" t="n">
        <v>46187</v>
      </c>
      <c r="D1488" t="n">
        <v>6803732</v>
      </c>
      <c r="E1488">
        <f>IF(A1488="","",COUNTIFS($A$2:$A$20000,A1488,$B$2:$B$20000,"&gt;"&amp;B1488)+1)</f>
        <v/>
      </c>
    </row>
    <row r="1489">
      <c r="A1489" t="inlineStr">
        <is>
          <t>샘플종목14</t>
        </is>
      </c>
      <c r="B1489" s="3" t="n">
        <v>45954</v>
      </c>
      <c r="C1489" t="n">
        <v>45036</v>
      </c>
      <c r="D1489" t="n">
        <v>7614829</v>
      </c>
      <c r="E1489">
        <f>IF(A1489="","",COUNTIFS($A$2:$A$20000,A1489,$B$2:$B$20000,"&gt;"&amp;B1489)+1)</f>
        <v/>
      </c>
    </row>
    <row r="1490">
      <c r="A1490" t="inlineStr">
        <is>
          <t>샘플종목14</t>
        </is>
      </c>
      <c r="B1490" s="3" t="n">
        <v>45961</v>
      </c>
      <c r="C1490" t="n">
        <v>45877</v>
      </c>
      <c r="D1490" t="n">
        <v>8520755</v>
      </c>
      <c r="E1490">
        <f>IF(A1490="","",COUNTIFS($A$2:$A$20000,A1490,$B$2:$B$20000,"&gt;"&amp;B1490)+1)</f>
        <v/>
      </c>
    </row>
    <row r="1491">
      <c r="A1491" t="inlineStr">
        <is>
          <t>샘플종목14</t>
        </is>
      </c>
      <c r="B1491" s="3" t="n">
        <v>45968</v>
      </c>
      <c r="C1491" t="n">
        <v>48343</v>
      </c>
      <c r="D1491" t="n">
        <v>1770505</v>
      </c>
      <c r="E1491">
        <f>IF(A1491="","",COUNTIFS($A$2:$A$20000,A1491,$B$2:$B$20000,"&gt;"&amp;B1491)+1)</f>
        <v/>
      </c>
    </row>
    <row r="1492">
      <c r="A1492" t="inlineStr">
        <is>
          <t>샘플종목14</t>
        </is>
      </c>
      <c r="B1492" s="3" t="n">
        <v>45975</v>
      </c>
      <c r="C1492" t="n">
        <v>49473</v>
      </c>
      <c r="D1492" t="n">
        <v>2264500</v>
      </c>
      <c r="E1492">
        <f>IF(A1492="","",COUNTIFS($A$2:$A$20000,A1492,$B$2:$B$20000,"&gt;"&amp;B1492)+1)</f>
        <v/>
      </c>
    </row>
    <row r="1493">
      <c r="A1493" t="inlineStr">
        <is>
          <t>샘플종목14</t>
        </is>
      </c>
      <c r="B1493" s="3" t="n">
        <v>45982</v>
      </c>
      <c r="C1493" t="n">
        <v>52613</v>
      </c>
      <c r="D1493" t="n">
        <v>915390</v>
      </c>
      <c r="E1493">
        <f>IF(A1493="","",COUNTIFS($A$2:$A$20000,A1493,$B$2:$B$20000,"&gt;"&amp;B1493)+1)</f>
        <v/>
      </c>
    </row>
    <row r="1494">
      <c r="A1494" t="inlineStr">
        <is>
          <t>샘플종목14</t>
        </is>
      </c>
      <c r="B1494" s="3" t="n">
        <v>45989</v>
      </c>
      <c r="C1494" t="n">
        <v>56085</v>
      </c>
      <c r="D1494" t="n">
        <v>9754983</v>
      </c>
      <c r="E1494">
        <f>IF(A1494="","",COUNTIFS($A$2:$A$20000,A1494,$B$2:$B$20000,"&gt;"&amp;B1494)+1)</f>
        <v/>
      </c>
    </row>
    <row r="1495">
      <c r="A1495" t="inlineStr">
        <is>
          <t>샘플종목14</t>
        </is>
      </c>
      <c r="B1495" s="3" t="n">
        <v>45996</v>
      </c>
      <c r="C1495" t="n">
        <v>58150</v>
      </c>
      <c r="D1495" t="n">
        <v>5823720</v>
      </c>
      <c r="E1495">
        <f>IF(A1495="","",COUNTIFS($A$2:$A$20000,A1495,$B$2:$B$20000,"&gt;"&amp;B1495)+1)</f>
        <v/>
      </c>
    </row>
    <row r="1496">
      <c r="A1496" t="inlineStr">
        <is>
          <t>샘플종목14</t>
        </is>
      </c>
      <c r="B1496" s="3" t="n">
        <v>46003</v>
      </c>
      <c r="C1496" t="n">
        <v>58221</v>
      </c>
      <c r="D1496" t="n">
        <v>4640462</v>
      </c>
      <c r="E1496">
        <f>IF(A1496="","",COUNTIFS($A$2:$A$20000,A1496,$B$2:$B$20000,"&gt;"&amp;B1496)+1)</f>
        <v/>
      </c>
    </row>
    <row r="1497">
      <c r="A1497" t="inlineStr">
        <is>
          <t>샘플종목14</t>
        </is>
      </c>
      <c r="B1497" s="3" t="n">
        <v>46010</v>
      </c>
      <c r="C1497" t="n">
        <v>58107</v>
      </c>
      <c r="D1497" t="n">
        <v>9108348</v>
      </c>
      <c r="E1497">
        <f>IF(A1497="","",COUNTIFS($A$2:$A$20000,A1497,$B$2:$B$20000,"&gt;"&amp;B1497)+1)</f>
        <v/>
      </c>
    </row>
    <row r="1498">
      <c r="A1498" t="inlineStr">
        <is>
          <t>샘플종목14</t>
        </is>
      </c>
      <c r="B1498" s="3" t="n">
        <v>46017</v>
      </c>
      <c r="C1498" t="n">
        <v>57971</v>
      </c>
      <c r="D1498" t="n">
        <v>5517300</v>
      </c>
      <c r="E1498">
        <f>IF(A1498="","",COUNTIFS($A$2:$A$20000,A1498,$B$2:$B$20000,"&gt;"&amp;B1498)+1)</f>
        <v/>
      </c>
    </row>
    <row r="1499">
      <c r="A1499" t="inlineStr">
        <is>
          <t>샘플종목14</t>
        </is>
      </c>
      <c r="B1499" s="3" t="n">
        <v>46024</v>
      </c>
      <c r="C1499" t="n">
        <v>57772</v>
      </c>
      <c r="D1499" t="n">
        <v>562608</v>
      </c>
      <c r="E1499">
        <f>IF(A1499="","",COUNTIFS($A$2:$A$20000,A1499,$B$2:$B$20000,"&gt;"&amp;B1499)+1)</f>
        <v/>
      </c>
    </row>
    <row r="1500">
      <c r="A1500" t="inlineStr">
        <is>
          <t>샘플종목14</t>
        </is>
      </c>
      <c r="B1500" s="3" t="n">
        <v>46031</v>
      </c>
      <c r="C1500" t="n">
        <v>58371</v>
      </c>
      <c r="D1500" t="n">
        <v>554405</v>
      </c>
      <c r="E1500">
        <f>IF(A1500="","",COUNTIFS($A$2:$A$20000,A1500,$B$2:$B$20000,"&gt;"&amp;B1500)+1)</f>
        <v/>
      </c>
    </row>
    <row r="1501">
      <c r="A1501" t="inlineStr">
        <is>
          <t>샘플종목14</t>
        </is>
      </c>
      <c r="B1501" s="3" t="n">
        <v>46038</v>
      </c>
      <c r="C1501" t="n">
        <v>60506</v>
      </c>
      <c r="D1501" t="n">
        <v>8259165</v>
      </c>
      <c r="E1501">
        <f>IF(A1501="","",COUNTIFS($A$2:$A$20000,A1501,$B$2:$B$20000,"&gt;"&amp;B1501)+1)</f>
        <v/>
      </c>
    </row>
    <row r="1502">
      <c r="A1502" t="inlineStr">
        <is>
          <t>샘플종목14</t>
        </is>
      </c>
      <c r="B1502" s="3" t="n">
        <v>46045</v>
      </c>
      <c r="C1502" t="n">
        <v>57606</v>
      </c>
      <c r="D1502" t="n">
        <v>5766921</v>
      </c>
      <c r="E1502">
        <f>IF(A1502="","",COUNTIFS($A$2:$A$20000,A1502,$B$2:$B$20000,"&gt;"&amp;B1502)+1)</f>
        <v/>
      </c>
    </row>
    <row r="1503">
      <c r="A1503" t="inlineStr">
        <is>
          <t>샘플종목14</t>
        </is>
      </c>
      <c r="B1503" s="3" t="n">
        <v>46052</v>
      </c>
      <c r="C1503" t="n">
        <v>59667</v>
      </c>
      <c r="D1503" t="n">
        <v>3027705</v>
      </c>
      <c r="E1503">
        <f>IF(A1503="","",COUNTIFS($A$2:$A$20000,A1503,$B$2:$B$20000,"&gt;"&amp;B1503)+1)</f>
        <v/>
      </c>
    </row>
    <row r="1504">
      <c r="A1504" t="inlineStr">
        <is>
          <t>샘플종목14</t>
        </is>
      </c>
      <c r="B1504" s="3" t="n">
        <v>46059</v>
      </c>
      <c r="C1504" t="n">
        <v>62096</v>
      </c>
      <c r="D1504" t="n">
        <v>862762</v>
      </c>
      <c r="E1504">
        <f>IF(A1504="","",COUNTIFS($A$2:$A$20000,A1504,$B$2:$B$20000,"&gt;"&amp;B1504)+1)</f>
        <v/>
      </c>
    </row>
    <row r="1505">
      <c r="A1505" t="inlineStr">
        <is>
          <t>샘플종목14</t>
        </is>
      </c>
      <c r="B1505" s="3" t="n">
        <v>46066</v>
      </c>
      <c r="C1505" t="n">
        <v>63128</v>
      </c>
      <c r="D1505" t="n">
        <v>1562940</v>
      </c>
      <c r="E1505">
        <f>IF(A1505="","",COUNTIFS($A$2:$A$20000,A1505,$B$2:$B$20000,"&gt;"&amp;B1505)+1)</f>
        <v/>
      </c>
    </row>
    <row r="1506">
      <c r="A1506" t="inlineStr">
        <is>
          <t>샘플종목14</t>
        </is>
      </c>
      <c r="B1506" s="3" t="n">
        <v>46073</v>
      </c>
      <c r="C1506" t="n">
        <v>61656</v>
      </c>
      <c r="D1506" t="n">
        <v>8393983</v>
      </c>
      <c r="E1506">
        <f>IF(A1506="","",COUNTIFS($A$2:$A$20000,A1506,$B$2:$B$20000,"&gt;"&amp;B1506)+1)</f>
        <v/>
      </c>
    </row>
    <row r="1507">
      <c r="A1507" t="inlineStr">
        <is>
          <t>샘플종목14</t>
        </is>
      </c>
      <c r="B1507" s="3" t="n">
        <v>46080</v>
      </c>
      <c r="C1507" t="n">
        <v>60192</v>
      </c>
      <c r="D1507" t="n">
        <v>6803460</v>
      </c>
      <c r="E1507">
        <f>IF(A1507="","",COUNTIFS($A$2:$A$20000,A1507,$B$2:$B$20000,"&gt;"&amp;B1507)+1)</f>
        <v/>
      </c>
    </row>
    <row r="1508">
      <c r="A1508" t="inlineStr">
        <is>
          <t>샘플종목14</t>
        </is>
      </c>
      <c r="B1508" s="3" t="n">
        <v>46087</v>
      </c>
      <c r="C1508" t="n">
        <v>60194</v>
      </c>
      <c r="D1508" t="n">
        <v>328171</v>
      </c>
      <c r="E1508">
        <f>IF(A1508="","",COUNTIFS($A$2:$A$20000,A1508,$B$2:$B$20000,"&gt;"&amp;B1508)+1)</f>
        <v/>
      </c>
    </row>
    <row r="1509">
      <c r="A1509" t="inlineStr">
        <is>
          <t>샘플종목14</t>
        </is>
      </c>
      <c r="B1509" s="3" t="n">
        <v>46094</v>
      </c>
      <c r="C1509" t="n">
        <v>62999</v>
      </c>
      <c r="D1509" t="n">
        <v>531861</v>
      </c>
      <c r="E1509">
        <f>IF(A1509="","",COUNTIFS($A$2:$A$20000,A1509,$B$2:$B$20000,"&gt;"&amp;B1509)+1)</f>
        <v/>
      </c>
    </row>
    <row r="1510">
      <c r="A1510" t="inlineStr">
        <is>
          <t>샘플종목14</t>
        </is>
      </c>
      <c r="B1510" s="3" t="n">
        <v>46101</v>
      </c>
      <c r="C1510" t="n">
        <v>66021</v>
      </c>
      <c r="D1510" t="n">
        <v>5358595</v>
      </c>
      <c r="E1510">
        <f>IF(A1510="","",COUNTIFS($A$2:$A$20000,A1510,$B$2:$B$20000,"&gt;"&amp;B1510)+1)</f>
        <v/>
      </c>
    </row>
    <row r="1511">
      <c r="A1511" t="inlineStr">
        <is>
          <t>샘플종목14</t>
        </is>
      </c>
      <c r="B1511" s="3" t="n">
        <v>46108</v>
      </c>
      <c r="C1511" t="n">
        <v>64613</v>
      </c>
      <c r="D1511" t="n">
        <v>1039818</v>
      </c>
      <c r="E1511">
        <f>IF(A1511="","",COUNTIFS($A$2:$A$20000,A1511,$B$2:$B$20000,"&gt;"&amp;B1511)+1)</f>
        <v/>
      </c>
    </row>
    <row r="1512">
      <c r="A1512" t="inlineStr">
        <is>
          <t>샘플종목14</t>
        </is>
      </c>
      <c r="B1512" s="3" t="n">
        <v>46115</v>
      </c>
      <c r="C1512" t="n">
        <v>61240</v>
      </c>
      <c r="D1512" t="n">
        <v>5622491</v>
      </c>
      <c r="E1512">
        <f>IF(A1512="","",COUNTIFS($A$2:$A$20000,A1512,$B$2:$B$20000,"&gt;"&amp;B1512)+1)</f>
        <v/>
      </c>
    </row>
    <row r="1513">
      <c r="A1513" t="inlineStr">
        <is>
          <t>샘플종목14</t>
        </is>
      </c>
      <c r="B1513" s="3" t="n">
        <v>46122</v>
      </c>
      <c r="C1513" t="n">
        <v>63322</v>
      </c>
      <c r="D1513" t="n">
        <v>2728631</v>
      </c>
      <c r="E1513">
        <f>IF(A1513="","",COUNTIFS($A$2:$A$20000,A1513,$B$2:$B$20000,"&gt;"&amp;B1513)+1)</f>
        <v/>
      </c>
    </row>
    <row r="1514">
      <c r="A1514" t="inlineStr">
        <is>
          <t>샘플종목14</t>
        </is>
      </c>
      <c r="B1514" s="3" t="n">
        <v>46129</v>
      </c>
      <c r="C1514" t="n">
        <v>64678</v>
      </c>
      <c r="D1514" t="n">
        <v>2493404</v>
      </c>
      <c r="E1514">
        <f>IF(A1514="","",COUNTIFS($A$2:$A$20000,A1514,$B$2:$B$20000,"&gt;"&amp;B1514)+1)</f>
        <v/>
      </c>
    </row>
    <row r="1515">
      <c r="A1515" t="inlineStr">
        <is>
          <t>샘플종목14</t>
        </is>
      </c>
      <c r="B1515" s="3" t="n">
        <v>46136</v>
      </c>
      <c r="C1515" t="n">
        <v>65642</v>
      </c>
      <c r="D1515" t="n">
        <v>8983236</v>
      </c>
      <c r="E1515">
        <f>IF(A1515="","",COUNTIFS($A$2:$A$20000,A1515,$B$2:$B$20000,"&gt;"&amp;B1515)+1)</f>
        <v/>
      </c>
    </row>
    <row r="1516">
      <c r="A1516" t="inlineStr">
        <is>
          <t>샘플종목14</t>
        </is>
      </c>
      <c r="B1516" s="3" t="n">
        <v>46143</v>
      </c>
      <c r="C1516" t="n">
        <v>65896</v>
      </c>
      <c r="D1516" t="n">
        <v>6168767</v>
      </c>
      <c r="E1516">
        <f>IF(A1516="","",COUNTIFS($A$2:$A$20000,A1516,$B$2:$B$20000,"&gt;"&amp;B1516)+1)</f>
        <v/>
      </c>
    </row>
    <row r="1517">
      <c r="A1517" t="inlineStr">
        <is>
          <t>샘플종목14</t>
        </is>
      </c>
      <c r="B1517" s="3" t="n">
        <v>46150</v>
      </c>
      <c r="C1517" t="n">
        <v>64891</v>
      </c>
      <c r="D1517" t="n">
        <v>7200645</v>
      </c>
      <c r="E1517">
        <f>IF(A1517="","",COUNTIFS($A$2:$A$20000,A1517,$B$2:$B$20000,"&gt;"&amp;B1517)+1)</f>
        <v/>
      </c>
    </row>
    <row r="1518">
      <c r="A1518" t="inlineStr">
        <is>
          <t>샘플종목14</t>
        </is>
      </c>
      <c r="B1518" s="3" t="n">
        <v>46157</v>
      </c>
      <c r="C1518" t="n">
        <v>62836</v>
      </c>
      <c r="D1518" t="n">
        <v>9411267</v>
      </c>
      <c r="E1518">
        <f>IF(A1518="","",COUNTIFS($A$2:$A$20000,A1518,$B$2:$B$20000,"&gt;"&amp;B1518)+1)</f>
        <v/>
      </c>
    </row>
    <row r="1519">
      <c r="A1519" t="inlineStr">
        <is>
          <t>샘플종목14</t>
        </is>
      </c>
      <c r="B1519" s="3" t="n">
        <v>46164</v>
      </c>
      <c r="C1519" t="n">
        <v>66112</v>
      </c>
      <c r="D1519" t="n">
        <v>2673790</v>
      </c>
      <c r="E1519">
        <f>IF(A1519="","",COUNTIFS($A$2:$A$20000,A1519,$B$2:$B$20000,"&gt;"&amp;B1519)+1)</f>
        <v/>
      </c>
    </row>
    <row r="1520">
      <c r="A1520" t="inlineStr">
        <is>
          <t>샘플종목14</t>
        </is>
      </c>
      <c r="B1520" s="3" t="n">
        <v>46171</v>
      </c>
      <c r="C1520" t="n">
        <v>64272</v>
      </c>
      <c r="D1520" t="n">
        <v>5650563</v>
      </c>
      <c r="E1520">
        <f>IF(A1520="","",COUNTIFS($A$2:$A$20000,A1520,$B$2:$B$20000,"&gt;"&amp;B1520)+1)</f>
        <v/>
      </c>
    </row>
    <row r="1521">
      <c r="A1521" t="inlineStr">
        <is>
          <t>샘플종목14</t>
        </is>
      </c>
      <c r="B1521" s="3" t="n">
        <v>46178</v>
      </c>
      <c r="C1521" t="n">
        <v>61487</v>
      </c>
      <c r="D1521" t="n">
        <v>3958811</v>
      </c>
      <c r="E1521">
        <f>IF(A1521="","",COUNTIFS($A$2:$A$20000,A1521,$B$2:$B$20000,"&gt;"&amp;B1521)+1)</f>
        <v/>
      </c>
    </row>
    <row r="1522">
      <c r="A1522" t="inlineStr">
        <is>
          <t>샘플종목14</t>
        </is>
      </c>
      <c r="B1522" s="3" t="n">
        <v>46185</v>
      </c>
      <c r="C1522" t="n">
        <v>61504</v>
      </c>
      <c r="D1522" t="n">
        <v>8112143</v>
      </c>
      <c r="E1522">
        <f>IF(A1522="","",COUNTIFS($A$2:$A$20000,A1522,$B$2:$B$20000,"&gt;"&amp;B1522)+1)</f>
        <v/>
      </c>
    </row>
    <row r="1523">
      <c r="A1523" t="inlineStr">
        <is>
          <t>샘플종목14</t>
        </is>
      </c>
      <c r="B1523" s="3" t="n">
        <v>46192</v>
      </c>
      <c r="C1523" t="n">
        <v>59730</v>
      </c>
      <c r="D1523" t="n">
        <v>630718</v>
      </c>
      <c r="E1523">
        <f>IF(A1523="","",COUNTIFS($A$2:$A$20000,A1523,$B$2:$B$20000,"&gt;"&amp;B1523)+1)</f>
        <v/>
      </c>
    </row>
    <row r="1524">
      <c r="A1524" t="inlineStr">
        <is>
          <t>샘플종목14</t>
        </is>
      </c>
      <c r="B1524" s="3" t="n">
        <v>46199</v>
      </c>
      <c r="C1524" t="n">
        <v>60184</v>
      </c>
      <c r="D1524" t="n">
        <v>9318963</v>
      </c>
      <c r="E1524">
        <f>IF(A1524="","",COUNTIFS($A$2:$A$20000,A1524,$B$2:$B$20000,"&gt;"&amp;B1524)+1)</f>
        <v/>
      </c>
    </row>
    <row r="1525">
      <c r="A1525" t="inlineStr">
        <is>
          <t>샘플종목14</t>
        </is>
      </c>
      <c r="B1525" s="3" t="n">
        <v>46206</v>
      </c>
      <c r="C1525" t="n">
        <v>58261</v>
      </c>
      <c r="D1525" t="n">
        <v>7702780</v>
      </c>
      <c r="E1525">
        <f>IF(A1525="","",COUNTIFS($A$2:$A$20000,A1525,$B$2:$B$20000,"&gt;"&amp;B1525)+1)</f>
        <v/>
      </c>
    </row>
    <row r="1526">
      <c r="A1526" t="inlineStr">
        <is>
          <t>샘플종목14</t>
        </is>
      </c>
      <c r="B1526" s="3" t="n">
        <v>46213</v>
      </c>
      <c r="C1526" t="n">
        <v>56322</v>
      </c>
      <c r="D1526" t="n">
        <v>8985786</v>
      </c>
      <c r="E1526">
        <f>IF(A1526="","",COUNTIFS($A$2:$A$20000,A1526,$B$2:$B$20000,"&gt;"&amp;B1526)+1)</f>
        <v/>
      </c>
    </row>
    <row r="1527">
      <c r="A1527" t="inlineStr">
        <is>
          <t>샘플종목14</t>
        </is>
      </c>
      <c r="B1527" s="3" t="n">
        <v>46220</v>
      </c>
      <c r="C1527" t="n">
        <v>55658</v>
      </c>
      <c r="D1527" t="n">
        <v>4695754</v>
      </c>
      <c r="E1527">
        <f>IF(A1527="","",COUNTIFS($A$2:$A$20000,A1527,$B$2:$B$20000,"&gt;"&amp;B1527)+1)</f>
        <v/>
      </c>
    </row>
    <row r="1528">
      <c r="A1528" t="inlineStr">
        <is>
          <t>샘플종목14</t>
        </is>
      </c>
      <c r="B1528" s="3" t="n">
        <v>46227</v>
      </c>
      <c r="C1528" t="n">
        <v>55972</v>
      </c>
      <c r="D1528" t="n">
        <v>8081988</v>
      </c>
      <c r="E1528">
        <f>IF(A1528="","",COUNTIFS($A$2:$A$20000,A1528,$B$2:$B$20000,"&gt;"&amp;B1528)+1)</f>
        <v/>
      </c>
    </row>
    <row r="1529">
      <c r="A1529" t="inlineStr">
        <is>
          <t>샘플종목14</t>
        </is>
      </c>
      <c r="B1529" s="3" t="n">
        <v>46234</v>
      </c>
      <c r="C1529" t="n">
        <v>56306</v>
      </c>
      <c r="D1529" t="n">
        <v>1774210</v>
      </c>
      <c r="E1529">
        <f>IF(A1529="","",COUNTIFS($A$2:$A$20000,A1529,$B$2:$B$20000,"&gt;"&amp;B1529)+1)</f>
        <v/>
      </c>
    </row>
    <row r="1530">
      <c r="A1530" t="inlineStr">
        <is>
          <t>샘플종목14</t>
        </is>
      </c>
      <c r="B1530" s="3" t="n">
        <v>46241</v>
      </c>
      <c r="C1530" t="n">
        <v>54242</v>
      </c>
      <c r="D1530" t="n">
        <v>6181720</v>
      </c>
      <c r="E1530">
        <f>IF(A1530="","",COUNTIFS($A$2:$A$20000,A1530,$B$2:$B$20000,"&gt;"&amp;B1530)+1)</f>
        <v/>
      </c>
    </row>
    <row r="1531">
      <c r="A1531" t="inlineStr">
        <is>
          <t>샘플종목14</t>
        </is>
      </c>
      <c r="B1531" s="3" t="n">
        <v>46248</v>
      </c>
      <c r="C1531" t="n">
        <v>51250</v>
      </c>
      <c r="D1531" t="n">
        <v>2626533</v>
      </c>
      <c r="E1531">
        <f>IF(A1531="","",COUNTIFS($A$2:$A$20000,A1531,$B$2:$B$20000,"&gt;"&amp;B1531)+1)</f>
        <v/>
      </c>
    </row>
    <row r="1532">
      <c r="A1532" t="inlineStr">
        <is>
          <t>샘플종목14</t>
        </is>
      </c>
      <c r="B1532" s="3" t="n">
        <v>46255</v>
      </c>
      <c r="C1532" t="n">
        <v>52825</v>
      </c>
      <c r="D1532" t="n">
        <v>1608477</v>
      </c>
      <c r="E1532">
        <f>IF(A1532="","",COUNTIFS($A$2:$A$20000,A1532,$B$2:$B$20000,"&gt;"&amp;B1532)+1)</f>
        <v/>
      </c>
    </row>
    <row r="1533">
      <c r="A1533" t="inlineStr">
        <is>
          <t>샘플종목14</t>
        </is>
      </c>
      <c r="B1533" s="3" t="n">
        <v>46262</v>
      </c>
      <c r="C1533" t="n">
        <v>52831</v>
      </c>
      <c r="D1533" t="n">
        <v>568944</v>
      </c>
      <c r="E1533">
        <f>IF(A1533="","",COUNTIFS($A$2:$A$20000,A1533,$B$2:$B$20000,"&gt;"&amp;B1533)+1)</f>
        <v/>
      </c>
    </row>
    <row r="1534">
      <c r="A1534" t="inlineStr">
        <is>
          <t>샘플종목14</t>
        </is>
      </c>
      <c r="B1534" s="3" t="n">
        <v>46269</v>
      </c>
      <c r="C1534" t="n">
        <v>52172</v>
      </c>
      <c r="D1534" t="n">
        <v>9214585</v>
      </c>
      <c r="E1534">
        <f>IF(A1534="","",COUNTIFS($A$2:$A$20000,A1534,$B$2:$B$20000,"&gt;"&amp;B1534)+1)</f>
        <v/>
      </c>
    </row>
    <row r="1535">
      <c r="A1535" t="inlineStr">
        <is>
          <t>샘플종목14</t>
        </is>
      </c>
      <c r="B1535" s="3" t="n">
        <v>46276</v>
      </c>
      <c r="C1535" t="n">
        <v>51524</v>
      </c>
      <c r="D1535" t="n">
        <v>8519661</v>
      </c>
      <c r="E1535">
        <f>IF(A1535="","",COUNTIFS($A$2:$A$20000,A1535,$B$2:$B$20000,"&gt;"&amp;B1535)+1)</f>
        <v/>
      </c>
    </row>
    <row r="1536">
      <c r="A1536" t="inlineStr">
        <is>
          <t>샘플종목14</t>
        </is>
      </c>
      <c r="B1536" s="3" t="n">
        <v>46283</v>
      </c>
      <c r="C1536" t="n">
        <v>52625</v>
      </c>
      <c r="D1536" t="n">
        <v>4447196</v>
      </c>
      <c r="E1536">
        <f>IF(A1536="","",COUNTIFS($A$2:$A$20000,A1536,$B$2:$B$20000,"&gt;"&amp;B1536)+1)</f>
        <v/>
      </c>
    </row>
    <row r="1537">
      <c r="A1537" t="inlineStr">
        <is>
          <t>샘플종목14</t>
        </is>
      </c>
      <c r="B1537" s="3" t="n">
        <v>46290</v>
      </c>
      <c r="C1537" t="n">
        <v>56234</v>
      </c>
      <c r="D1537" t="n">
        <v>6233907</v>
      </c>
      <c r="E1537">
        <f>IF(A1537="","",COUNTIFS($A$2:$A$20000,A1537,$B$2:$B$20000,"&gt;"&amp;B1537)+1)</f>
        <v/>
      </c>
    </row>
    <row r="1538">
      <c r="A1538" t="inlineStr">
        <is>
          <t>샘플종목14</t>
        </is>
      </c>
      <c r="B1538" s="3" t="n">
        <v>46297</v>
      </c>
      <c r="C1538" t="n">
        <v>55968</v>
      </c>
      <c r="D1538" t="n">
        <v>2819250</v>
      </c>
      <c r="E1538">
        <f>IF(A1538="","",COUNTIFS($A$2:$A$20000,A1538,$B$2:$B$20000,"&gt;"&amp;B1538)+1)</f>
        <v/>
      </c>
    </row>
    <row r="1539">
      <c r="A1539" t="inlineStr">
        <is>
          <t>샘플종목14</t>
        </is>
      </c>
      <c r="B1539" s="3" t="n">
        <v>46304</v>
      </c>
      <c r="C1539" t="n">
        <v>51261</v>
      </c>
      <c r="D1539" t="n">
        <v>8966725</v>
      </c>
      <c r="E1539">
        <f>IF(A1539="","",COUNTIFS($A$2:$A$20000,A1539,$B$2:$B$20000,"&gt;"&amp;B1539)+1)</f>
        <v/>
      </c>
    </row>
    <row r="1540">
      <c r="A1540" t="inlineStr">
        <is>
          <t>샘플종목14</t>
        </is>
      </c>
      <c r="B1540" s="3" t="n">
        <v>46311</v>
      </c>
      <c r="C1540" t="n">
        <v>54862</v>
      </c>
      <c r="D1540" t="n">
        <v>4169908</v>
      </c>
      <c r="E1540">
        <f>IF(A1540="","",COUNTIFS($A$2:$A$20000,A1540,$B$2:$B$20000,"&gt;"&amp;B1540)+1)</f>
        <v/>
      </c>
    </row>
    <row r="1541">
      <c r="A1541" t="inlineStr">
        <is>
          <t>샘플종목14</t>
        </is>
      </c>
      <c r="B1541" s="3" t="n">
        <v>46318</v>
      </c>
      <c r="C1541" t="n">
        <v>55663</v>
      </c>
      <c r="D1541" t="n">
        <v>7508097</v>
      </c>
      <c r="E1541">
        <f>IF(A1541="","",COUNTIFS($A$2:$A$20000,A1541,$B$2:$B$20000,"&gt;"&amp;B1541)+1)</f>
        <v/>
      </c>
    </row>
    <row r="1542">
      <c r="A1542" t="inlineStr">
        <is>
          <t>샘플종목15</t>
        </is>
      </c>
      <c r="B1542" s="3" t="n">
        <v>45555</v>
      </c>
      <c r="C1542" t="n">
        <v>185768</v>
      </c>
      <c r="D1542" t="n">
        <v>5875185</v>
      </c>
      <c r="E1542">
        <f>IF(A1542="","",COUNTIFS($A$2:$A$20000,A1542,$B$2:$B$20000,"&gt;"&amp;B1542)+1)</f>
        <v/>
      </c>
    </row>
    <row r="1543">
      <c r="A1543" t="inlineStr">
        <is>
          <t>샘플종목15</t>
        </is>
      </c>
      <c r="B1543" s="3" t="n">
        <v>45562</v>
      </c>
      <c r="C1543" t="n">
        <v>186211</v>
      </c>
      <c r="D1543" t="n">
        <v>6626804</v>
      </c>
      <c r="E1543">
        <f>IF(A1543="","",COUNTIFS($A$2:$A$20000,A1543,$B$2:$B$20000,"&gt;"&amp;B1543)+1)</f>
        <v/>
      </c>
    </row>
    <row r="1544">
      <c r="A1544" t="inlineStr">
        <is>
          <t>샘플종목15</t>
        </is>
      </c>
      <c r="B1544" s="3" t="n">
        <v>45569</v>
      </c>
      <c r="C1544" t="n">
        <v>180200</v>
      </c>
      <c r="D1544" t="n">
        <v>544132</v>
      </c>
      <c r="E1544">
        <f>IF(A1544="","",COUNTIFS($A$2:$A$20000,A1544,$B$2:$B$20000,"&gt;"&amp;B1544)+1)</f>
        <v/>
      </c>
    </row>
    <row r="1545">
      <c r="A1545" t="inlineStr">
        <is>
          <t>샘플종목15</t>
        </is>
      </c>
      <c r="B1545" s="3" t="n">
        <v>45576</v>
      </c>
      <c r="C1545" t="n">
        <v>182142</v>
      </c>
      <c r="D1545" t="n">
        <v>1908655</v>
      </c>
      <c r="E1545">
        <f>IF(A1545="","",COUNTIFS($A$2:$A$20000,A1545,$B$2:$B$20000,"&gt;"&amp;B1545)+1)</f>
        <v/>
      </c>
    </row>
    <row r="1546">
      <c r="A1546" t="inlineStr">
        <is>
          <t>샘플종목15</t>
        </is>
      </c>
      <c r="B1546" s="3" t="n">
        <v>45583</v>
      </c>
      <c r="C1546" t="n">
        <v>181818</v>
      </c>
      <c r="D1546" t="n">
        <v>6841987</v>
      </c>
      <c r="E1546">
        <f>IF(A1546="","",COUNTIFS($A$2:$A$20000,A1546,$B$2:$B$20000,"&gt;"&amp;B1546)+1)</f>
        <v/>
      </c>
    </row>
    <row r="1547">
      <c r="A1547" t="inlineStr">
        <is>
          <t>샘플종목15</t>
        </is>
      </c>
      <c r="B1547" s="3" t="n">
        <v>45590</v>
      </c>
      <c r="C1547" t="n">
        <v>181098</v>
      </c>
      <c r="D1547" t="n">
        <v>5983505</v>
      </c>
      <c r="E1547">
        <f>IF(A1547="","",COUNTIFS($A$2:$A$20000,A1547,$B$2:$B$20000,"&gt;"&amp;B1547)+1)</f>
        <v/>
      </c>
    </row>
    <row r="1548">
      <c r="A1548" t="inlineStr">
        <is>
          <t>샘플종목15</t>
        </is>
      </c>
      <c r="B1548" s="3" t="n">
        <v>45597</v>
      </c>
      <c r="C1548" t="n">
        <v>190141</v>
      </c>
      <c r="D1548" t="n">
        <v>6977440</v>
      </c>
      <c r="E1548">
        <f>IF(A1548="","",COUNTIFS($A$2:$A$20000,A1548,$B$2:$B$20000,"&gt;"&amp;B1548)+1)</f>
        <v/>
      </c>
    </row>
    <row r="1549">
      <c r="A1549" t="inlineStr">
        <is>
          <t>샘플종목15</t>
        </is>
      </c>
      <c r="B1549" s="3" t="n">
        <v>45604</v>
      </c>
      <c r="C1549" t="n">
        <v>194129</v>
      </c>
      <c r="D1549" t="n">
        <v>6400964</v>
      </c>
      <c r="E1549">
        <f>IF(A1549="","",COUNTIFS($A$2:$A$20000,A1549,$B$2:$B$20000,"&gt;"&amp;B1549)+1)</f>
        <v/>
      </c>
    </row>
    <row r="1550">
      <c r="A1550" t="inlineStr">
        <is>
          <t>샘플종목15</t>
        </is>
      </c>
      <c r="B1550" s="3" t="n">
        <v>45611</v>
      </c>
      <c r="C1550" t="n">
        <v>204779</v>
      </c>
      <c r="D1550" t="n">
        <v>3859485</v>
      </c>
      <c r="E1550">
        <f>IF(A1550="","",COUNTIFS($A$2:$A$20000,A1550,$B$2:$B$20000,"&gt;"&amp;B1550)+1)</f>
        <v/>
      </c>
    </row>
    <row r="1551">
      <c r="A1551" t="inlineStr">
        <is>
          <t>샘플종목15</t>
        </is>
      </c>
      <c r="B1551" s="3" t="n">
        <v>45618</v>
      </c>
      <c r="C1551" t="n">
        <v>201288</v>
      </c>
      <c r="D1551" t="n">
        <v>615171</v>
      </c>
      <c r="E1551">
        <f>IF(A1551="","",COUNTIFS($A$2:$A$20000,A1551,$B$2:$B$20000,"&gt;"&amp;B1551)+1)</f>
        <v/>
      </c>
    </row>
    <row r="1552">
      <c r="A1552" t="inlineStr">
        <is>
          <t>샘플종목15</t>
        </is>
      </c>
      <c r="B1552" s="3" t="n">
        <v>45625</v>
      </c>
      <c r="C1552" t="n">
        <v>201614</v>
      </c>
      <c r="D1552" t="n">
        <v>7377863</v>
      </c>
      <c r="E1552">
        <f>IF(A1552="","",COUNTIFS($A$2:$A$20000,A1552,$B$2:$B$20000,"&gt;"&amp;B1552)+1)</f>
        <v/>
      </c>
    </row>
    <row r="1553">
      <c r="A1553" t="inlineStr">
        <is>
          <t>샘플종목15</t>
        </is>
      </c>
      <c r="B1553" s="3" t="n">
        <v>45632</v>
      </c>
      <c r="C1553" t="n">
        <v>208308</v>
      </c>
      <c r="D1553" t="n">
        <v>4157220</v>
      </c>
      <c r="E1553">
        <f>IF(A1553="","",COUNTIFS($A$2:$A$20000,A1553,$B$2:$B$20000,"&gt;"&amp;B1553)+1)</f>
        <v/>
      </c>
    </row>
    <row r="1554">
      <c r="A1554" t="inlineStr">
        <is>
          <t>샘플종목15</t>
        </is>
      </c>
      <c r="B1554" s="3" t="n">
        <v>45639</v>
      </c>
      <c r="C1554" t="n">
        <v>209380</v>
      </c>
      <c r="D1554" t="n">
        <v>7240546</v>
      </c>
      <c r="E1554">
        <f>IF(A1554="","",COUNTIFS($A$2:$A$20000,A1554,$B$2:$B$20000,"&gt;"&amp;B1554)+1)</f>
        <v/>
      </c>
    </row>
    <row r="1555">
      <c r="A1555" t="inlineStr">
        <is>
          <t>샘플종목15</t>
        </is>
      </c>
      <c r="B1555" s="3" t="n">
        <v>45646</v>
      </c>
      <c r="C1555" t="n">
        <v>215405</v>
      </c>
      <c r="D1555" t="n">
        <v>4775505</v>
      </c>
      <c r="E1555">
        <f>IF(A1555="","",COUNTIFS($A$2:$A$20000,A1555,$B$2:$B$20000,"&gt;"&amp;B1555)+1)</f>
        <v/>
      </c>
    </row>
    <row r="1556">
      <c r="A1556" t="inlineStr">
        <is>
          <t>샘플종목15</t>
        </is>
      </c>
      <c r="B1556" s="3" t="n">
        <v>45653</v>
      </c>
      <c r="C1556" t="n">
        <v>207530</v>
      </c>
      <c r="D1556" t="n">
        <v>3734100</v>
      </c>
      <c r="E1556">
        <f>IF(A1556="","",COUNTIFS($A$2:$A$20000,A1556,$B$2:$B$20000,"&gt;"&amp;B1556)+1)</f>
        <v/>
      </c>
    </row>
    <row r="1557">
      <c r="A1557" t="inlineStr">
        <is>
          <t>샘플종목15</t>
        </is>
      </c>
      <c r="B1557" s="3" t="n">
        <v>45660</v>
      </c>
      <c r="C1557" t="n">
        <v>233409</v>
      </c>
      <c r="D1557" t="n">
        <v>9655014</v>
      </c>
      <c r="E1557">
        <f>IF(A1557="","",COUNTIFS($A$2:$A$20000,A1557,$B$2:$B$20000,"&gt;"&amp;B1557)+1)</f>
        <v/>
      </c>
    </row>
    <row r="1558">
      <c r="A1558" t="inlineStr">
        <is>
          <t>샘플종목15</t>
        </is>
      </c>
      <c r="B1558" s="3" t="n">
        <v>45667</v>
      </c>
      <c r="C1558" t="n">
        <v>236575</v>
      </c>
      <c r="D1558" t="n">
        <v>4584150</v>
      </c>
      <c r="E1558">
        <f>IF(A1558="","",COUNTIFS($A$2:$A$20000,A1558,$B$2:$B$20000,"&gt;"&amp;B1558)+1)</f>
        <v/>
      </c>
    </row>
    <row r="1559">
      <c r="A1559" t="inlineStr">
        <is>
          <t>샘플종목15</t>
        </is>
      </c>
      <c r="B1559" s="3" t="n">
        <v>45674</v>
      </c>
      <c r="C1559" t="n">
        <v>226620</v>
      </c>
      <c r="D1559" t="n">
        <v>2390504</v>
      </c>
      <c r="E1559">
        <f>IF(A1559="","",COUNTIFS($A$2:$A$20000,A1559,$B$2:$B$20000,"&gt;"&amp;B1559)+1)</f>
        <v/>
      </c>
    </row>
    <row r="1560">
      <c r="A1560" t="inlineStr">
        <is>
          <t>샘플종목15</t>
        </is>
      </c>
      <c r="B1560" s="3" t="n">
        <v>45681</v>
      </c>
      <c r="C1560" t="n">
        <v>230337</v>
      </c>
      <c r="D1560" t="n">
        <v>5662120</v>
      </c>
      <c r="E1560">
        <f>IF(A1560="","",COUNTIFS($A$2:$A$20000,A1560,$B$2:$B$20000,"&gt;"&amp;B1560)+1)</f>
        <v/>
      </c>
    </row>
    <row r="1561">
      <c r="A1561" t="inlineStr">
        <is>
          <t>샘플종목15</t>
        </is>
      </c>
      <c r="B1561" s="3" t="n">
        <v>45688</v>
      </c>
      <c r="C1561" t="n">
        <v>224062</v>
      </c>
      <c r="D1561" t="n">
        <v>165968</v>
      </c>
      <c r="E1561">
        <f>IF(A1561="","",COUNTIFS($A$2:$A$20000,A1561,$B$2:$B$20000,"&gt;"&amp;B1561)+1)</f>
        <v/>
      </c>
    </row>
    <row r="1562">
      <c r="A1562" t="inlineStr">
        <is>
          <t>샘플종목15</t>
        </is>
      </c>
      <c r="B1562" s="3" t="n">
        <v>45695</v>
      </c>
      <c r="C1562" t="n">
        <v>205719</v>
      </c>
      <c r="D1562" t="n">
        <v>2811159</v>
      </c>
      <c r="E1562">
        <f>IF(A1562="","",COUNTIFS($A$2:$A$20000,A1562,$B$2:$B$20000,"&gt;"&amp;B1562)+1)</f>
        <v/>
      </c>
    </row>
    <row r="1563">
      <c r="A1563" t="inlineStr">
        <is>
          <t>샘플종목15</t>
        </is>
      </c>
      <c r="B1563" s="3" t="n">
        <v>45702</v>
      </c>
      <c r="C1563" t="n">
        <v>207701</v>
      </c>
      <c r="D1563" t="n">
        <v>5464820</v>
      </c>
      <c r="E1563">
        <f>IF(A1563="","",COUNTIFS($A$2:$A$20000,A1563,$B$2:$B$20000,"&gt;"&amp;B1563)+1)</f>
        <v/>
      </c>
    </row>
    <row r="1564">
      <c r="A1564" t="inlineStr">
        <is>
          <t>샘플종목15</t>
        </is>
      </c>
      <c r="B1564" s="3" t="n">
        <v>45709</v>
      </c>
      <c r="C1564" t="n">
        <v>203521</v>
      </c>
      <c r="D1564" t="n">
        <v>7700881</v>
      </c>
      <c r="E1564">
        <f>IF(A1564="","",COUNTIFS($A$2:$A$20000,A1564,$B$2:$B$20000,"&gt;"&amp;B1564)+1)</f>
        <v/>
      </c>
    </row>
    <row r="1565">
      <c r="A1565" t="inlineStr">
        <is>
          <t>샘플종목15</t>
        </is>
      </c>
      <c r="B1565" s="3" t="n">
        <v>45716</v>
      </c>
      <c r="C1565" t="n">
        <v>193909</v>
      </c>
      <c r="D1565" t="n">
        <v>3657904</v>
      </c>
      <c r="E1565">
        <f>IF(A1565="","",COUNTIFS($A$2:$A$20000,A1565,$B$2:$B$20000,"&gt;"&amp;B1565)+1)</f>
        <v/>
      </c>
    </row>
    <row r="1566">
      <c r="A1566" t="inlineStr">
        <is>
          <t>샘플종목15</t>
        </is>
      </c>
      <c r="B1566" s="3" t="n">
        <v>45723</v>
      </c>
      <c r="C1566" t="n">
        <v>180184</v>
      </c>
      <c r="D1566" t="n">
        <v>3620165</v>
      </c>
      <c r="E1566">
        <f>IF(A1566="","",COUNTIFS($A$2:$A$20000,A1566,$B$2:$B$20000,"&gt;"&amp;B1566)+1)</f>
        <v/>
      </c>
    </row>
    <row r="1567">
      <c r="A1567" t="inlineStr">
        <is>
          <t>샘플종목15</t>
        </is>
      </c>
      <c r="B1567" s="3" t="n">
        <v>45730</v>
      </c>
      <c r="C1567" t="n">
        <v>173417</v>
      </c>
      <c r="D1567" t="n">
        <v>6145910</v>
      </c>
      <c r="E1567">
        <f>IF(A1567="","",COUNTIFS($A$2:$A$20000,A1567,$B$2:$B$20000,"&gt;"&amp;B1567)+1)</f>
        <v/>
      </c>
    </row>
    <row r="1568">
      <c r="A1568" t="inlineStr">
        <is>
          <t>샘플종목15</t>
        </is>
      </c>
      <c r="B1568" s="3" t="n">
        <v>45737</v>
      </c>
      <c r="C1568" t="n">
        <v>185226</v>
      </c>
      <c r="D1568" t="n">
        <v>7466477</v>
      </c>
      <c r="E1568">
        <f>IF(A1568="","",COUNTIFS($A$2:$A$20000,A1568,$B$2:$B$20000,"&gt;"&amp;B1568)+1)</f>
        <v/>
      </c>
    </row>
    <row r="1569">
      <c r="A1569" t="inlineStr">
        <is>
          <t>샘플종목15</t>
        </is>
      </c>
      <c r="B1569" s="3" t="n">
        <v>45744</v>
      </c>
      <c r="C1569" t="n">
        <v>189253</v>
      </c>
      <c r="D1569" t="n">
        <v>3158439</v>
      </c>
      <c r="E1569">
        <f>IF(A1569="","",COUNTIFS($A$2:$A$20000,A1569,$B$2:$B$20000,"&gt;"&amp;B1569)+1)</f>
        <v/>
      </c>
    </row>
    <row r="1570">
      <c r="A1570" t="inlineStr">
        <is>
          <t>샘플종목15</t>
        </is>
      </c>
      <c r="B1570" s="3" t="n">
        <v>45751</v>
      </c>
      <c r="C1570" t="n">
        <v>185821</v>
      </c>
      <c r="D1570" t="n">
        <v>5092945</v>
      </c>
      <c r="E1570">
        <f>IF(A1570="","",COUNTIFS($A$2:$A$20000,A1570,$B$2:$B$20000,"&gt;"&amp;B1570)+1)</f>
        <v/>
      </c>
    </row>
    <row r="1571">
      <c r="A1571" t="inlineStr">
        <is>
          <t>샘플종목15</t>
        </is>
      </c>
      <c r="B1571" s="3" t="n">
        <v>45758</v>
      </c>
      <c r="C1571" t="n">
        <v>187817</v>
      </c>
      <c r="D1571" t="n">
        <v>509768</v>
      </c>
      <c r="E1571">
        <f>IF(A1571="","",COUNTIFS($A$2:$A$20000,A1571,$B$2:$B$20000,"&gt;"&amp;B1571)+1)</f>
        <v/>
      </c>
    </row>
    <row r="1572">
      <c r="A1572" t="inlineStr">
        <is>
          <t>샘플종목15</t>
        </is>
      </c>
      <c r="B1572" s="3" t="n">
        <v>45765</v>
      </c>
      <c r="C1572" t="n">
        <v>189654</v>
      </c>
      <c r="D1572" t="n">
        <v>258136</v>
      </c>
      <c r="E1572">
        <f>IF(A1572="","",COUNTIFS($A$2:$A$20000,A1572,$B$2:$B$20000,"&gt;"&amp;B1572)+1)</f>
        <v/>
      </c>
    </row>
    <row r="1573">
      <c r="A1573" t="inlineStr">
        <is>
          <t>샘플종목15</t>
        </is>
      </c>
      <c r="B1573" s="3" t="n">
        <v>45772</v>
      </c>
      <c r="C1573" t="n">
        <v>185936</v>
      </c>
      <c r="D1573" t="n">
        <v>2337816</v>
      </c>
      <c r="E1573">
        <f>IF(A1573="","",COUNTIFS($A$2:$A$20000,A1573,$B$2:$B$20000,"&gt;"&amp;B1573)+1)</f>
        <v/>
      </c>
    </row>
    <row r="1574">
      <c r="A1574" t="inlineStr">
        <is>
          <t>샘플종목15</t>
        </is>
      </c>
      <c r="B1574" s="3" t="n">
        <v>45779</v>
      </c>
      <c r="C1574" t="n">
        <v>189921</v>
      </c>
      <c r="D1574" t="n">
        <v>6000157</v>
      </c>
      <c r="E1574">
        <f>IF(A1574="","",COUNTIFS($A$2:$A$20000,A1574,$B$2:$B$20000,"&gt;"&amp;B1574)+1)</f>
        <v/>
      </c>
    </row>
    <row r="1575">
      <c r="A1575" t="inlineStr">
        <is>
          <t>샘플종목15</t>
        </is>
      </c>
      <c r="B1575" s="3" t="n">
        <v>45786</v>
      </c>
      <c r="C1575" t="n">
        <v>188010</v>
      </c>
      <c r="D1575" t="n">
        <v>1736590</v>
      </c>
      <c r="E1575">
        <f>IF(A1575="","",COUNTIFS($A$2:$A$20000,A1575,$B$2:$B$20000,"&gt;"&amp;B1575)+1)</f>
        <v/>
      </c>
    </row>
    <row r="1576">
      <c r="A1576" t="inlineStr">
        <is>
          <t>샘플종목15</t>
        </is>
      </c>
      <c r="B1576" s="3" t="n">
        <v>45793</v>
      </c>
      <c r="C1576" t="n">
        <v>188455</v>
      </c>
      <c r="D1576" t="n">
        <v>6763473</v>
      </c>
      <c r="E1576">
        <f>IF(A1576="","",COUNTIFS($A$2:$A$20000,A1576,$B$2:$B$20000,"&gt;"&amp;B1576)+1)</f>
        <v/>
      </c>
    </row>
    <row r="1577">
      <c r="A1577" t="inlineStr">
        <is>
          <t>샘플종목15</t>
        </is>
      </c>
      <c r="B1577" s="3" t="n">
        <v>45800</v>
      </c>
      <c r="C1577" t="n">
        <v>180408</v>
      </c>
      <c r="D1577" t="n">
        <v>1613831</v>
      </c>
      <c r="E1577">
        <f>IF(A1577="","",COUNTIFS($A$2:$A$20000,A1577,$B$2:$B$20000,"&gt;"&amp;B1577)+1)</f>
        <v/>
      </c>
    </row>
    <row r="1578">
      <c r="A1578" t="inlineStr">
        <is>
          <t>샘플종목15</t>
        </is>
      </c>
      <c r="B1578" s="3" t="n">
        <v>45807</v>
      </c>
      <c r="C1578" t="n">
        <v>171890</v>
      </c>
      <c r="D1578" t="n">
        <v>6755104</v>
      </c>
      <c r="E1578">
        <f>IF(A1578="","",COUNTIFS($A$2:$A$20000,A1578,$B$2:$B$20000,"&gt;"&amp;B1578)+1)</f>
        <v/>
      </c>
    </row>
    <row r="1579">
      <c r="A1579" t="inlineStr">
        <is>
          <t>샘플종목15</t>
        </is>
      </c>
      <c r="B1579" s="3" t="n">
        <v>45814</v>
      </c>
      <c r="C1579" t="n">
        <v>177294</v>
      </c>
      <c r="D1579" t="n">
        <v>5731557</v>
      </c>
      <c r="E1579">
        <f>IF(A1579="","",COUNTIFS($A$2:$A$20000,A1579,$B$2:$B$20000,"&gt;"&amp;B1579)+1)</f>
        <v/>
      </c>
    </row>
    <row r="1580">
      <c r="A1580" t="inlineStr">
        <is>
          <t>샘플종목15</t>
        </is>
      </c>
      <c r="B1580" s="3" t="n">
        <v>45821</v>
      </c>
      <c r="C1580" t="n">
        <v>179469</v>
      </c>
      <c r="D1580" t="n">
        <v>4036126</v>
      </c>
      <c r="E1580">
        <f>IF(A1580="","",COUNTIFS($A$2:$A$20000,A1580,$B$2:$B$20000,"&gt;"&amp;B1580)+1)</f>
        <v/>
      </c>
    </row>
    <row r="1581">
      <c r="A1581" t="inlineStr">
        <is>
          <t>샘플종목15</t>
        </is>
      </c>
      <c r="B1581" s="3" t="n">
        <v>45828</v>
      </c>
      <c r="C1581" t="n">
        <v>179591</v>
      </c>
      <c r="D1581" t="n">
        <v>3478561</v>
      </c>
      <c r="E1581">
        <f>IF(A1581="","",COUNTIFS($A$2:$A$20000,A1581,$B$2:$B$20000,"&gt;"&amp;B1581)+1)</f>
        <v/>
      </c>
    </row>
    <row r="1582">
      <c r="A1582" t="inlineStr">
        <is>
          <t>샘플종목15</t>
        </is>
      </c>
      <c r="B1582" s="3" t="n">
        <v>45835</v>
      </c>
      <c r="C1582" t="n">
        <v>182823</v>
      </c>
      <c r="D1582" t="n">
        <v>735420</v>
      </c>
      <c r="E1582">
        <f>IF(A1582="","",COUNTIFS($A$2:$A$20000,A1582,$B$2:$B$20000,"&gt;"&amp;B1582)+1)</f>
        <v/>
      </c>
    </row>
    <row r="1583">
      <c r="A1583" t="inlineStr">
        <is>
          <t>샘플종목15</t>
        </is>
      </c>
      <c r="B1583" s="3" t="n">
        <v>45842</v>
      </c>
      <c r="C1583" t="n">
        <v>172394</v>
      </c>
      <c r="D1583" t="n">
        <v>2362101</v>
      </c>
      <c r="E1583">
        <f>IF(A1583="","",COUNTIFS($A$2:$A$20000,A1583,$B$2:$B$20000,"&gt;"&amp;B1583)+1)</f>
        <v/>
      </c>
    </row>
    <row r="1584">
      <c r="A1584" t="inlineStr">
        <is>
          <t>샘플종목15</t>
        </is>
      </c>
      <c r="B1584" s="3" t="n">
        <v>45849</v>
      </c>
      <c r="C1584" t="n">
        <v>167735</v>
      </c>
      <c r="D1584" t="n">
        <v>7322528</v>
      </c>
      <c r="E1584">
        <f>IF(A1584="","",COUNTIFS($A$2:$A$20000,A1584,$B$2:$B$20000,"&gt;"&amp;B1584)+1)</f>
        <v/>
      </c>
    </row>
    <row r="1585">
      <c r="A1585" t="inlineStr">
        <is>
          <t>샘플종목15</t>
        </is>
      </c>
      <c r="B1585" s="3" t="n">
        <v>45856</v>
      </c>
      <c r="C1585" t="n">
        <v>167924</v>
      </c>
      <c r="D1585" t="n">
        <v>1859398</v>
      </c>
      <c r="E1585">
        <f>IF(A1585="","",COUNTIFS($A$2:$A$20000,A1585,$B$2:$B$20000,"&gt;"&amp;B1585)+1)</f>
        <v/>
      </c>
    </row>
    <row r="1586">
      <c r="A1586" t="inlineStr">
        <is>
          <t>샘플종목15</t>
        </is>
      </c>
      <c r="B1586" s="3" t="n">
        <v>45863</v>
      </c>
      <c r="C1586" t="n">
        <v>167976</v>
      </c>
      <c r="D1586" t="n">
        <v>5409827</v>
      </c>
      <c r="E1586">
        <f>IF(A1586="","",COUNTIFS($A$2:$A$20000,A1586,$B$2:$B$20000,"&gt;"&amp;B1586)+1)</f>
        <v/>
      </c>
    </row>
    <row r="1587">
      <c r="A1587" t="inlineStr">
        <is>
          <t>샘플종목15</t>
        </is>
      </c>
      <c r="B1587" s="3" t="n">
        <v>45870</v>
      </c>
      <c r="C1587" t="n">
        <v>166216</v>
      </c>
      <c r="D1587" t="n">
        <v>1183082</v>
      </c>
      <c r="E1587">
        <f>IF(A1587="","",COUNTIFS($A$2:$A$20000,A1587,$B$2:$B$20000,"&gt;"&amp;B1587)+1)</f>
        <v/>
      </c>
    </row>
    <row r="1588">
      <c r="A1588" t="inlineStr">
        <is>
          <t>샘플종목15</t>
        </is>
      </c>
      <c r="B1588" s="3" t="n">
        <v>45877</v>
      </c>
      <c r="C1588" t="n">
        <v>168983</v>
      </c>
      <c r="D1588" t="n">
        <v>8276461</v>
      </c>
      <c r="E1588">
        <f>IF(A1588="","",COUNTIFS($A$2:$A$20000,A1588,$B$2:$B$20000,"&gt;"&amp;B1588)+1)</f>
        <v/>
      </c>
    </row>
    <row r="1589">
      <c r="A1589" t="inlineStr">
        <is>
          <t>샘플종목15</t>
        </is>
      </c>
      <c r="B1589" s="3" t="n">
        <v>45884</v>
      </c>
      <c r="C1589" t="n">
        <v>166955</v>
      </c>
      <c r="D1589" t="n">
        <v>2378518</v>
      </c>
      <c r="E1589">
        <f>IF(A1589="","",COUNTIFS($A$2:$A$20000,A1589,$B$2:$B$20000,"&gt;"&amp;B1589)+1)</f>
        <v/>
      </c>
    </row>
    <row r="1590">
      <c r="A1590" t="inlineStr">
        <is>
          <t>샘플종목15</t>
        </is>
      </c>
      <c r="B1590" s="3" t="n">
        <v>45891</v>
      </c>
      <c r="C1590" t="n">
        <v>166816</v>
      </c>
      <c r="D1590" t="n">
        <v>3856624</v>
      </c>
      <c r="E1590">
        <f>IF(A1590="","",COUNTIFS($A$2:$A$20000,A1590,$B$2:$B$20000,"&gt;"&amp;B1590)+1)</f>
        <v/>
      </c>
    </row>
    <row r="1591">
      <c r="A1591" t="inlineStr">
        <is>
          <t>샘플종목15</t>
        </is>
      </c>
      <c r="B1591" s="3" t="n">
        <v>45898</v>
      </c>
      <c r="C1591" t="n">
        <v>167073</v>
      </c>
      <c r="D1591" t="n">
        <v>9167055</v>
      </c>
      <c r="E1591">
        <f>IF(A1591="","",COUNTIFS($A$2:$A$20000,A1591,$B$2:$B$20000,"&gt;"&amp;B1591)+1)</f>
        <v/>
      </c>
    </row>
    <row r="1592">
      <c r="A1592" t="inlineStr">
        <is>
          <t>샘플종목15</t>
        </is>
      </c>
      <c r="B1592" s="3" t="n">
        <v>45905</v>
      </c>
      <c r="C1592" t="n">
        <v>173953</v>
      </c>
      <c r="D1592" t="n">
        <v>8500835</v>
      </c>
      <c r="E1592">
        <f>IF(A1592="","",COUNTIFS($A$2:$A$20000,A1592,$B$2:$B$20000,"&gt;"&amp;B1592)+1)</f>
        <v/>
      </c>
    </row>
    <row r="1593">
      <c r="A1593" t="inlineStr">
        <is>
          <t>샘플종목15</t>
        </is>
      </c>
      <c r="B1593" s="3" t="n">
        <v>45912</v>
      </c>
      <c r="C1593" t="n">
        <v>183429</v>
      </c>
      <c r="D1593" t="n">
        <v>1985140</v>
      </c>
      <c r="E1593">
        <f>IF(A1593="","",COUNTIFS($A$2:$A$20000,A1593,$B$2:$B$20000,"&gt;"&amp;B1593)+1)</f>
        <v/>
      </c>
    </row>
    <row r="1594">
      <c r="A1594" t="inlineStr">
        <is>
          <t>샘플종목15</t>
        </is>
      </c>
      <c r="B1594" s="3" t="n">
        <v>45919</v>
      </c>
      <c r="C1594" t="n">
        <v>170007</v>
      </c>
      <c r="D1594" t="n">
        <v>1397340</v>
      </c>
      <c r="E1594">
        <f>IF(A1594="","",COUNTIFS($A$2:$A$20000,A1594,$B$2:$B$20000,"&gt;"&amp;B1594)+1)</f>
        <v/>
      </c>
    </row>
    <row r="1595">
      <c r="A1595" t="inlineStr">
        <is>
          <t>샘플종목15</t>
        </is>
      </c>
      <c r="B1595" s="3" t="n">
        <v>45926</v>
      </c>
      <c r="C1595" t="n">
        <v>167915</v>
      </c>
      <c r="D1595" t="n">
        <v>5962656</v>
      </c>
      <c r="E1595">
        <f>IF(A1595="","",COUNTIFS($A$2:$A$20000,A1595,$B$2:$B$20000,"&gt;"&amp;B1595)+1)</f>
        <v/>
      </c>
    </row>
    <row r="1596">
      <c r="A1596" t="inlineStr">
        <is>
          <t>샘플종목15</t>
        </is>
      </c>
      <c r="B1596" s="3" t="n">
        <v>45933</v>
      </c>
      <c r="C1596" t="n">
        <v>181182</v>
      </c>
      <c r="D1596" t="n">
        <v>3857426</v>
      </c>
      <c r="E1596">
        <f>IF(A1596="","",COUNTIFS($A$2:$A$20000,A1596,$B$2:$B$20000,"&gt;"&amp;B1596)+1)</f>
        <v/>
      </c>
    </row>
    <row r="1597">
      <c r="A1597" t="inlineStr">
        <is>
          <t>샘플종목15</t>
        </is>
      </c>
      <c r="B1597" s="3" t="n">
        <v>45940</v>
      </c>
      <c r="C1597" t="n">
        <v>178927</v>
      </c>
      <c r="D1597" t="n">
        <v>1314473</v>
      </c>
      <c r="E1597">
        <f>IF(A1597="","",COUNTIFS($A$2:$A$20000,A1597,$B$2:$B$20000,"&gt;"&amp;B1597)+1)</f>
        <v/>
      </c>
    </row>
    <row r="1598">
      <c r="A1598" t="inlineStr">
        <is>
          <t>샘플종목15</t>
        </is>
      </c>
      <c r="B1598" s="3" t="n">
        <v>45947</v>
      </c>
      <c r="C1598" t="n">
        <v>178642</v>
      </c>
      <c r="D1598" t="n">
        <v>4540061</v>
      </c>
      <c r="E1598">
        <f>IF(A1598="","",COUNTIFS($A$2:$A$20000,A1598,$B$2:$B$20000,"&gt;"&amp;B1598)+1)</f>
        <v/>
      </c>
    </row>
    <row r="1599">
      <c r="A1599" t="inlineStr">
        <is>
          <t>샘플종목15</t>
        </is>
      </c>
      <c r="B1599" s="3" t="n">
        <v>45954</v>
      </c>
      <c r="C1599" t="n">
        <v>183416</v>
      </c>
      <c r="D1599" t="n">
        <v>4613135</v>
      </c>
      <c r="E1599">
        <f>IF(A1599="","",COUNTIFS($A$2:$A$20000,A1599,$B$2:$B$20000,"&gt;"&amp;B1599)+1)</f>
        <v/>
      </c>
    </row>
    <row r="1600">
      <c r="A1600" t="inlineStr">
        <is>
          <t>샘플종목15</t>
        </is>
      </c>
      <c r="B1600" s="3" t="n">
        <v>45961</v>
      </c>
      <c r="C1600" t="n">
        <v>185762</v>
      </c>
      <c r="D1600" t="n">
        <v>8635430</v>
      </c>
      <c r="E1600">
        <f>IF(A1600="","",COUNTIFS($A$2:$A$20000,A1600,$B$2:$B$20000,"&gt;"&amp;B1600)+1)</f>
        <v/>
      </c>
    </row>
    <row r="1601">
      <c r="A1601" t="inlineStr">
        <is>
          <t>샘플종목15</t>
        </is>
      </c>
      <c r="B1601" s="3" t="n">
        <v>45968</v>
      </c>
      <c r="C1601" t="n">
        <v>187060</v>
      </c>
      <c r="D1601" t="n">
        <v>902903</v>
      </c>
      <c r="E1601">
        <f>IF(A1601="","",COUNTIFS($A$2:$A$20000,A1601,$B$2:$B$20000,"&gt;"&amp;B1601)+1)</f>
        <v/>
      </c>
    </row>
    <row r="1602">
      <c r="A1602" t="inlineStr">
        <is>
          <t>샘플종목15</t>
        </is>
      </c>
      <c r="B1602" s="3" t="n">
        <v>45975</v>
      </c>
      <c r="C1602" t="n">
        <v>179437</v>
      </c>
      <c r="D1602" t="n">
        <v>6183584</v>
      </c>
      <c r="E1602">
        <f>IF(A1602="","",COUNTIFS($A$2:$A$20000,A1602,$B$2:$B$20000,"&gt;"&amp;B1602)+1)</f>
        <v/>
      </c>
    </row>
    <row r="1603">
      <c r="A1603" t="inlineStr">
        <is>
          <t>샘플종목15</t>
        </is>
      </c>
      <c r="B1603" s="3" t="n">
        <v>45982</v>
      </c>
      <c r="C1603" t="n">
        <v>184792</v>
      </c>
      <c r="D1603" t="n">
        <v>4583005</v>
      </c>
      <c r="E1603">
        <f>IF(A1603="","",COUNTIFS($A$2:$A$20000,A1603,$B$2:$B$20000,"&gt;"&amp;B1603)+1)</f>
        <v/>
      </c>
    </row>
    <row r="1604">
      <c r="A1604" t="inlineStr">
        <is>
          <t>샘플종목15</t>
        </is>
      </c>
      <c r="B1604" s="3" t="n">
        <v>45989</v>
      </c>
      <c r="C1604" t="n">
        <v>196421</v>
      </c>
      <c r="D1604" t="n">
        <v>7712496</v>
      </c>
      <c r="E1604">
        <f>IF(A1604="","",COUNTIFS($A$2:$A$20000,A1604,$B$2:$B$20000,"&gt;"&amp;B1604)+1)</f>
        <v/>
      </c>
    </row>
    <row r="1605">
      <c r="A1605" t="inlineStr">
        <is>
          <t>샘플종목15</t>
        </is>
      </c>
      <c r="B1605" s="3" t="n">
        <v>45996</v>
      </c>
      <c r="C1605" t="n">
        <v>197611</v>
      </c>
      <c r="D1605" t="n">
        <v>9226295</v>
      </c>
      <c r="E1605">
        <f>IF(A1605="","",COUNTIFS($A$2:$A$20000,A1605,$B$2:$B$20000,"&gt;"&amp;B1605)+1)</f>
        <v/>
      </c>
    </row>
    <row r="1606">
      <c r="A1606" t="inlineStr">
        <is>
          <t>샘플종목15</t>
        </is>
      </c>
      <c r="B1606" s="3" t="n">
        <v>46003</v>
      </c>
      <c r="C1606" t="n">
        <v>196585</v>
      </c>
      <c r="D1606" t="n">
        <v>6984918</v>
      </c>
      <c r="E1606">
        <f>IF(A1606="","",COUNTIFS($A$2:$A$20000,A1606,$B$2:$B$20000,"&gt;"&amp;B1606)+1)</f>
        <v/>
      </c>
    </row>
    <row r="1607">
      <c r="A1607" t="inlineStr">
        <is>
          <t>샘플종목15</t>
        </is>
      </c>
      <c r="B1607" s="3" t="n">
        <v>46010</v>
      </c>
      <c r="C1607" t="n">
        <v>203883</v>
      </c>
      <c r="D1607" t="n">
        <v>4606205</v>
      </c>
      <c r="E1607">
        <f>IF(A1607="","",COUNTIFS($A$2:$A$20000,A1607,$B$2:$B$20000,"&gt;"&amp;B1607)+1)</f>
        <v/>
      </c>
    </row>
    <row r="1608">
      <c r="A1608" t="inlineStr">
        <is>
          <t>샘플종목15</t>
        </is>
      </c>
      <c r="B1608" s="3" t="n">
        <v>46017</v>
      </c>
      <c r="C1608" t="n">
        <v>198534</v>
      </c>
      <c r="D1608" t="n">
        <v>7132155</v>
      </c>
      <c r="E1608">
        <f>IF(A1608="","",COUNTIFS($A$2:$A$20000,A1608,$B$2:$B$20000,"&gt;"&amp;B1608)+1)</f>
        <v/>
      </c>
    </row>
    <row r="1609">
      <c r="A1609" t="inlineStr">
        <is>
          <t>샘플종목15</t>
        </is>
      </c>
      <c r="B1609" s="3" t="n">
        <v>46024</v>
      </c>
      <c r="C1609" t="n">
        <v>203042</v>
      </c>
      <c r="D1609" t="n">
        <v>6525264</v>
      </c>
      <c r="E1609">
        <f>IF(A1609="","",COUNTIFS($A$2:$A$20000,A1609,$B$2:$B$20000,"&gt;"&amp;B1609)+1)</f>
        <v/>
      </c>
    </row>
    <row r="1610">
      <c r="A1610" t="inlineStr">
        <is>
          <t>샘플종목15</t>
        </is>
      </c>
      <c r="B1610" s="3" t="n">
        <v>46031</v>
      </c>
      <c r="C1610" t="n">
        <v>211369</v>
      </c>
      <c r="D1610" t="n">
        <v>6566187</v>
      </c>
      <c r="E1610">
        <f>IF(A1610="","",COUNTIFS($A$2:$A$20000,A1610,$B$2:$B$20000,"&gt;"&amp;B1610)+1)</f>
        <v/>
      </c>
    </row>
    <row r="1611">
      <c r="A1611" t="inlineStr">
        <is>
          <t>샘플종목15</t>
        </is>
      </c>
      <c r="B1611" s="3" t="n">
        <v>46038</v>
      </c>
      <c r="C1611" t="n">
        <v>210376</v>
      </c>
      <c r="D1611" t="n">
        <v>6978196</v>
      </c>
      <c r="E1611">
        <f>IF(A1611="","",COUNTIFS($A$2:$A$20000,A1611,$B$2:$B$20000,"&gt;"&amp;B1611)+1)</f>
        <v/>
      </c>
    </row>
    <row r="1612">
      <c r="A1612" t="inlineStr">
        <is>
          <t>샘플종목15</t>
        </is>
      </c>
      <c r="B1612" s="3" t="n">
        <v>46045</v>
      </c>
      <c r="C1612" t="n">
        <v>216756</v>
      </c>
      <c r="D1612" t="n">
        <v>188096</v>
      </c>
      <c r="E1612">
        <f>IF(A1612="","",COUNTIFS($A$2:$A$20000,A1612,$B$2:$B$20000,"&gt;"&amp;B1612)+1)</f>
        <v/>
      </c>
    </row>
    <row r="1613">
      <c r="A1613" t="inlineStr">
        <is>
          <t>샘플종목15</t>
        </is>
      </c>
      <c r="B1613" s="3" t="n">
        <v>46052</v>
      </c>
      <c r="C1613" t="n">
        <v>199707</v>
      </c>
      <c r="D1613" t="n">
        <v>4111289</v>
      </c>
      <c r="E1613">
        <f>IF(A1613="","",COUNTIFS($A$2:$A$20000,A1613,$B$2:$B$20000,"&gt;"&amp;B1613)+1)</f>
        <v/>
      </c>
    </row>
    <row r="1614">
      <c r="A1614" t="inlineStr">
        <is>
          <t>샘플종목15</t>
        </is>
      </c>
      <c r="B1614" s="3" t="n">
        <v>46059</v>
      </c>
      <c r="C1614" t="n">
        <v>185893</v>
      </c>
      <c r="D1614" t="n">
        <v>4372575</v>
      </c>
      <c r="E1614">
        <f>IF(A1614="","",COUNTIFS($A$2:$A$20000,A1614,$B$2:$B$20000,"&gt;"&amp;B1614)+1)</f>
        <v/>
      </c>
    </row>
    <row r="1615">
      <c r="A1615" t="inlineStr">
        <is>
          <t>샘플종목15</t>
        </is>
      </c>
      <c r="B1615" s="3" t="n">
        <v>46066</v>
      </c>
      <c r="C1615" t="n">
        <v>175620</v>
      </c>
      <c r="D1615" t="n">
        <v>6424476</v>
      </c>
      <c r="E1615">
        <f>IF(A1615="","",COUNTIFS($A$2:$A$20000,A1615,$B$2:$B$20000,"&gt;"&amp;B1615)+1)</f>
        <v/>
      </c>
    </row>
    <row r="1616">
      <c r="A1616" t="inlineStr">
        <is>
          <t>샘플종목15</t>
        </is>
      </c>
      <c r="B1616" s="3" t="n">
        <v>46073</v>
      </c>
      <c r="C1616" t="n">
        <v>189078</v>
      </c>
      <c r="D1616" t="n">
        <v>2048931</v>
      </c>
      <c r="E1616">
        <f>IF(A1616="","",COUNTIFS($A$2:$A$20000,A1616,$B$2:$B$20000,"&gt;"&amp;B1616)+1)</f>
        <v/>
      </c>
    </row>
    <row r="1617">
      <c r="A1617" t="inlineStr">
        <is>
          <t>샘플종목15</t>
        </is>
      </c>
      <c r="B1617" s="3" t="n">
        <v>46080</v>
      </c>
      <c r="C1617" t="n">
        <v>188659</v>
      </c>
      <c r="D1617" t="n">
        <v>1556483</v>
      </c>
      <c r="E1617">
        <f>IF(A1617="","",COUNTIFS($A$2:$A$20000,A1617,$B$2:$B$20000,"&gt;"&amp;B1617)+1)</f>
        <v/>
      </c>
    </row>
    <row r="1618">
      <c r="A1618" t="inlineStr">
        <is>
          <t>샘플종목15</t>
        </is>
      </c>
      <c r="B1618" s="3" t="n">
        <v>46087</v>
      </c>
      <c r="C1618" t="n">
        <v>196327</v>
      </c>
      <c r="D1618" t="n">
        <v>930640</v>
      </c>
      <c r="E1618">
        <f>IF(A1618="","",COUNTIFS($A$2:$A$20000,A1618,$B$2:$B$20000,"&gt;"&amp;B1618)+1)</f>
        <v/>
      </c>
    </row>
    <row r="1619">
      <c r="A1619" t="inlineStr">
        <is>
          <t>샘플종목15</t>
        </is>
      </c>
      <c r="B1619" s="3" t="n">
        <v>46094</v>
      </c>
      <c r="C1619" t="n">
        <v>185256</v>
      </c>
      <c r="D1619" t="n">
        <v>6908519</v>
      </c>
      <c r="E1619">
        <f>IF(A1619="","",COUNTIFS($A$2:$A$20000,A1619,$B$2:$B$20000,"&gt;"&amp;B1619)+1)</f>
        <v/>
      </c>
    </row>
    <row r="1620">
      <c r="A1620" t="inlineStr">
        <is>
          <t>샘플종목15</t>
        </is>
      </c>
      <c r="B1620" s="3" t="n">
        <v>46101</v>
      </c>
      <c r="C1620" t="n">
        <v>183372</v>
      </c>
      <c r="D1620" t="n">
        <v>7522683</v>
      </c>
      <c r="E1620">
        <f>IF(A1620="","",COUNTIFS($A$2:$A$20000,A1620,$B$2:$B$20000,"&gt;"&amp;B1620)+1)</f>
        <v/>
      </c>
    </row>
    <row r="1621">
      <c r="A1621" t="inlineStr">
        <is>
          <t>샘플종목15</t>
        </is>
      </c>
      <c r="B1621" s="3" t="n">
        <v>46108</v>
      </c>
      <c r="C1621" t="n">
        <v>177639</v>
      </c>
      <c r="D1621" t="n">
        <v>9309823</v>
      </c>
      <c r="E1621">
        <f>IF(A1621="","",COUNTIFS($A$2:$A$20000,A1621,$B$2:$B$20000,"&gt;"&amp;B1621)+1)</f>
        <v/>
      </c>
    </row>
    <row r="1622">
      <c r="A1622" t="inlineStr">
        <is>
          <t>샘플종목15</t>
        </is>
      </c>
      <c r="B1622" s="3" t="n">
        <v>46115</v>
      </c>
      <c r="C1622" t="n">
        <v>174134</v>
      </c>
      <c r="D1622" t="n">
        <v>9792311</v>
      </c>
      <c r="E1622">
        <f>IF(A1622="","",COUNTIFS($A$2:$A$20000,A1622,$B$2:$B$20000,"&gt;"&amp;B1622)+1)</f>
        <v/>
      </c>
    </row>
    <row r="1623">
      <c r="A1623" t="inlineStr">
        <is>
          <t>샘플종목15</t>
        </is>
      </c>
      <c r="B1623" s="3" t="n">
        <v>46122</v>
      </c>
      <c r="C1623" t="n">
        <v>167799</v>
      </c>
      <c r="D1623" t="n">
        <v>115641</v>
      </c>
      <c r="E1623">
        <f>IF(A1623="","",COUNTIFS($A$2:$A$20000,A1623,$B$2:$B$20000,"&gt;"&amp;B1623)+1)</f>
        <v/>
      </c>
    </row>
    <row r="1624">
      <c r="A1624" t="inlineStr">
        <is>
          <t>샘플종목15</t>
        </is>
      </c>
      <c r="B1624" s="3" t="n">
        <v>46129</v>
      </c>
      <c r="C1624" t="n">
        <v>158579</v>
      </c>
      <c r="D1624" t="n">
        <v>7995487</v>
      </c>
      <c r="E1624">
        <f>IF(A1624="","",COUNTIFS($A$2:$A$20000,A1624,$B$2:$B$20000,"&gt;"&amp;B1624)+1)</f>
        <v/>
      </c>
    </row>
    <row r="1625">
      <c r="A1625" t="inlineStr">
        <is>
          <t>샘플종목15</t>
        </is>
      </c>
      <c r="B1625" s="3" t="n">
        <v>46136</v>
      </c>
      <c r="C1625" t="n">
        <v>160415</v>
      </c>
      <c r="D1625" t="n">
        <v>8658548</v>
      </c>
      <c r="E1625">
        <f>IF(A1625="","",COUNTIFS($A$2:$A$20000,A1625,$B$2:$B$20000,"&gt;"&amp;B1625)+1)</f>
        <v/>
      </c>
    </row>
    <row r="1626">
      <c r="A1626" t="inlineStr">
        <is>
          <t>샘플종목15</t>
        </is>
      </c>
      <c r="B1626" s="3" t="n">
        <v>46143</v>
      </c>
      <c r="C1626" t="n">
        <v>156314</v>
      </c>
      <c r="D1626" t="n">
        <v>6473542</v>
      </c>
      <c r="E1626">
        <f>IF(A1626="","",COUNTIFS($A$2:$A$20000,A1626,$B$2:$B$20000,"&gt;"&amp;B1626)+1)</f>
        <v/>
      </c>
    </row>
    <row r="1627">
      <c r="A1627" t="inlineStr">
        <is>
          <t>샘플종목15</t>
        </is>
      </c>
      <c r="B1627" s="3" t="n">
        <v>46150</v>
      </c>
      <c r="C1627" t="n">
        <v>163199</v>
      </c>
      <c r="D1627" t="n">
        <v>4033159</v>
      </c>
      <c r="E1627">
        <f>IF(A1627="","",COUNTIFS($A$2:$A$20000,A1627,$B$2:$B$20000,"&gt;"&amp;B1627)+1)</f>
        <v/>
      </c>
    </row>
    <row r="1628">
      <c r="A1628" t="inlineStr">
        <is>
          <t>샘플종목15</t>
        </is>
      </c>
      <c r="B1628" s="3" t="n">
        <v>46157</v>
      </c>
      <c r="C1628" t="n">
        <v>168772</v>
      </c>
      <c r="D1628" t="n">
        <v>6455807</v>
      </c>
      <c r="E1628">
        <f>IF(A1628="","",COUNTIFS($A$2:$A$20000,A1628,$B$2:$B$20000,"&gt;"&amp;B1628)+1)</f>
        <v/>
      </c>
    </row>
    <row r="1629">
      <c r="A1629" t="inlineStr">
        <is>
          <t>샘플종목15</t>
        </is>
      </c>
      <c r="B1629" s="3" t="n">
        <v>46164</v>
      </c>
      <c r="C1629" t="n">
        <v>158460</v>
      </c>
      <c r="D1629" t="n">
        <v>6059318</v>
      </c>
      <c r="E1629">
        <f>IF(A1629="","",COUNTIFS($A$2:$A$20000,A1629,$B$2:$B$20000,"&gt;"&amp;B1629)+1)</f>
        <v/>
      </c>
    </row>
    <row r="1630">
      <c r="A1630" t="inlineStr">
        <is>
          <t>샘플종목15</t>
        </is>
      </c>
      <c r="B1630" s="3" t="n">
        <v>46171</v>
      </c>
      <c r="C1630" t="n">
        <v>157285</v>
      </c>
      <c r="D1630" t="n">
        <v>8929161</v>
      </c>
      <c r="E1630">
        <f>IF(A1630="","",COUNTIFS($A$2:$A$20000,A1630,$B$2:$B$20000,"&gt;"&amp;B1630)+1)</f>
        <v/>
      </c>
    </row>
    <row r="1631">
      <c r="A1631" t="inlineStr">
        <is>
          <t>샘플종목15</t>
        </is>
      </c>
      <c r="B1631" s="3" t="n">
        <v>46178</v>
      </c>
      <c r="C1631" t="n">
        <v>151484</v>
      </c>
      <c r="D1631" t="n">
        <v>4569610</v>
      </c>
      <c r="E1631">
        <f>IF(A1631="","",COUNTIFS($A$2:$A$20000,A1631,$B$2:$B$20000,"&gt;"&amp;B1631)+1)</f>
        <v/>
      </c>
    </row>
    <row r="1632">
      <c r="A1632" t="inlineStr">
        <is>
          <t>샘플종목15</t>
        </is>
      </c>
      <c r="B1632" s="3" t="n">
        <v>46185</v>
      </c>
      <c r="C1632" t="n">
        <v>144870</v>
      </c>
      <c r="D1632" t="n">
        <v>5504556</v>
      </c>
      <c r="E1632">
        <f>IF(A1632="","",COUNTIFS($A$2:$A$20000,A1632,$B$2:$B$20000,"&gt;"&amp;B1632)+1)</f>
        <v/>
      </c>
    </row>
    <row r="1633">
      <c r="A1633" t="inlineStr">
        <is>
          <t>샘플종목15</t>
        </is>
      </c>
      <c r="B1633" s="3" t="n">
        <v>46192</v>
      </c>
      <c r="C1633" t="n">
        <v>139487</v>
      </c>
      <c r="D1633" t="n">
        <v>1307877</v>
      </c>
      <c r="E1633">
        <f>IF(A1633="","",COUNTIFS($A$2:$A$20000,A1633,$B$2:$B$20000,"&gt;"&amp;B1633)+1)</f>
        <v/>
      </c>
    </row>
    <row r="1634">
      <c r="A1634" t="inlineStr">
        <is>
          <t>샘플종목15</t>
        </is>
      </c>
      <c r="B1634" s="3" t="n">
        <v>46199</v>
      </c>
      <c r="C1634" t="n">
        <v>134951</v>
      </c>
      <c r="D1634" t="n">
        <v>3845746</v>
      </c>
      <c r="E1634">
        <f>IF(A1634="","",COUNTIFS($A$2:$A$20000,A1634,$B$2:$B$20000,"&gt;"&amp;B1634)+1)</f>
        <v/>
      </c>
    </row>
    <row r="1635">
      <c r="A1635" t="inlineStr">
        <is>
          <t>샘플종목15</t>
        </is>
      </c>
      <c r="B1635" s="3" t="n">
        <v>46206</v>
      </c>
      <c r="C1635" t="n">
        <v>130328</v>
      </c>
      <c r="D1635" t="n">
        <v>4544796</v>
      </c>
      <c r="E1635">
        <f>IF(A1635="","",COUNTIFS($A$2:$A$20000,A1635,$B$2:$B$20000,"&gt;"&amp;B1635)+1)</f>
        <v/>
      </c>
    </row>
    <row r="1636">
      <c r="A1636" t="inlineStr">
        <is>
          <t>샘플종목15</t>
        </is>
      </c>
      <c r="B1636" s="3" t="n">
        <v>46213</v>
      </c>
      <c r="C1636" t="n">
        <v>129818</v>
      </c>
      <c r="D1636" t="n">
        <v>5934740</v>
      </c>
      <c r="E1636">
        <f>IF(A1636="","",COUNTIFS($A$2:$A$20000,A1636,$B$2:$B$20000,"&gt;"&amp;B1636)+1)</f>
        <v/>
      </c>
    </row>
    <row r="1637">
      <c r="A1637" t="inlineStr">
        <is>
          <t>샘플종목15</t>
        </is>
      </c>
      <c r="B1637" s="3" t="n">
        <v>46220</v>
      </c>
      <c r="C1637" t="n">
        <v>140006</v>
      </c>
      <c r="D1637" t="n">
        <v>8858433</v>
      </c>
      <c r="E1637">
        <f>IF(A1637="","",COUNTIFS($A$2:$A$20000,A1637,$B$2:$B$20000,"&gt;"&amp;B1637)+1)</f>
        <v/>
      </c>
    </row>
    <row r="1638">
      <c r="A1638" t="inlineStr">
        <is>
          <t>샘플종목15</t>
        </is>
      </c>
      <c r="B1638" s="3" t="n">
        <v>46227</v>
      </c>
      <c r="C1638" t="n">
        <v>134125</v>
      </c>
      <c r="D1638" t="n">
        <v>2483867</v>
      </c>
      <c r="E1638">
        <f>IF(A1638="","",COUNTIFS($A$2:$A$20000,A1638,$B$2:$B$20000,"&gt;"&amp;B1638)+1)</f>
        <v/>
      </c>
    </row>
    <row r="1639">
      <c r="A1639" t="inlineStr">
        <is>
          <t>샘플종목15</t>
        </is>
      </c>
      <c r="B1639" s="3" t="n">
        <v>46234</v>
      </c>
      <c r="C1639" t="n">
        <v>130673</v>
      </c>
      <c r="D1639" t="n">
        <v>1204781</v>
      </c>
      <c r="E1639">
        <f>IF(A1639="","",COUNTIFS($A$2:$A$20000,A1639,$B$2:$B$20000,"&gt;"&amp;B1639)+1)</f>
        <v/>
      </c>
    </row>
    <row r="1640">
      <c r="A1640" t="inlineStr">
        <is>
          <t>샘플종목15</t>
        </is>
      </c>
      <c r="B1640" s="3" t="n">
        <v>46241</v>
      </c>
      <c r="C1640" t="n">
        <v>136690</v>
      </c>
      <c r="D1640" t="n">
        <v>8890115</v>
      </c>
      <c r="E1640">
        <f>IF(A1640="","",COUNTIFS($A$2:$A$20000,A1640,$B$2:$B$20000,"&gt;"&amp;B1640)+1)</f>
        <v/>
      </c>
    </row>
    <row r="1641">
      <c r="A1641" t="inlineStr">
        <is>
          <t>샘플종목15</t>
        </is>
      </c>
      <c r="B1641" s="3" t="n">
        <v>46248</v>
      </c>
      <c r="C1641" t="n">
        <v>134006</v>
      </c>
      <c r="D1641" t="n">
        <v>3536669</v>
      </c>
      <c r="E1641">
        <f>IF(A1641="","",COUNTIFS($A$2:$A$20000,A1641,$B$2:$B$20000,"&gt;"&amp;B1641)+1)</f>
        <v/>
      </c>
    </row>
    <row r="1642">
      <c r="A1642" t="inlineStr">
        <is>
          <t>샘플종목15</t>
        </is>
      </c>
      <c r="B1642" s="3" t="n">
        <v>46255</v>
      </c>
      <c r="C1642" t="n">
        <v>124599</v>
      </c>
      <c r="D1642" t="n">
        <v>4103751</v>
      </c>
      <c r="E1642">
        <f>IF(A1642="","",COUNTIFS($A$2:$A$20000,A1642,$B$2:$B$20000,"&gt;"&amp;B1642)+1)</f>
        <v/>
      </c>
    </row>
    <row r="1643">
      <c r="A1643" t="inlineStr">
        <is>
          <t>샘플종목15</t>
        </is>
      </c>
      <c r="B1643" s="3" t="n">
        <v>46262</v>
      </c>
      <c r="C1643" t="n">
        <v>123279</v>
      </c>
      <c r="D1643" t="n">
        <v>2991590</v>
      </c>
      <c r="E1643">
        <f>IF(A1643="","",COUNTIFS($A$2:$A$20000,A1643,$B$2:$B$20000,"&gt;"&amp;B1643)+1)</f>
        <v/>
      </c>
    </row>
    <row r="1644">
      <c r="A1644" t="inlineStr">
        <is>
          <t>샘플종목15</t>
        </is>
      </c>
      <c r="B1644" s="3" t="n">
        <v>46269</v>
      </c>
      <c r="C1644" t="n">
        <v>127703</v>
      </c>
      <c r="D1644" t="n">
        <v>3081538</v>
      </c>
      <c r="E1644">
        <f>IF(A1644="","",COUNTIFS($A$2:$A$20000,A1644,$B$2:$B$20000,"&gt;"&amp;B1644)+1)</f>
        <v/>
      </c>
    </row>
    <row r="1645">
      <c r="A1645" t="inlineStr">
        <is>
          <t>샘플종목15</t>
        </is>
      </c>
      <c r="B1645" s="3" t="n">
        <v>46276</v>
      </c>
      <c r="C1645" t="n">
        <v>134111</v>
      </c>
      <c r="D1645" t="n">
        <v>825768</v>
      </c>
      <c r="E1645">
        <f>IF(A1645="","",COUNTIFS($A$2:$A$20000,A1645,$B$2:$B$20000,"&gt;"&amp;B1645)+1)</f>
        <v/>
      </c>
    </row>
    <row r="1646">
      <c r="A1646" t="inlineStr">
        <is>
          <t>샘플종목15</t>
        </is>
      </c>
      <c r="B1646" s="3" t="n">
        <v>46283</v>
      </c>
      <c r="C1646" t="n">
        <v>132158</v>
      </c>
      <c r="D1646" t="n">
        <v>7281680</v>
      </c>
      <c r="E1646">
        <f>IF(A1646="","",COUNTIFS($A$2:$A$20000,A1646,$B$2:$B$20000,"&gt;"&amp;B1646)+1)</f>
        <v/>
      </c>
    </row>
    <row r="1647">
      <c r="A1647" t="inlineStr">
        <is>
          <t>샘플종목15</t>
        </is>
      </c>
      <c r="B1647" s="3" t="n">
        <v>46290</v>
      </c>
      <c r="C1647" t="n">
        <v>136929</v>
      </c>
      <c r="D1647" t="n">
        <v>2164168</v>
      </c>
      <c r="E1647">
        <f>IF(A1647="","",COUNTIFS($A$2:$A$20000,A1647,$B$2:$B$20000,"&gt;"&amp;B1647)+1)</f>
        <v/>
      </c>
    </row>
    <row r="1648">
      <c r="A1648" t="inlineStr">
        <is>
          <t>샘플종목15</t>
        </is>
      </c>
      <c r="B1648" s="3" t="n">
        <v>46297</v>
      </c>
      <c r="C1648" t="n">
        <v>130000</v>
      </c>
      <c r="D1648" t="n">
        <v>6393920</v>
      </c>
      <c r="E1648">
        <f>IF(A1648="","",COUNTIFS($A$2:$A$20000,A1648,$B$2:$B$20000,"&gt;"&amp;B1648)+1)</f>
        <v/>
      </c>
    </row>
    <row r="1649">
      <c r="A1649" t="inlineStr">
        <is>
          <t>샘플종목15</t>
        </is>
      </c>
      <c r="B1649" s="3" t="n">
        <v>46304</v>
      </c>
      <c r="C1649" t="n">
        <v>134598</v>
      </c>
      <c r="D1649" t="n">
        <v>1824747</v>
      </c>
      <c r="E1649">
        <f>IF(A1649="","",COUNTIFS($A$2:$A$20000,A1649,$B$2:$B$20000,"&gt;"&amp;B1649)+1)</f>
        <v/>
      </c>
    </row>
    <row r="1650">
      <c r="A1650" t="inlineStr">
        <is>
          <t>샘플종목15</t>
        </is>
      </c>
      <c r="B1650" s="3" t="n">
        <v>46311</v>
      </c>
      <c r="C1650" t="n">
        <v>129624</v>
      </c>
      <c r="D1650" t="n">
        <v>8867534</v>
      </c>
      <c r="E1650">
        <f>IF(A1650="","",COUNTIFS($A$2:$A$20000,A1650,$B$2:$B$20000,"&gt;"&amp;B1650)+1)</f>
        <v/>
      </c>
    </row>
    <row r="1651">
      <c r="A1651" t="inlineStr">
        <is>
          <t>샘플종목15</t>
        </is>
      </c>
      <c r="B1651" s="3" t="n">
        <v>46318</v>
      </c>
      <c r="C1651" t="n">
        <v>135627</v>
      </c>
      <c r="D1651" t="n">
        <v>8846847</v>
      </c>
      <c r="E1651">
        <f>IF(A1651="","",COUNTIFS($A$2:$A$20000,A1651,$B$2:$B$20000,"&gt;"&amp;B1651)+1)</f>
        <v/>
      </c>
    </row>
    <row r="1652">
      <c r="A1652" t="inlineStr">
        <is>
          <t>샘플종목16</t>
        </is>
      </c>
      <c r="B1652" s="3" t="n">
        <v>45555</v>
      </c>
      <c r="C1652" t="n">
        <v>63021</v>
      </c>
      <c r="D1652" t="n">
        <v>4973782</v>
      </c>
      <c r="E1652">
        <f>IF(A1652="","",COUNTIFS($A$2:$A$20000,A1652,$B$2:$B$20000,"&gt;"&amp;B1652)+1)</f>
        <v/>
      </c>
    </row>
    <row r="1653">
      <c r="A1653" t="inlineStr">
        <is>
          <t>샘플종목16</t>
        </is>
      </c>
      <c r="B1653" s="3" t="n">
        <v>45562</v>
      </c>
      <c r="C1653" t="n">
        <v>61425</v>
      </c>
      <c r="D1653" t="n">
        <v>7586017</v>
      </c>
      <c r="E1653">
        <f>IF(A1653="","",COUNTIFS($A$2:$A$20000,A1653,$B$2:$B$20000,"&gt;"&amp;B1653)+1)</f>
        <v/>
      </c>
    </row>
    <row r="1654">
      <c r="A1654" t="inlineStr">
        <is>
          <t>샘플종목16</t>
        </is>
      </c>
      <c r="B1654" s="3" t="n">
        <v>45569</v>
      </c>
      <c r="C1654" t="n">
        <v>60639</v>
      </c>
      <c r="D1654" t="n">
        <v>8125213</v>
      </c>
      <c r="E1654">
        <f>IF(A1654="","",COUNTIFS($A$2:$A$20000,A1654,$B$2:$B$20000,"&gt;"&amp;B1654)+1)</f>
        <v/>
      </c>
    </row>
    <row r="1655">
      <c r="A1655" t="inlineStr">
        <is>
          <t>샘플종목16</t>
        </is>
      </c>
      <c r="B1655" s="3" t="n">
        <v>45576</v>
      </c>
      <c r="C1655" t="n">
        <v>58267</v>
      </c>
      <c r="D1655" t="n">
        <v>3027849</v>
      </c>
      <c r="E1655">
        <f>IF(A1655="","",COUNTIFS($A$2:$A$20000,A1655,$B$2:$B$20000,"&gt;"&amp;B1655)+1)</f>
        <v/>
      </c>
    </row>
    <row r="1656">
      <c r="A1656" t="inlineStr">
        <is>
          <t>샘플종목16</t>
        </is>
      </c>
      <c r="B1656" s="3" t="n">
        <v>45583</v>
      </c>
      <c r="C1656" t="n">
        <v>58457</v>
      </c>
      <c r="D1656" t="n">
        <v>2289803</v>
      </c>
      <c r="E1656">
        <f>IF(A1656="","",COUNTIFS($A$2:$A$20000,A1656,$B$2:$B$20000,"&gt;"&amp;B1656)+1)</f>
        <v/>
      </c>
    </row>
    <row r="1657">
      <c r="A1657" t="inlineStr">
        <is>
          <t>샘플종목16</t>
        </is>
      </c>
      <c r="B1657" s="3" t="n">
        <v>45590</v>
      </c>
      <c r="C1657" t="n">
        <v>57244</v>
      </c>
      <c r="D1657" t="n">
        <v>6255987</v>
      </c>
      <c r="E1657">
        <f>IF(A1657="","",COUNTIFS($A$2:$A$20000,A1657,$B$2:$B$20000,"&gt;"&amp;B1657)+1)</f>
        <v/>
      </c>
    </row>
    <row r="1658">
      <c r="A1658" t="inlineStr">
        <is>
          <t>샘플종목16</t>
        </is>
      </c>
      <c r="B1658" s="3" t="n">
        <v>45597</v>
      </c>
      <c r="C1658" t="n">
        <v>54002</v>
      </c>
      <c r="D1658" t="n">
        <v>6320551</v>
      </c>
      <c r="E1658">
        <f>IF(A1658="","",COUNTIFS($A$2:$A$20000,A1658,$B$2:$B$20000,"&gt;"&amp;B1658)+1)</f>
        <v/>
      </c>
    </row>
    <row r="1659">
      <c r="A1659" t="inlineStr">
        <is>
          <t>샘플종목16</t>
        </is>
      </c>
      <c r="B1659" s="3" t="n">
        <v>45604</v>
      </c>
      <c r="C1659" t="n">
        <v>54334</v>
      </c>
      <c r="D1659" t="n">
        <v>8880964</v>
      </c>
      <c r="E1659">
        <f>IF(A1659="","",COUNTIFS($A$2:$A$20000,A1659,$B$2:$B$20000,"&gt;"&amp;B1659)+1)</f>
        <v/>
      </c>
    </row>
    <row r="1660">
      <c r="A1660" t="inlineStr">
        <is>
          <t>샘플종목16</t>
        </is>
      </c>
      <c r="B1660" s="3" t="n">
        <v>45611</v>
      </c>
      <c r="C1660" t="n">
        <v>53300</v>
      </c>
      <c r="D1660" t="n">
        <v>398076</v>
      </c>
      <c r="E1660">
        <f>IF(A1660="","",COUNTIFS($A$2:$A$20000,A1660,$B$2:$B$20000,"&gt;"&amp;B1660)+1)</f>
        <v/>
      </c>
    </row>
    <row r="1661">
      <c r="A1661" t="inlineStr">
        <is>
          <t>샘플종목16</t>
        </is>
      </c>
      <c r="B1661" s="3" t="n">
        <v>45618</v>
      </c>
      <c r="C1661" t="n">
        <v>55170</v>
      </c>
      <c r="D1661" t="n">
        <v>9431494</v>
      </c>
      <c r="E1661">
        <f>IF(A1661="","",COUNTIFS($A$2:$A$20000,A1661,$B$2:$B$20000,"&gt;"&amp;B1661)+1)</f>
        <v/>
      </c>
    </row>
    <row r="1662">
      <c r="A1662" t="inlineStr">
        <is>
          <t>샘플종목16</t>
        </is>
      </c>
      <c r="B1662" s="3" t="n">
        <v>45625</v>
      </c>
      <c r="C1662" t="n">
        <v>56152</v>
      </c>
      <c r="D1662" t="n">
        <v>1068626</v>
      </c>
      <c r="E1662">
        <f>IF(A1662="","",COUNTIFS($A$2:$A$20000,A1662,$B$2:$B$20000,"&gt;"&amp;B1662)+1)</f>
        <v/>
      </c>
    </row>
    <row r="1663">
      <c r="A1663" t="inlineStr">
        <is>
          <t>샘플종목16</t>
        </is>
      </c>
      <c r="B1663" s="3" t="n">
        <v>45632</v>
      </c>
      <c r="C1663" t="n">
        <v>59047</v>
      </c>
      <c r="D1663" t="n">
        <v>3093549</v>
      </c>
      <c r="E1663">
        <f>IF(A1663="","",COUNTIFS($A$2:$A$20000,A1663,$B$2:$B$20000,"&gt;"&amp;B1663)+1)</f>
        <v/>
      </c>
    </row>
    <row r="1664">
      <c r="A1664" t="inlineStr">
        <is>
          <t>샘플종목16</t>
        </is>
      </c>
      <c r="B1664" s="3" t="n">
        <v>45639</v>
      </c>
      <c r="C1664" t="n">
        <v>58134</v>
      </c>
      <c r="D1664" t="n">
        <v>5536051</v>
      </c>
      <c r="E1664">
        <f>IF(A1664="","",COUNTIFS($A$2:$A$20000,A1664,$B$2:$B$20000,"&gt;"&amp;B1664)+1)</f>
        <v/>
      </c>
    </row>
    <row r="1665">
      <c r="A1665" t="inlineStr">
        <is>
          <t>샘플종목16</t>
        </is>
      </c>
      <c r="B1665" s="3" t="n">
        <v>45646</v>
      </c>
      <c r="C1665" t="n">
        <v>60985</v>
      </c>
      <c r="D1665" t="n">
        <v>4388613</v>
      </c>
      <c r="E1665">
        <f>IF(A1665="","",COUNTIFS($A$2:$A$20000,A1665,$B$2:$B$20000,"&gt;"&amp;B1665)+1)</f>
        <v/>
      </c>
    </row>
    <row r="1666">
      <c r="A1666" t="inlineStr">
        <is>
          <t>샘플종목16</t>
        </is>
      </c>
      <c r="B1666" s="3" t="n">
        <v>45653</v>
      </c>
      <c r="C1666" t="n">
        <v>61344</v>
      </c>
      <c r="D1666" t="n">
        <v>1632241</v>
      </c>
      <c r="E1666">
        <f>IF(A1666="","",COUNTIFS($A$2:$A$20000,A1666,$B$2:$B$20000,"&gt;"&amp;B1666)+1)</f>
        <v/>
      </c>
    </row>
    <row r="1667">
      <c r="A1667" t="inlineStr">
        <is>
          <t>샘플종목16</t>
        </is>
      </c>
      <c r="B1667" s="3" t="n">
        <v>45660</v>
      </c>
      <c r="C1667" t="n">
        <v>66112</v>
      </c>
      <c r="D1667" t="n">
        <v>8911003</v>
      </c>
      <c r="E1667">
        <f>IF(A1667="","",COUNTIFS($A$2:$A$20000,A1667,$B$2:$B$20000,"&gt;"&amp;B1667)+1)</f>
        <v/>
      </c>
    </row>
    <row r="1668">
      <c r="A1668" t="inlineStr">
        <is>
          <t>샘플종목16</t>
        </is>
      </c>
      <c r="B1668" s="3" t="n">
        <v>45667</v>
      </c>
      <c r="C1668" t="n">
        <v>62812</v>
      </c>
      <c r="D1668" t="n">
        <v>3483678</v>
      </c>
      <c r="E1668">
        <f>IF(A1668="","",COUNTIFS($A$2:$A$20000,A1668,$B$2:$B$20000,"&gt;"&amp;B1668)+1)</f>
        <v/>
      </c>
    </row>
    <row r="1669">
      <c r="A1669" t="inlineStr">
        <is>
          <t>샘플종목16</t>
        </is>
      </c>
      <c r="B1669" s="3" t="n">
        <v>45674</v>
      </c>
      <c r="C1669" t="n">
        <v>59184</v>
      </c>
      <c r="D1669" t="n">
        <v>2252524</v>
      </c>
      <c r="E1669">
        <f>IF(A1669="","",COUNTIFS($A$2:$A$20000,A1669,$B$2:$B$20000,"&gt;"&amp;B1669)+1)</f>
        <v/>
      </c>
    </row>
    <row r="1670">
      <c r="A1670" t="inlineStr">
        <is>
          <t>샘플종목16</t>
        </is>
      </c>
      <c r="B1670" s="3" t="n">
        <v>45681</v>
      </c>
      <c r="C1670" t="n">
        <v>55585</v>
      </c>
      <c r="D1670" t="n">
        <v>6334731</v>
      </c>
      <c r="E1670">
        <f>IF(A1670="","",COUNTIFS($A$2:$A$20000,A1670,$B$2:$B$20000,"&gt;"&amp;B1670)+1)</f>
        <v/>
      </c>
    </row>
    <row r="1671">
      <c r="A1671" t="inlineStr">
        <is>
          <t>샘플종목16</t>
        </is>
      </c>
      <c r="B1671" s="3" t="n">
        <v>45688</v>
      </c>
      <c r="C1671" t="n">
        <v>57527</v>
      </c>
      <c r="D1671" t="n">
        <v>836522</v>
      </c>
      <c r="E1671">
        <f>IF(A1671="","",COUNTIFS($A$2:$A$20000,A1671,$B$2:$B$20000,"&gt;"&amp;B1671)+1)</f>
        <v/>
      </c>
    </row>
    <row r="1672">
      <c r="A1672" t="inlineStr">
        <is>
          <t>샘플종목16</t>
        </is>
      </c>
      <c r="B1672" s="3" t="n">
        <v>45695</v>
      </c>
      <c r="C1672" t="n">
        <v>57188</v>
      </c>
      <c r="D1672" t="n">
        <v>800490</v>
      </c>
      <c r="E1672">
        <f>IF(A1672="","",COUNTIFS($A$2:$A$20000,A1672,$B$2:$B$20000,"&gt;"&amp;B1672)+1)</f>
        <v/>
      </c>
    </row>
    <row r="1673">
      <c r="A1673" t="inlineStr">
        <is>
          <t>샘플종목16</t>
        </is>
      </c>
      <c r="B1673" s="3" t="n">
        <v>45702</v>
      </c>
      <c r="C1673" t="n">
        <v>55128</v>
      </c>
      <c r="D1673" t="n">
        <v>5053416</v>
      </c>
      <c r="E1673">
        <f>IF(A1673="","",COUNTIFS($A$2:$A$20000,A1673,$B$2:$B$20000,"&gt;"&amp;B1673)+1)</f>
        <v/>
      </c>
    </row>
    <row r="1674">
      <c r="A1674" t="inlineStr">
        <is>
          <t>샘플종목16</t>
        </is>
      </c>
      <c r="B1674" s="3" t="n">
        <v>45709</v>
      </c>
      <c r="C1674" t="n">
        <v>57538</v>
      </c>
      <c r="D1674" t="n">
        <v>4408248</v>
      </c>
      <c r="E1674">
        <f>IF(A1674="","",COUNTIFS($A$2:$A$20000,A1674,$B$2:$B$20000,"&gt;"&amp;B1674)+1)</f>
        <v/>
      </c>
    </row>
    <row r="1675">
      <c r="A1675" t="inlineStr">
        <is>
          <t>샘플종목16</t>
        </is>
      </c>
      <c r="B1675" s="3" t="n">
        <v>45716</v>
      </c>
      <c r="C1675" t="n">
        <v>57192</v>
      </c>
      <c r="D1675" t="n">
        <v>6011494</v>
      </c>
      <c r="E1675">
        <f>IF(A1675="","",COUNTIFS($A$2:$A$20000,A1675,$B$2:$B$20000,"&gt;"&amp;B1675)+1)</f>
        <v/>
      </c>
    </row>
    <row r="1676">
      <c r="A1676" t="inlineStr">
        <is>
          <t>샘플종목16</t>
        </is>
      </c>
      <c r="B1676" s="3" t="n">
        <v>45723</v>
      </c>
      <c r="C1676" t="n">
        <v>57624</v>
      </c>
      <c r="D1676" t="n">
        <v>2272210</v>
      </c>
      <c r="E1676">
        <f>IF(A1676="","",COUNTIFS($A$2:$A$20000,A1676,$B$2:$B$20000,"&gt;"&amp;B1676)+1)</f>
        <v/>
      </c>
    </row>
    <row r="1677">
      <c r="A1677" t="inlineStr">
        <is>
          <t>샘플종목16</t>
        </is>
      </c>
      <c r="B1677" s="3" t="n">
        <v>45730</v>
      </c>
      <c r="C1677" t="n">
        <v>62215</v>
      </c>
      <c r="D1677" t="n">
        <v>3314681</v>
      </c>
      <c r="E1677">
        <f>IF(A1677="","",COUNTIFS($A$2:$A$20000,A1677,$B$2:$B$20000,"&gt;"&amp;B1677)+1)</f>
        <v/>
      </c>
    </row>
    <row r="1678">
      <c r="A1678" t="inlineStr">
        <is>
          <t>샘플종목16</t>
        </is>
      </c>
      <c r="B1678" s="3" t="n">
        <v>45737</v>
      </c>
      <c r="C1678" t="n">
        <v>67154</v>
      </c>
      <c r="D1678" t="n">
        <v>9834376</v>
      </c>
      <c r="E1678">
        <f>IF(A1678="","",COUNTIFS($A$2:$A$20000,A1678,$B$2:$B$20000,"&gt;"&amp;B1678)+1)</f>
        <v/>
      </c>
    </row>
    <row r="1679">
      <c r="A1679" t="inlineStr">
        <is>
          <t>샘플종목16</t>
        </is>
      </c>
      <c r="B1679" s="3" t="n">
        <v>45744</v>
      </c>
      <c r="C1679" t="n">
        <v>66555</v>
      </c>
      <c r="D1679" t="n">
        <v>6347096</v>
      </c>
      <c r="E1679">
        <f>IF(A1679="","",COUNTIFS($A$2:$A$20000,A1679,$B$2:$B$20000,"&gt;"&amp;B1679)+1)</f>
        <v/>
      </c>
    </row>
    <row r="1680">
      <c r="A1680" t="inlineStr">
        <is>
          <t>샘플종목16</t>
        </is>
      </c>
      <c r="B1680" s="3" t="n">
        <v>45751</v>
      </c>
      <c r="C1680" t="n">
        <v>68342</v>
      </c>
      <c r="D1680" t="n">
        <v>1287488</v>
      </c>
      <c r="E1680">
        <f>IF(A1680="","",COUNTIFS($A$2:$A$20000,A1680,$B$2:$B$20000,"&gt;"&amp;B1680)+1)</f>
        <v/>
      </c>
    </row>
    <row r="1681">
      <c r="A1681" t="inlineStr">
        <is>
          <t>샘플종목16</t>
        </is>
      </c>
      <c r="B1681" s="3" t="n">
        <v>45758</v>
      </c>
      <c r="C1681" t="n">
        <v>69193</v>
      </c>
      <c r="D1681" t="n">
        <v>1441155</v>
      </c>
      <c r="E1681">
        <f>IF(A1681="","",COUNTIFS($A$2:$A$20000,A1681,$B$2:$B$20000,"&gt;"&amp;B1681)+1)</f>
        <v/>
      </c>
    </row>
    <row r="1682">
      <c r="A1682" t="inlineStr">
        <is>
          <t>샘플종목16</t>
        </is>
      </c>
      <c r="B1682" s="3" t="n">
        <v>45765</v>
      </c>
      <c r="C1682" t="n">
        <v>69434</v>
      </c>
      <c r="D1682" t="n">
        <v>8921712</v>
      </c>
      <c r="E1682">
        <f>IF(A1682="","",COUNTIFS($A$2:$A$20000,A1682,$B$2:$B$20000,"&gt;"&amp;B1682)+1)</f>
        <v/>
      </c>
    </row>
    <row r="1683">
      <c r="A1683" t="inlineStr">
        <is>
          <t>샘플종목16</t>
        </is>
      </c>
      <c r="B1683" s="3" t="n">
        <v>45772</v>
      </c>
      <c r="C1683" t="n">
        <v>66862</v>
      </c>
      <c r="D1683" t="n">
        <v>7057715</v>
      </c>
      <c r="E1683">
        <f>IF(A1683="","",COUNTIFS($A$2:$A$20000,A1683,$B$2:$B$20000,"&gt;"&amp;B1683)+1)</f>
        <v/>
      </c>
    </row>
    <row r="1684">
      <c r="A1684" t="inlineStr">
        <is>
          <t>샘플종목16</t>
        </is>
      </c>
      <c r="B1684" s="3" t="n">
        <v>45779</v>
      </c>
      <c r="C1684" t="n">
        <v>61241</v>
      </c>
      <c r="D1684" t="n">
        <v>529317</v>
      </c>
      <c r="E1684">
        <f>IF(A1684="","",COUNTIFS($A$2:$A$20000,A1684,$B$2:$B$20000,"&gt;"&amp;B1684)+1)</f>
        <v/>
      </c>
    </row>
    <row r="1685">
      <c r="A1685" t="inlineStr">
        <is>
          <t>샘플종목16</t>
        </is>
      </c>
      <c r="B1685" s="3" t="n">
        <v>45786</v>
      </c>
      <c r="C1685" t="n">
        <v>61476</v>
      </c>
      <c r="D1685" t="n">
        <v>1908728</v>
      </c>
      <c r="E1685">
        <f>IF(A1685="","",COUNTIFS($A$2:$A$20000,A1685,$B$2:$B$20000,"&gt;"&amp;B1685)+1)</f>
        <v/>
      </c>
    </row>
    <row r="1686">
      <c r="A1686" t="inlineStr">
        <is>
          <t>샘플종목16</t>
        </is>
      </c>
      <c r="B1686" s="3" t="n">
        <v>45793</v>
      </c>
      <c r="C1686" t="n">
        <v>59311</v>
      </c>
      <c r="D1686" t="n">
        <v>7854062</v>
      </c>
      <c r="E1686">
        <f>IF(A1686="","",COUNTIFS($A$2:$A$20000,A1686,$B$2:$B$20000,"&gt;"&amp;B1686)+1)</f>
        <v/>
      </c>
    </row>
    <row r="1687">
      <c r="A1687" t="inlineStr">
        <is>
          <t>샘플종목16</t>
        </is>
      </c>
      <c r="B1687" s="3" t="n">
        <v>45800</v>
      </c>
      <c r="C1687" t="n">
        <v>57974</v>
      </c>
      <c r="D1687" t="n">
        <v>7416884</v>
      </c>
      <c r="E1687">
        <f>IF(A1687="","",COUNTIFS($A$2:$A$20000,A1687,$B$2:$B$20000,"&gt;"&amp;B1687)+1)</f>
        <v/>
      </c>
    </row>
    <row r="1688">
      <c r="A1688" t="inlineStr">
        <is>
          <t>샘플종목16</t>
        </is>
      </c>
      <c r="B1688" s="3" t="n">
        <v>45807</v>
      </c>
      <c r="C1688" t="n">
        <v>55830</v>
      </c>
      <c r="D1688" t="n">
        <v>1192117</v>
      </c>
      <c r="E1688">
        <f>IF(A1688="","",COUNTIFS($A$2:$A$20000,A1688,$B$2:$B$20000,"&gt;"&amp;B1688)+1)</f>
        <v/>
      </c>
    </row>
    <row r="1689">
      <c r="A1689" t="inlineStr">
        <is>
          <t>샘플종목16</t>
        </is>
      </c>
      <c r="B1689" s="3" t="n">
        <v>45814</v>
      </c>
      <c r="C1689" t="n">
        <v>57231</v>
      </c>
      <c r="D1689" t="n">
        <v>7479251</v>
      </c>
      <c r="E1689">
        <f>IF(A1689="","",COUNTIFS($A$2:$A$20000,A1689,$B$2:$B$20000,"&gt;"&amp;B1689)+1)</f>
        <v/>
      </c>
    </row>
    <row r="1690">
      <c r="A1690" t="inlineStr">
        <is>
          <t>샘플종목16</t>
        </is>
      </c>
      <c r="B1690" s="3" t="n">
        <v>45821</v>
      </c>
      <c r="C1690" t="n">
        <v>56358</v>
      </c>
      <c r="D1690" t="n">
        <v>259566</v>
      </c>
      <c r="E1690">
        <f>IF(A1690="","",COUNTIFS($A$2:$A$20000,A1690,$B$2:$B$20000,"&gt;"&amp;B1690)+1)</f>
        <v/>
      </c>
    </row>
    <row r="1691">
      <c r="A1691" t="inlineStr">
        <is>
          <t>샘플종목16</t>
        </is>
      </c>
      <c r="B1691" s="3" t="n">
        <v>45828</v>
      </c>
      <c r="C1691" t="n">
        <v>57200</v>
      </c>
      <c r="D1691" t="n">
        <v>3999287</v>
      </c>
      <c r="E1691">
        <f>IF(A1691="","",COUNTIFS($A$2:$A$20000,A1691,$B$2:$B$20000,"&gt;"&amp;B1691)+1)</f>
        <v/>
      </c>
    </row>
    <row r="1692">
      <c r="A1692" t="inlineStr">
        <is>
          <t>샘플종목16</t>
        </is>
      </c>
      <c r="B1692" s="3" t="n">
        <v>45835</v>
      </c>
      <c r="C1692" t="n">
        <v>57175</v>
      </c>
      <c r="D1692" t="n">
        <v>780953</v>
      </c>
      <c r="E1692">
        <f>IF(A1692="","",COUNTIFS($A$2:$A$20000,A1692,$B$2:$B$20000,"&gt;"&amp;B1692)+1)</f>
        <v/>
      </c>
    </row>
    <row r="1693">
      <c r="A1693" t="inlineStr">
        <is>
          <t>샘플종목16</t>
        </is>
      </c>
      <c r="B1693" s="3" t="n">
        <v>45842</v>
      </c>
      <c r="C1693" t="n">
        <v>54976</v>
      </c>
      <c r="D1693" t="n">
        <v>5032187</v>
      </c>
      <c r="E1693">
        <f>IF(A1693="","",COUNTIFS($A$2:$A$20000,A1693,$B$2:$B$20000,"&gt;"&amp;B1693)+1)</f>
        <v/>
      </c>
    </row>
    <row r="1694">
      <c r="A1694" t="inlineStr">
        <is>
          <t>샘플종목16</t>
        </is>
      </c>
      <c r="B1694" s="3" t="n">
        <v>45849</v>
      </c>
      <c r="C1694" t="n">
        <v>51533</v>
      </c>
      <c r="D1694" t="n">
        <v>7815748</v>
      </c>
      <c r="E1694">
        <f>IF(A1694="","",COUNTIFS($A$2:$A$20000,A1694,$B$2:$B$20000,"&gt;"&amp;B1694)+1)</f>
        <v/>
      </c>
    </row>
    <row r="1695">
      <c r="A1695" t="inlineStr">
        <is>
          <t>샘플종목16</t>
        </is>
      </c>
      <c r="B1695" s="3" t="n">
        <v>45856</v>
      </c>
      <c r="C1695" t="n">
        <v>50465</v>
      </c>
      <c r="D1695" t="n">
        <v>2081711</v>
      </c>
      <c r="E1695">
        <f>IF(A1695="","",COUNTIFS($A$2:$A$20000,A1695,$B$2:$B$20000,"&gt;"&amp;B1695)+1)</f>
        <v/>
      </c>
    </row>
    <row r="1696">
      <c r="A1696" t="inlineStr">
        <is>
          <t>샘플종목16</t>
        </is>
      </c>
      <c r="B1696" s="3" t="n">
        <v>45863</v>
      </c>
      <c r="C1696" t="n">
        <v>53872</v>
      </c>
      <c r="D1696" t="n">
        <v>9680216</v>
      </c>
      <c r="E1696">
        <f>IF(A1696="","",COUNTIFS($A$2:$A$20000,A1696,$B$2:$B$20000,"&gt;"&amp;B1696)+1)</f>
        <v/>
      </c>
    </row>
    <row r="1697">
      <c r="A1697" t="inlineStr">
        <is>
          <t>샘플종목16</t>
        </is>
      </c>
      <c r="B1697" s="3" t="n">
        <v>45870</v>
      </c>
      <c r="C1697" t="n">
        <v>56222</v>
      </c>
      <c r="D1697" t="n">
        <v>359592</v>
      </c>
      <c r="E1697">
        <f>IF(A1697="","",COUNTIFS($A$2:$A$20000,A1697,$B$2:$B$20000,"&gt;"&amp;B1697)+1)</f>
        <v/>
      </c>
    </row>
    <row r="1698">
      <c r="A1698" t="inlineStr">
        <is>
          <t>샘플종목16</t>
        </is>
      </c>
      <c r="B1698" s="3" t="n">
        <v>45877</v>
      </c>
      <c r="C1698" t="n">
        <v>57111</v>
      </c>
      <c r="D1698" t="n">
        <v>3717774</v>
      </c>
      <c r="E1698">
        <f>IF(A1698="","",COUNTIFS($A$2:$A$20000,A1698,$B$2:$B$20000,"&gt;"&amp;B1698)+1)</f>
        <v/>
      </c>
    </row>
    <row r="1699">
      <c r="A1699" t="inlineStr">
        <is>
          <t>샘플종목16</t>
        </is>
      </c>
      <c r="B1699" s="3" t="n">
        <v>45884</v>
      </c>
      <c r="C1699" t="n">
        <v>57810</v>
      </c>
      <c r="D1699" t="n">
        <v>9569291</v>
      </c>
      <c r="E1699">
        <f>IF(A1699="","",COUNTIFS($A$2:$A$20000,A1699,$B$2:$B$20000,"&gt;"&amp;B1699)+1)</f>
        <v/>
      </c>
    </row>
    <row r="1700">
      <c r="A1700" t="inlineStr">
        <is>
          <t>샘플종목16</t>
        </is>
      </c>
      <c r="B1700" s="3" t="n">
        <v>45891</v>
      </c>
      <c r="C1700" t="n">
        <v>53792</v>
      </c>
      <c r="D1700" t="n">
        <v>3452694</v>
      </c>
      <c r="E1700">
        <f>IF(A1700="","",COUNTIFS($A$2:$A$20000,A1700,$B$2:$B$20000,"&gt;"&amp;B1700)+1)</f>
        <v/>
      </c>
    </row>
    <row r="1701">
      <c r="A1701" t="inlineStr">
        <is>
          <t>샘플종목16</t>
        </is>
      </c>
      <c r="B1701" s="3" t="n">
        <v>45898</v>
      </c>
      <c r="C1701" t="n">
        <v>55036</v>
      </c>
      <c r="D1701" t="n">
        <v>5730246</v>
      </c>
      <c r="E1701">
        <f>IF(A1701="","",COUNTIFS($A$2:$A$20000,A1701,$B$2:$B$20000,"&gt;"&amp;B1701)+1)</f>
        <v/>
      </c>
    </row>
    <row r="1702">
      <c r="A1702" t="inlineStr">
        <is>
          <t>샘플종목16</t>
        </is>
      </c>
      <c r="B1702" s="3" t="n">
        <v>45905</v>
      </c>
      <c r="C1702" t="n">
        <v>54412</v>
      </c>
      <c r="D1702" t="n">
        <v>7111601</v>
      </c>
      <c r="E1702">
        <f>IF(A1702="","",COUNTIFS($A$2:$A$20000,A1702,$B$2:$B$20000,"&gt;"&amp;B1702)+1)</f>
        <v/>
      </c>
    </row>
    <row r="1703">
      <c r="A1703" t="inlineStr">
        <is>
          <t>샘플종목16</t>
        </is>
      </c>
      <c r="B1703" s="3" t="n">
        <v>45912</v>
      </c>
      <c r="C1703" t="n">
        <v>54599</v>
      </c>
      <c r="D1703" t="n">
        <v>9896951</v>
      </c>
      <c r="E1703">
        <f>IF(A1703="","",COUNTIFS($A$2:$A$20000,A1703,$B$2:$B$20000,"&gt;"&amp;B1703)+1)</f>
        <v/>
      </c>
    </row>
    <row r="1704">
      <c r="A1704" t="inlineStr">
        <is>
          <t>샘플종목16</t>
        </is>
      </c>
      <c r="B1704" s="3" t="n">
        <v>45919</v>
      </c>
      <c r="C1704" t="n">
        <v>56129</v>
      </c>
      <c r="D1704" t="n">
        <v>940461</v>
      </c>
      <c r="E1704">
        <f>IF(A1704="","",COUNTIFS($A$2:$A$20000,A1704,$B$2:$B$20000,"&gt;"&amp;B1704)+1)</f>
        <v/>
      </c>
    </row>
    <row r="1705">
      <c r="A1705" t="inlineStr">
        <is>
          <t>샘플종목16</t>
        </is>
      </c>
      <c r="B1705" s="3" t="n">
        <v>45926</v>
      </c>
      <c r="C1705" t="n">
        <v>58012</v>
      </c>
      <c r="D1705" t="n">
        <v>2541495</v>
      </c>
      <c r="E1705">
        <f>IF(A1705="","",COUNTIFS($A$2:$A$20000,A1705,$B$2:$B$20000,"&gt;"&amp;B1705)+1)</f>
        <v/>
      </c>
    </row>
    <row r="1706">
      <c r="A1706" t="inlineStr">
        <is>
          <t>샘플종목16</t>
        </is>
      </c>
      <c r="B1706" s="3" t="n">
        <v>45933</v>
      </c>
      <c r="C1706" t="n">
        <v>57482</v>
      </c>
      <c r="D1706" t="n">
        <v>201104</v>
      </c>
      <c r="E1706">
        <f>IF(A1706="","",COUNTIFS($A$2:$A$20000,A1706,$B$2:$B$20000,"&gt;"&amp;B1706)+1)</f>
        <v/>
      </c>
    </row>
    <row r="1707">
      <c r="A1707" t="inlineStr">
        <is>
          <t>샘플종목16</t>
        </is>
      </c>
      <c r="B1707" s="3" t="n">
        <v>45940</v>
      </c>
      <c r="C1707" t="n">
        <v>58947</v>
      </c>
      <c r="D1707" t="n">
        <v>3223012</v>
      </c>
      <c r="E1707">
        <f>IF(A1707="","",COUNTIFS($A$2:$A$20000,A1707,$B$2:$B$20000,"&gt;"&amp;B1707)+1)</f>
        <v/>
      </c>
    </row>
    <row r="1708">
      <c r="A1708" t="inlineStr">
        <is>
          <t>샘플종목16</t>
        </is>
      </c>
      <c r="B1708" s="3" t="n">
        <v>45947</v>
      </c>
      <c r="C1708" t="n">
        <v>60949</v>
      </c>
      <c r="D1708" t="n">
        <v>4501388</v>
      </c>
      <c r="E1708">
        <f>IF(A1708="","",COUNTIFS($A$2:$A$20000,A1708,$B$2:$B$20000,"&gt;"&amp;B1708)+1)</f>
        <v/>
      </c>
    </row>
    <row r="1709">
      <c r="A1709" t="inlineStr">
        <is>
          <t>샘플종목16</t>
        </is>
      </c>
      <c r="B1709" s="3" t="n">
        <v>45954</v>
      </c>
      <c r="C1709" t="n">
        <v>60932</v>
      </c>
      <c r="D1709" t="n">
        <v>1553150</v>
      </c>
      <c r="E1709">
        <f>IF(A1709="","",COUNTIFS($A$2:$A$20000,A1709,$B$2:$B$20000,"&gt;"&amp;B1709)+1)</f>
        <v/>
      </c>
    </row>
    <row r="1710">
      <c r="A1710" t="inlineStr">
        <is>
          <t>샘플종목16</t>
        </is>
      </c>
      <c r="B1710" s="3" t="n">
        <v>45961</v>
      </c>
      <c r="C1710" t="n">
        <v>60333</v>
      </c>
      <c r="D1710" t="n">
        <v>5112634</v>
      </c>
      <c r="E1710">
        <f>IF(A1710="","",COUNTIFS($A$2:$A$20000,A1710,$B$2:$B$20000,"&gt;"&amp;B1710)+1)</f>
        <v/>
      </c>
    </row>
    <row r="1711">
      <c r="A1711" t="inlineStr">
        <is>
          <t>샘플종목16</t>
        </is>
      </c>
      <c r="B1711" s="3" t="n">
        <v>45968</v>
      </c>
      <c r="C1711" t="n">
        <v>62162</v>
      </c>
      <c r="D1711" t="n">
        <v>9422993</v>
      </c>
      <c r="E1711">
        <f>IF(A1711="","",COUNTIFS($A$2:$A$20000,A1711,$B$2:$B$20000,"&gt;"&amp;B1711)+1)</f>
        <v/>
      </c>
    </row>
    <row r="1712">
      <c r="A1712" t="inlineStr">
        <is>
          <t>샘플종목16</t>
        </is>
      </c>
      <c r="B1712" s="3" t="n">
        <v>45975</v>
      </c>
      <c r="C1712" t="n">
        <v>58198</v>
      </c>
      <c r="D1712" t="n">
        <v>958139</v>
      </c>
      <c r="E1712">
        <f>IF(A1712="","",COUNTIFS($A$2:$A$20000,A1712,$B$2:$B$20000,"&gt;"&amp;B1712)+1)</f>
        <v/>
      </c>
    </row>
    <row r="1713">
      <c r="A1713" t="inlineStr">
        <is>
          <t>샘플종목16</t>
        </is>
      </c>
      <c r="B1713" s="3" t="n">
        <v>45982</v>
      </c>
      <c r="C1713" t="n">
        <v>61292</v>
      </c>
      <c r="D1713" t="n">
        <v>5248035</v>
      </c>
      <c r="E1713">
        <f>IF(A1713="","",COUNTIFS($A$2:$A$20000,A1713,$B$2:$B$20000,"&gt;"&amp;B1713)+1)</f>
        <v/>
      </c>
    </row>
    <row r="1714">
      <c r="A1714" t="inlineStr">
        <is>
          <t>샘플종목16</t>
        </is>
      </c>
      <c r="B1714" s="3" t="n">
        <v>45989</v>
      </c>
      <c r="C1714" t="n">
        <v>59761</v>
      </c>
      <c r="D1714" t="n">
        <v>7416610</v>
      </c>
      <c r="E1714">
        <f>IF(A1714="","",COUNTIFS($A$2:$A$20000,A1714,$B$2:$B$20000,"&gt;"&amp;B1714)+1)</f>
        <v/>
      </c>
    </row>
    <row r="1715">
      <c r="A1715" t="inlineStr">
        <is>
          <t>샘플종목16</t>
        </is>
      </c>
      <c r="B1715" s="3" t="n">
        <v>45996</v>
      </c>
      <c r="C1715" t="n">
        <v>64402</v>
      </c>
      <c r="D1715" t="n">
        <v>9152947</v>
      </c>
      <c r="E1715">
        <f>IF(A1715="","",COUNTIFS($A$2:$A$20000,A1715,$B$2:$B$20000,"&gt;"&amp;B1715)+1)</f>
        <v/>
      </c>
    </row>
    <row r="1716">
      <c r="A1716" t="inlineStr">
        <is>
          <t>샘플종목16</t>
        </is>
      </c>
      <c r="B1716" s="3" t="n">
        <v>46003</v>
      </c>
      <c r="C1716" t="n">
        <v>64454</v>
      </c>
      <c r="D1716" t="n">
        <v>974214</v>
      </c>
      <c r="E1716">
        <f>IF(A1716="","",COUNTIFS($A$2:$A$20000,A1716,$B$2:$B$20000,"&gt;"&amp;B1716)+1)</f>
        <v/>
      </c>
    </row>
    <row r="1717">
      <c r="A1717" t="inlineStr">
        <is>
          <t>샘플종목16</t>
        </is>
      </c>
      <c r="B1717" s="3" t="n">
        <v>46010</v>
      </c>
      <c r="C1717" t="n">
        <v>66313</v>
      </c>
      <c r="D1717" t="n">
        <v>3581376</v>
      </c>
      <c r="E1717">
        <f>IF(A1717="","",COUNTIFS($A$2:$A$20000,A1717,$B$2:$B$20000,"&gt;"&amp;B1717)+1)</f>
        <v/>
      </c>
    </row>
    <row r="1718">
      <c r="A1718" t="inlineStr">
        <is>
          <t>샘플종목16</t>
        </is>
      </c>
      <c r="B1718" s="3" t="n">
        <v>46017</v>
      </c>
      <c r="C1718" t="n">
        <v>63948</v>
      </c>
      <c r="D1718" t="n">
        <v>7888395</v>
      </c>
      <c r="E1718">
        <f>IF(A1718="","",COUNTIFS($A$2:$A$20000,A1718,$B$2:$B$20000,"&gt;"&amp;B1718)+1)</f>
        <v/>
      </c>
    </row>
    <row r="1719">
      <c r="A1719" t="inlineStr">
        <is>
          <t>샘플종목16</t>
        </is>
      </c>
      <c r="B1719" s="3" t="n">
        <v>46024</v>
      </c>
      <c r="C1719" t="n">
        <v>63508</v>
      </c>
      <c r="D1719" t="n">
        <v>8303841</v>
      </c>
      <c r="E1719">
        <f>IF(A1719="","",COUNTIFS($A$2:$A$20000,A1719,$B$2:$B$20000,"&gt;"&amp;B1719)+1)</f>
        <v/>
      </c>
    </row>
    <row r="1720">
      <c r="A1720" t="inlineStr">
        <is>
          <t>샘플종목16</t>
        </is>
      </c>
      <c r="B1720" s="3" t="n">
        <v>46031</v>
      </c>
      <c r="C1720" t="n">
        <v>63285</v>
      </c>
      <c r="D1720" t="n">
        <v>5833700</v>
      </c>
      <c r="E1720">
        <f>IF(A1720="","",COUNTIFS($A$2:$A$20000,A1720,$B$2:$B$20000,"&gt;"&amp;B1720)+1)</f>
        <v/>
      </c>
    </row>
    <row r="1721">
      <c r="A1721" t="inlineStr">
        <is>
          <t>샘플종목16</t>
        </is>
      </c>
      <c r="B1721" s="3" t="n">
        <v>46038</v>
      </c>
      <c r="C1721" t="n">
        <v>62059</v>
      </c>
      <c r="D1721" t="n">
        <v>3459906</v>
      </c>
      <c r="E1721">
        <f>IF(A1721="","",COUNTIFS($A$2:$A$20000,A1721,$B$2:$B$20000,"&gt;"&amp;B1721)+1)</f>
        <v/>
      </c>
    </row>
    <row r="1722">
      <c r="A1722" t="inlineStr">
        <is>
          <t>샘플종목16</t>
        </is>
      </c>
      <c r="B1722" s="3" t="n">
        <v>46045</v>
      </c>
      <c r="C1722" t="n">
        <v>58438</v>
      </c>
      <c r="D1722" t="n">
        <v>958329</v>
      </c>
      <c r="E1722">
        <f>IF(A1722="","",COUNTIFS($A$2:$A$20000,A1722,$B$2:$B$20000,"&gt;"&amp;B1722)+1)</f>
        <v/>
      </c>
    </row>
    <row r="1723">
      <c r="A1723" t="inlineStr">
        <is>
          <t>샘플종목16</t>
        </is>
      </c>
      <c r="B1723" s="3" t="n">
        <v>46052</v>
      </c>
      <c r="C1723" t="n">
        <v>59545</v>
      </c>
      <c r="D1723" t="n">
        <v>5372518</v>
      </c>
      <c r="E1723">
        <f>IF(A1723="","",COUNTIFS($A$2:$A$20000,A1723,$B$2:$B$20000,"&gt;"&amp;B1723)+1)</f>
        <v/>
      </c>
    </row>
    <row r="1724">
      <c r="A1724" t="inlineStr">
        <is>
          <t>샘플종목16</t>
        </is>
      </c>
      <c r="B1724" s="3" t="n">
        <v>46059</v>
      </c>
      <c r="C1724" t="n">
        <v>60555</v>
      </c>
      <c r="D1724" t="n">
        <v>9577966</v>
      </c>
      <c r="E1724">
        <f>IF(A1724="","",COUNTIFS($A$2:$A$20000,A1724,$B$2:$B$20000,"&gt;"&amp;B1724)+1)</f>
        <v/>
      </c>
    </row>
    <row r="1725">
      <c r="A1725" t="inlineStr">
        <is>
          <t>샘플종목16</t>
        </is>
      </c>
      <c r="B1725" s="3" t="n">
        <v>46066</v>
      </c>
      <c r="C1725" t="n">
        <v>60724</v>
      </c>
      <c r="D1725" t="n">
        <v>5528334</v>
      </c>
      <c r="E1725">
        <f>IF(A1725="","",COUNTIFS($A$2:$A$20000,A1725,$B$2:$B$20000,"&gt;"&amp;B1725)+1)</f>
        <v/>
      </c>
    </row>
    <row r="1726">
      <c r="A1726" t="inlineStr">
        <is>
          <t>샘플종목16</t>
        </is>
      </c>
      <c r="B1726" s="3" t="n">
        <v>46073</v>
      </c>
      <c r="C1726" t="n">
        <v>62514</v>
      </c>
      <c r="D1726" t="n">
        <v>7467000</v>
      </c>
      <c r="E1726">
        <f>IF(A1726="","",COUNTIFS($A$2:$A$20000,A1726,$B$2:$B$20000,"&gt;"&amp;B1726)+1)</f>
        <v/>
      </c>
    </row>
    <row r="1727">
      <c r="A1727" t="inlineStr">
        <is>
          <t>샘플종목16</t>
        </is>
      </c>
      <c r="B1727" s="3" t="n">
        <v>46080</v>
      </c>
      <c r="C1727" t="n">
        <v>63027</v>
      </c>
      <c r="D1727" t="n">
        <v>4991133</v>
      </c>
      <c r="E1727">
        <f>IF(A1727="","",COUNTIFS($A$2:$A$20000,A1727,$B$2:$B$20000,"&gt;"&amp;B1727)+1)</f>
        <v/>
      </c>
    </row>
    <row r="1728">
      <c r="A1728" t="inlineStr">
        <is>
          <t>샘플종목16</t>
        </is>
      </c>
      <c r="B1728" s="3" t="n">
        <v>46087</v>
      </c>
      <c r="C1728" t="n">
        <v>63682</v>
      </c>
      <c r="D1728" t="n">
        <v>7727203</v>
      </c>
      <c r="E1728">
        <f>IF(A1728="","",COUNTIFS($A$2:$A$20000,A1728,$B$2:$B$20000,"&gt;"&amp;B1728)+1)</f>
        <v/>
      </c>
    </row>
    <row r="1729">
      <c r="A1729" t="inlineStr">
        <is>
          <t>샘플종목16</t>
        </is>
      </c>
      <c r="B1729" s="3" t="n">
        <v>46094</v>
      </c>
      <c r="C1729" t="n">
        <v>65471</v>
      </c>
      <c r="D1729" t="n">
        <v>6911628</v>
      </c>
      <c r="E1729">
        <f>IF(A1729="","",COUNTIFS($A$2:$A$20000,A1729,$B$2:$B$20000,"&gt;"&amp;B1729)+1)</f>
        <v/>
      </c>
    </row>
    <row r="1730">
      <c r="A1730" t="inlineStr">
        <is>
          <t>샘플종목16</t>
        </is>
      </c>
      <c r="B1730" s="3" t="n">
        <v>46101</v>
      </c>
      <c r="C1730" t="n">
        <v>68209</v>
      </c>
      <c r="D1730" t="n">
        <v>3509357</v>
      </c>
      <c r="E1730">
        <f>IF(A1730="","",COUNTIFS($A$2:$A$20000,A1730,$B$2:$B$20000,"&gt;"&amp;B1730)+1)</f>
        <v/>
      </c>
    </row>
    <row r="1731">
      <c r="A1731" t="inlineStr">
        <is>
          <t>샘플종목16</t>
        </is>
      </c>
      <c r="B1731" s="3" t="n">
        <v>46108</v>
      </c>
      <c r="C1731" t="n">
        <v>67167</v>
      </c>
      <c r="D1731" t="n">
        <v>1068320</v>
      </c>
      <c r="E1731">
        <f>IF(A1731="","",COUNTIFS($A$2:$A$20000,A1731,$B$2:$B$20000,"&gt;"&amp;B1731)+1)</f>
        <v/>
      </c>
    </row>
    <row r="1732">
      <c r="A1732" t="inlineStr">
        <is>
          <t>샘플종목16</t>
        </is>
      </c>
      <c r="B1732" s="3" t="n">
        <v>46115</v>
      </c>
      <c r="C1732" t="n">
        <v>69558</v>
      </c>
      <c r="D1732" t="n">
        <v>2188149</v>
      </c>
      <c r="E1732">
        <f>IF(A1732="","",COUNTIFS($A$2:$A$20000,A1732,$B$2:$B$20000,"&gt;"&amp;B1732)+1)</f>
        <v/>
      </c>
    </row>
    <row r="1733">
      <c r="A1733" t="inlineStr">
        <is>
          <t>샘플종목16</t>
        </is>
      </c>
      <c r="B1733" s="3" t="n">
        <v>46122</v>
      </c>
      <c r="C1733" t="n">
        <v>74675</v>
      </c>
      <c r="D1733" t="n">
        <v>921463</v>
      </c>
      <c r="E1733">
        <f>IF(A1733="","",COUNTIFS($A$2:$A$20000,A1733,$B$2:$B$20000,"&gt;"&amp;B1733)+1)</f>
        <v/>
      </c>
    </row>
    <row r="1734">
      <c r="A1734" t="inlineStr">
        <is>
          <t>샘플종목16</t>
        </is>
      </c>
      <c r="B1734" s="3" t="n">
        <v>46129</v>
      </c>
      <c r="C1734" t="n">
        <v>78833</v>
      </c>
      <c r="D1734" t="n">
        <v>8440779</v>
      </c>
      <c r="E1734">
        <f>IF(A1734="","",COUNTIFS($A$2:$A$20000,A1734,$B$2:$B$20000,"&gt;"&amp;B1734)+1)</f>
        <v/>
      </c>
    </row>
    <row r="1735">
      <c r="A1735" t="inlineStr">
        <is>
          <t>샘플종목16</t>
        </is>
      </c>
      <c r="B1735" s="3" t="n">
        <v>46136</v>
      </c>
      <c r="C1735" t="n">
        <v>83914</v>
      </c>
      <c r="D1735" t="n">
        <v>3122677</v>
      </c>
      <c r="E1735">
        <f>IF(A1735="","",COUNTIFS($A$2:$A$20000,A1735,$B$2:$B$20000,"&gt;"&amp;B1735)+1)</f>
        <v/>
      </c>
    </row>
    <row r="1736">
      <c r="A1736" t="inlineStr">
        <is>
          <t>샘플종목16</t>
        </is>
      </c>
      <c r="B1736" s="3" t="n">
        <v>46143</v>
      </c>
      <c r="C1736" t="n">
        <v>89426</v>
      </c>
      <c r="D1736" t="n">
        <v>2853559</v>
      </c>
      <c r="E1736">
        <f>IF(A1736="","",COUNTIFS($A$2:$A$20000,A1736,$B$2:$B$20000,"&gt;"&amp;B1736)+1)</f>
        <v/>
      </c>
    </row>
    <row r="1737">
      <c r="A1737" t="inlineStr">
        <is>
          <t>샘플종목16</t>
        </is>
      </c>
      <c r="B1737" s="3" t="n">
        <v>46150</v>
      </c>
      <c r="C1737" t="n">
        <v>90114</v>
      </c>
      <c r="D1737" t="n">
        <v>8458693</v>
      </c>
      <c r="E1737">
        <f>IF(A1737="","",COUNTIFS($A$2:$A$20000,A1737,$B$2:$B$20000,"&gt;"&amp;B1737)+1)</f>
        <v/>
      </c>
    </row>
    <row r="1738">
      <c r="A1738" t="inlineStr">
        <is>
          <t>샘플종목16</t>
        </is>
      </c>
      <c r="B1738" s="3" t="n">
        <v>46157</v>
      </c>
      <c r="C1738" t="n">
        <v>91344</v>
      </c>
      <c r="D1738" t="n">
        <v>5047477</v>
      </c>
      <c r="E1738">
        <f>IF(A1738="","",COUNTIFS($A$2:$A$20000,A1738,$B$2:$B$20000,"&gt;"&amp;B1738)+1)</f>
        <v/>
      </c>
    </row>
    <row r="1739">
      <c r="A1739" t="inlineStr">
        <is>
          <t>샘플종목16</t>
        </is>
      </c>
      <c r="B1739" s="3" t="n">
        <v>46164</v>
      </c>
      <c r="C1739" t="n">
        <v>97262</v>
      </c>
      <c r="D1739" t="n">
        <v>3640437</v>
      </c>
      <c r="E1739">
        <f>IF(A1739="","",COUNTIFS($A$2:$A$20000,A1739,$B$2:$B$20000,"&gt;"&amp;B1739)+1)</f>
        <v/>
      </c>
    </row>
    <row r="1740">
      <c r="A1740" t="inlineStr">
        <is>
          <t>샘플종목16</t>
        </is>
      </c>
      <c r="B1740" s="3" t="n">
        <v>46171</v>
      </c>
      <c r="C1740" t="n">
        <v>95221</v>
      </c>
      <c r="D1740" t="n">
        <v>3571333</v>
      </c>
      <c r="E1740">
        <f>IF(A1740="","",COUNTIFS($A$2:$A$20000,A1740,$B$2:$B$20000,"&gt;"&amp;B1740)+1)</f>
        <v/>
      </c>
    </row>
    <row r="1741">
      <c r="A1741" t="inlineStr">
        <is>
          <t>샘플종목16</t>
        </is>
      </c>
      <c r="B1741" s="3" t="n">
        <v>46178</v>
      </c>
      <c r="C1741" t="n">
        <v>94930</v>
      </c>
      <c r="D1741" t="n">
        <v>8760934</v>
      </c>
      <c r="E1741">
        <f>IF(A1741="","",COUNTIFS($A$2:$A$20000,A1741,$B$2:$B$20000,"&gt;"&amp;B1741)+1)</f>
        <v/>
      </c>
    </row>
    <row r="1742">
      <c r="A1742" t="inlineStr">
        <is>
          <t>샘플종목16</t>
        </is>
      </c>
      <c r="B1742" s="3" t="n">
        <v>46185</v>
      </c>
      <c r="C1742" t="n">
        <v>96489</v>
      </c>
      <c r="D1742" t="n">
        <v>1635650</v>
      </c>
      <c r="E1742">
        <f>IF(A1742="","",COUNTIFS($A$2:$A$20000,A1742,$B$2:$B$20000,"&gt;"&amp;B1742)+1)</f>
        <v/>
      </c>
    </row>
    <row r="1743">
      <c r="A1743" t="inlineStr">
        <is>
          <t>샘플종목16</t>
        </is>
      </c>
      <c r="B1743" s="3" t="n">
        <v>46192</v>
      </c>
      <c r="C1743" t="n">
        <v>97705</v>
      </c>
      <c r="D1743" t="n">
        <v>944074</v>
      </c>
      <c r="E1743">
        <f>IF(A1743="","",COUNTIFS($A$2:$A$20000,A1743,$B$2:$B$20000,"&gt;"&amp;B1743)+1)</f>
        <v/>
      </c>
    </row>
    <row r="1744">
      <c r="A1744" t="inlineStr">
        <is>
          <t>샘플종목16</t>
        </is>
      </c>
      <c r="B1744" s="3" t="n">
        <v>46199</v>
      </c>
      <c r="C1744" t="n">
        <v>92972</v>
      </c>
      <c r="D1744" t="n">
        <v>4421640</v>
      </c>
      <c r="E1744">
        <f>IF(A1744="","",COUNTIFS($A$2:$A$20000,A1744,$B$2:$B$20000,"&gt;"&amp;B1744)+1)</f>
        <v/>
      </c>
    </row>
    <row r="1745">
      <c r="A1745" t="inlineStr">
        <is>
          <t>샘플종목16</t>
        </is>
      </c>
      <c r="B1745" s="3" t="n">
        <v>46206</v>
      </c>
      <c r="C1745" t="n">
        <v>95944</v>
      </c>
      <c r="D1745" t="n">
        <v>7522348</v>
      </c>
      <c r="E1745">
        <f>IF(A1745="","",COUNTIFS($A$2:$A$20000,A1745,$B$2:$B$20000,"&gt;"&amp;B1745)+1)</f>
        <v/>
      </c>
    </row>
    <row r="1746">
      <c r="A1746" t="inlineStr">
        <is>
          <t>샘플종목16</t>
        </is>
      </c>
      <c r="B1746" s="3" t="n">
        <v>46213</v>
      </c>
      <c r="C1746" t="n">
        <v>95263</v>
      </c>
      <c r="D1746" t="n">
        <v>1050675</v>
      </c>
      <c r="E1746">
        <f>IF(A1746="","",COUNTIFS($A$2:$A$20000,A1746,$B$2:$B$20000,"&gt;"&amp;B1746)+1)</f>
        <v/>
      </c>
    </row>
    <row r="1747">
      <c r="A1747" t="inlineStr">
        <is>
          <t>샘플종목16</t>
        </is>
      </c>
      <c r="B1747" s="3" t="n">
        <v>46220</v>
      </c>
      <c r="C1747" t="n">
        <v>93420</v>
      </c>
      <c r="D1747" t="n">
        <v>2337977</v>
      </c>
      <c r="E1747">
        <f>IF(A1747="","",COUNTIFS($A$2:$A$20000,A1747,$B$2:$B$20000,"&gt;"&amp;B1747)+1)</f>
        <v/>
      </c>
    </row>
    <row r="1748">
      <c r="A1748" t="inlineStr">
        <is>
          <t>샘플종목16</t>
        </is>
      </c>
      <c r="B1748" s="3" t="n">
        <v>46227</v>
      </c>
      <c r="C1748" t="n">
        <v>100471</v>
      </c>
      <c r="D1748" t="n">
        <v>5026379</v>
      </c>
      <c r="E1748">
        <f>IF(A1748="","",COUNTIFS($A$2:$A$20000,A1748,$B$2:$B$20000,"&gt;"&amp;B1748)+1)</f>
        <v/>
      </c>
    </row>
    <row r="1749">
      <c r="A1749" t="inlineStr">
        <is>
          <t>샘플종목16</t>
        </is>
      </c>
      <c r="B1749" s="3" t="n">
        <v>46234</v>
      </c>
      <c r="C1749" t="n">
        <v>102654</v>
      </c>
      <c r="D1749" t="n">
        <v>4003514</v>
      </c>
      <c r="E1749">
        <f>IF(A1749="","",COUNTIFS($A$2:$A$20000,A1749,$B$2:$B$20000,"&gt;"&amp;B1749)+1)</f>
        <v/>
      </c>
    </row>
    <row r="1750">
      <c r="A1750" t="inlineStr">
        <is>
          <t>샘플종목16</t>
        </is>
      </c>
      <c r="B1750" s="3" t="n">
        <v>46241</v>
      </c>
      <c r="C1750" t="n">
        <v>108037</v>
      </c>
      <c r="D1750" t="n">
        <v>9504885</v>
      </c>
      <c r="E1750">
        <f>IF(A1750="","",COUNTIFS($A$2:$A$20000,A1750,$B$2:$B$20000,"&gt;"&amp;B1750)+1)</f>
        <v/>
      </c>
    </row>
    <row r="1751">
      <c r="A1751" t="inlineStr">
        <is>
          <t>샘플종목16</t>
        </is>
      </c>
      <c r="B1751" s="3" t="n">
        <v>46248</v>
      </c>
      <c r="C1751" t="n">
        <v>102785</v>
      </c>
      <c r="D1751" t="n">
        <v>2683503</v>
      </c>
      <c r="E1751">
        <f>IF(A1751="","",COUNTIFS($A$2:$A$20000,A1751,$B$2:$B$20000,"&gt;"&amp;B1751)+1)</f>
        <v/>
      </c>
    </row>
    <row r="1752">
      <c r="A1752" t="inlineStr">
        <is>
          <t>샘플종목16</t>
        </is>
      </c>
      <c r="B1752" s="3" t="n">
        <v>46255</v>
      </c>
      <c r="C1752" t="n">
        <v>101829</v>
      </c>
      <c r="D1752" t="n">
        <v>9306173</v>
      </c>
      <c r="E1752">
        <f>IF(A1752="","",COUNTIFS($A$2:$A$20000,A1752,$B$2:$B$20000,"&gt;"&amp;B1752)+1)</f>
        <v/>
      </c>
    </row>
    <row r="1753">
      <c r="A1753" t="inlineStr">
        <is>
          <t>샘플종목16</t>
        </is>
      </c>
      <c r="B1753" s="3" t="n">
        <v>46262</v>
      </c>
      <c r="C1753" t="n">
        <v>104962</v>
      </c>
      <c r="D1753" t="n">
        <v>3700058</v>
      </c>
      <c r="E1753">
        <f>IF(A1753="","",COUNTIFS($A$2:$A$20000,A1753,$B$2:$B$20000,"&gt;"&amp;B1753)+1)</f>
        <v/>
      </c>
    </row>
    <row r="1754">
      <c r="A1754" t="inlineStr">
        <is>
          <t>샘플종목16</t>
        </is>
      </c>
      <c r="B1754" s="3" t="n">
        <v>46269</v>
      </c>
      <c r="C1754" t="n">
        <v>109522</v>
      </c>
      <c r="D1754" t="n">
        <v>3972462</v>
      </c>
      <c r="E1754">
        <f>IF(A1754="","",COUNTIFS($A$2:$A$20000,A1754,$B$2:$B$20000,"&gt;"&amp;B1754)+1)</f>
        <v/>
      </c>
    </row>
    <row r="1755">
      <c r="A1755" t="inlineStr">
        <is>
          <t>샘플종목16</t>
        </is>
      </c>
      <c r="B1755" s="3" t="n">
        <v>46276</v>
      </c>
      <c r="C1755" t="n">
        <v>116148</v>
      </c>
      <c r="D1755" t="n">
        <v>6668299</v>
      </c>
      <c r="E1755">
        <f>IF(A1755="","",COUNTIFS($A$2:$A$20000,A1755,$B$2:$B$20000,"&gt;"&amp;B1755)+1)</f>
        <v/>
      </c>
    </row>
    <row r="1756">
      <c r="A1756" t="inlineStr">
        <is>
          <t>샘플종목16</t>
        </is>
      </c>
      <c r="B1756" s="3" t="n">
        <v>46283</v>
      </c>
      <c r="C1756" t="n">
        <v>120466</v>
      </c>
      <c r="D1756" t="n">
        <v>2716974</v>
      </c>
      <c r="E1756">
        <f>IF(A1756="","",COUNTIFS($A$2:$A$20000,A1756,$B$2:$B$20000,"&gt;"&amp;B1756)+1)</f>
        <v/>
      </c>
    </row>
    <row r="1757">
      <c r="A1757" t="inlineStr">
        <is>
          <t>샘플종목16</t>
        </is>
      </c>
      <c r="B1757" s="3" t="n">
        <v>46290</v>
      </c>
      <c r="C1757" t="n">
        <v>120013</v>
      </c>
      <c r="D1757" t="n">
        <v>4983182</v>
      </c>
      <c r="E1757">
        <f>IF(A1757="","",COUNTIFS($A$2:$A$20000,A1757,$B$2:$B$20000,"&gt;"&amp;B1757)+1)</f>
        <v/>
      </c>
    </row>
    <row r="1758">
      <c r="A1758" t="inlineStr">
        <is>
          <t>샘플종목16</t>
        </is>
      </c>
      <c r="B1758" s="3" t="n">
        <v>46297</v>
      </c>
      <c r="C1758" t="n">
        <v>121258</v>
      </c>
      <c r="D1758" t="n">
        <v>1670185</v>
      </c>
      <c r="E1758">
        <f>IF(A1758="","",COUNTIFS($A$2:$A$20000,A1758,$B$2:$B$20000,"&gt;"&amp;B1758)+1)</f>
        <v/>
      </c>
    </row>
    <row r="1759">
      <c r="A1759" t="inlineStr">
        <is>
          <t>샘플종목16</t>
        </is>
      </c>
      <c r="B1759" s="3" t="n">
        <v>46304</v>
      </c>
      <c r="C1759" t="n">
        <v>127508</v>
      </c>
      <c r="D1759" t="n">
        <v>3424507</v>
      </c>
      <c r="E1759">
        <f>IF(A1759="","",COUNTIFS($A$2:$A$20000,A1759,$B$2:$B$20000,"&gt;"&amp;B1759)+1)</f>
        <v/>
      </c>
    </row>
    <row r="1760">
      <c r="A1760" t="inlineStr">
        <is>
          <t>샘플종목16</t>
        </is>
      </c>
      <c r="B1760" s="3" t="n">
        <v>46311</v>
      </c>
      <c r="C1760" t="n">
        <v>119735</v>
      </c>
      <c r="D1760" t="n">
        <v>7311828</v>
      </c>
      <c r="E1760">
        <f>IF(A1760="","",COUNTIFS($A$2:$A$20000,A1760,$B$2:$B$20000,"&gt;"&amp;B1760)+1)</f>
        <v/>
      </c>
    </row>
    <row r="1761">
      <c r="A1761" t="inlineStr">
        <is>
          <t>샘플종목16</t>
        </is>
      </c>
      <c r="B1761" s="3" t="n">
        <v>46318</v>
      </c>
      <c r="C1761" t="n">
        <v>121686</v>
      </c>
      <c r="D1761" t="n">
        <v>5689860</v>
      </c>
      <c r="E1761">
        <f>IF(A1761="","",COUNTIFS($A$2:$A$20000,A1761,$B$2:$B$20000,"&gt;"&amp;B1761)+1)</f>
        <v/>
      </c>
    </row>
    <row r="1762">
      <c r="A1762" t="inlineStr">
        <is>
          <t>샘플종목17</t>
        </is>
      </c>
      <c r="B1762" s="3" t="n">
        <v>45555</v>
      </c>
      <c r="C1762" t="n">
        <v>145429</v>
      </c>
      <c r="D1762" t="n">
        <v>2148954</v>
      </c>
      <c r="E1762">
        <f>IF(A1762="","",COUNTIFS($A$2:$A$20000,A1762,$B$2:$B$20000,"&gt;"&amp;B1762)+1)</f>
        <v/>
      </c>
    </row>
    <row r="1763">
      <c r="A1763" t="inlineStr">
        <is>
          <t>샘플종목17</t>
        </is>
      </c>
      <c r="B1763" s="3" t="n">
        <v>45562</v>
      </c>
      <c r="C1763" t="n">
        <v>152912</v>
      </c>
      <c r="D1763" t="n">
        <v>3631182</v>
      </c>
      <c r="E1763">
        <f>IF(A1763="","",COUNTIFS($A$2:$A$20000,A1763,$B$2:$B$20000,"&gt;"&amp;B1763)+1)</f>
        <v/>
      </c>
    </row>
    <row r="1764">
      <c r="A1764" t="inlineStr">
        <is>
          <t>샘플종목17</t>
        </is>
      </c>
      <c r="B1764" s="3" t="n">
        <v>45569</v>
      </c>
      <c r="C1764" t="n">
        <v>167698</v>
      </c>
      <c r="D1764" t="n">
        <v>8930444</v>
      </c>
      <c r="E1764">
        <f>IF(A1764="","",COUNTIFS($A$2:$A$20000,A1764,$B$2:$B$20000,"&gt;"&amp;B1764)+1)</f>
        <v/>
      </c>
    </row>
    <row r="1765">
      <c r="A1765" t="inlineStr">
        <is>
          <t>샘플종목17</t>
        </is>
      </c>
      <c r="B1765" s="3" t="n">
        <v>45576</v>
      </c>
      <c r="C1765" t="n">
        <v>167647</v>
      </c>
      <c r="D1765" t="n">
        <v>1323635</v>
      </c>
      <c r="E1765">
        <f>IF(A1765="","",COUNTIFS($A$2:$A$20000,A1765,$B$2:$B$20000,"&gt;"&amp;B1765)+1)</f>
        <v/>
      </c>
    </row>
    <row r="1766">
      <c r="A1766" t="inlineStr">
        <is>
          <t>샘플종목17</t>
        </is>
      </c>
      <c r="B1766" s="3" t="n">
        <v>45583</v>
      </c>
      <c r="C1766" t="n">
        <v>166411</v>
      </c>
      <c r="D1766" t="n">
        <v>8430733</v>
      </c>
      <c r="E1766">
        <f>IF(A1766="","",COUNTIFS($A$2:$A$20000,A1766,$B$2:$B$20000,"&gt;"&amp;B1766)+1)</f>
        <v/>
      </c>
    </row>
    <row r="1767">
      <c r="A1767" t="inlineStr">
        <is>
          <t>샘플종목17</t>
        </is>
      </c>
      <c r="B1767" s="3" t="n">
        <v>45590</v>
      </c>
      <c r="C1767" t="n">
        <v>172699</v>
      </c>
      <c r="D1767" t="n">
        <v>1660138</v>
      </c>
      <c r="E1767">
        <f>IF(A1767="","",COUNTIFS($A$2:$A$20000,A1767,$B$2:$B$20000,"&gt;"&amp;B1767)+1)</f>
        <v/>
      </c>
    </row>
    <row r="1768">
      <c r="A1768" t="inlineStr">
        <is>
          <t>샘플종목17</t>
        </is>
      </c>
      <c r="B1768" s="3" t="n">
        <v>45597</v>
      </c>
      <c r="C1768" t="n">
        <v>174758</v>
      </c>
      <c r="D1768" t="n">
        <v>5182702</v>
      </c>
      <c r="E1768">
        <f>IF(A1768="","",COUNTIFS($A$2:$A$20000,A1768,$B$2:$B$20000,"&gt;"&amp;B1768)+1)</f>
        <v/>
      </c>
    </row>
    <row r="1769">
      <c r="A1769" t="inlineStr">
        <is>
          <t>샘플종목17</t>
        </is>
      </c>
      <c r="B1769" s="3" t="n">
        <v>45604</v>
      </c>
      <c r="C1769" t="n">
        <v>180502</v>
      </c>
      <c r="D1769" t="n">
        <v>9896375</v>
      </c>
      <c r="E1769">
        <f>IF(A1769="","",COUNTIFS($A$2:$A$20000,A1769,$B$2:$B$20000,"&gt;"&amp;B1769)+1)</f>
        <v/>
      </c>
    </row>
    <row r="1770">
      <c r="A1770" t="inlineStr">
        <is>
          <t>샘플종목17</t>
        </is>
      </c>
      <c r="B1770" s="3" t="n">
        <v>45611</v>
      </c>
      <c r="C1770" t="n">
        <v>177857</v>
      </c>
      <c r="D1770" t="n">
        <v>2443910</v>
      </c>
      <c r="E1770">
        <f>IF(A1770="","",COUNTIFS($A$2:$A$20000,A1770,$B$2:$B$20000,"&gt;"&amp;B1770)+1)</f>
        <v/>
      </c>
    </row>
    <row r="1771">
      <c r="A1771" t="inlineStr">
        <is>
          <t>샘플종목17</t>
        </is>
      </c>
      <c r="B1771" s="3" t="n">
        <v>45618</v>
      </c>
      <c r="C1771" t="n">
        <v>177438</v>
      </c>
      <c r="D1771" t="n">
        <v>7992936</v>
      </c>
      <c r="E1771">
        <f>IF(A1771="","",COUNTIFS($A$2:$A$20000,A1771,$B$2:$B$20000,"&gt;"&amp;B1771)+1)</f>
        <v/>
      </c>
    </row>
    <row r="1772">
      <c r="A1772" t="inlineStr">
        <is>
          <t>샘플종목17</t>
        </is>
      </c>
      <c r="B1772" s="3" t="n">
        <v>45625</v>
      </c>
      <c r="C1772" t="n">
        <v>175802</v>
      </c>
      <c r="D1772" t="n">
        <v>3911420</v>
      </c>
      <c r="E1772">
        <f>IF(A1772="","",COUNTIFS($A$2:$A$20000,A1772,$B$2:$B$20000,"&gt;"&amp;B1772)+1)</f>
        <v/>
      </c>
    </row>
    <row r="1773">
      <c r="A1773" t="inlineStr">
        <is>
          <t>샘플종목17</t>
        </is>
      </c>
      <c r="B1773" s="3" t="n">
        <v>45632</v>
      </c>
      <c r="C1773" t="n">
        <v>190891</v>
      </c>
      <c r="D1773" t="n">
        <v>9810446</v>
      </c>
      <c r="E1773">
        <f>IF(A1773="","",COUNTIFS($A$2:$A$20000,A1773,$B$2:$B$20000,"&gt;"&amp;B1773)+1)</f>
        <v/>
      </c>
    </row>
    <row r="1774">
      <c r="A1774" t="inlineStr">
        <is>
          <t>샘플종목17</t>
        </is>
      </c>
      <c r="B1774" s="3" t="n">
        <v>45639</v>
      </c>
      <c r="C1774" t="n">
        <v>193017</v>
      </c>
      <c r="D1774" t="n">
        <v>1788905</v>
      </c>
      <c r="E1774">
        <f>IF(A1774="","",COUNTIFS($A$2:$A$20000,A1774,$B$2:$B$20000,"&gt;"&amp;B1774)+1)</f>
        <v/>
      </c>
    </row>
    <row r="1775">
      <c r="A1775" t="inlineStr">
        <is>
          <t>샘플종목17</t>
        </is>
      </c>
      <c r="B1775" s="3" t="n">
        <v>45646</v>
      </c>
      <c r="C1775" t="n">
        <v>192499</v>
      </c>
      <c r="D1775" t="n">
        <v>122020</v>
      </c>
      <c r="E1775">
        <f>IF(A1775="","",COUNTIFS($A$2:$A$20000,A1775,$B$2:$B$20000,"&gt;"&amp;B1775)+1)</f>
        <v/>
      </c>
    </row>
    <row r="1776">
      <c r="A1776" t="inlineStr">
        <is>
          <t>샘플종목17</t>
        </is>
      </c>
      <c r="B1776" s="3" t="n">
        <v>45653</v>
      </c>
      <c r="C1776" t="n">
        <v>182547</v>
      </c>
      <c r="D1776" t="n">
        <v>5133570</v>
      </c>
      <c r="E1776">
        <f>IF(A1776="","",COUNTIFS($A$2:$A$20000,A1776,$B$2:$B$20000,"&gt;"&amp;B1776)+1)</f>
        <v/>
      </c>
    </row>
    <row r="1777">
      <c r="A1777" t="inlineStr">
        <is>
          <t>샘플종목17</t>
        </is>
      </c>
      <c r="B1777" s="3" t="n">
        <v>45660</v>
      </c>
      <c r="C1777" t="n">
        <v>197474</v>
      </c>
      <c r="D1777" t="n">
        <v>939795</v>
      </c>
      <c r="E1777">
        <f>IF(A1777="","",COUNTIFS($A$2:$A$20000,A1777,$B$2:$B$20000,"&gt;"&amp;B1777)+1)</f>
        <v/>
      </c>
    </row>
    <row r="1778">
      <c r="A1778" t="inlineStr">
        <is>
          <t>샘플종목17</t>
        </is>
      </c>
      <c r="B1778" s="3" t="n">
        <v>45667</v>
      </c>
      <c r="C1778" t="n">
        <v>201322</v>
      </c>
      <c r="D1778" t="n">
        <v>8170527</v>
      </c>
      <c r="E1778">
        <f>IF(A1778="","",COUNTIFS($A$2:$A$20000,A1778,$B$2:$B$20000,"&gt;"&amp;B1778)+1)</f>
        <v/>
      </c>
    </row>
    <row r="1779">
      <c r="A1779" t="inlineStr">
        <is>
          <t>샘플종목17</t>
        </is>
      </c>
      <c r="B1779" s="3" t="n">
        <v>45674</v>
      </c>
      <c r="C1779" t="n">
        <v>208322</v>
      </c>
      <c r="D1779" t="n">
        <v>4250622</v>
      </c>
      <c r="E1779">
        <f>IF(A1779="","",COUNTIFS($A$2:$A$20000,A1779,$B$2:$B$20000,"&gt;"&amp;B1779)+1)</f>
        <v/>
      </c>
    </row>
    <row r="1780">
      <c r="A1780" t="inlineStr">
        <is>
          <t>샘플종목17</t>
        </is>
      </c>
      <c r="B1780" s="3" t="n">
        <v>45681</v>
      </c>
      <c r="C1780" t="n">
        <v>204939</v>
      </c>
      <c r="D1780" t="n">
        <v>1939591</v>
      </c>
      <c r="E1780">
        <f>IF(A1780="","",COUNTIFS($A$2:$A$20000,A1780,$B$2:$B$20000,"&gt;"&amp;B1780)+1)</f>
        <v/>
      </c>
    </row>
    <row r="1781">
      <c r="A1781" t="inlineStr">
        <is>
          <t>샘플종목17</t>
        </is>
      </c>
      <c r="B1781" s="3" t="n">
        <v>45688</v>
      </c>
      <c r="C1781" t="n">
        <v>212194</v>
      </c>
      <c r="D1781" t="n">
        <v>5103507</v>
      </c>
      <c r="E1781">
        <f>IF(A1781="","",COUNTIFS($A$2:$A$20000,A1781,$B$2:$B$20000,"&gt;"&amp;B1781)+1)</f>
        <v/>
      </c>
    </row>
    <row r="1782">
      <c r="A1782" t="inlineStr">
        <is>
          <t>샘플종목17</t>
        </is>
      </c>
      <c r="B1782" s="3" t="n">
        <v>45695</v>
      </c>
      <c r="C1782" t="n">
        <v>217551</v>
      </c>
      <c r="D1782" t="n">
        <v>7733343</v>
      </c>
      <c r="E1782">
        <f>IF(A1782="","",COUNTIFS($A$2:$A$20000,A1782,$B$2:$B$20000,"&gt;"&amp;B1782)+1)</f>
        <v/>
      </c>
    </row>
    <row r="1783">
      <c r="A1783" t="inlineStr">
        <is>
          <t>샘플종목17</t>
        </is>
      </c>
      <c r="B1783" s="3" t="n">
        <v>45702</v>
      </c>
      <c r="C1783" t="n">
        <v>204977</v>
      </c>
      <c r="D1783" t="n">
        <v>1705053</v>
      </c>
      <c r="E1783">
        <f>IF(A1783="","",COUNTIFS($A$2:$A$20000,A1783,$B$2:$B$20000,"&gt;"&amp;B1783)+1)</f>
        <v/>
      </c>
    </row>
    <row r="1784">
      <c r="A1784" t="inlineStr">
        <is>
          <t>샘플종목17</t>
        </is>
      </c>
      <c r="B1784" s="3" t="n">
        <v>45709</v>
      </c>
      <c r="C1784" t="n">
        <v>205311</v>
      </c>
      <c r="D1784" t="n">
        <v>2807351</v>
      </c>
      <c r="E1784">
        <f>IF(A1784="","",COUNTIFS($A$2:$A$20000,A1784,$B$2:$B$20000,"&gt;"&amp;B1784)+1)</f>
        <v/>
      </c>
    </row>
    <row r="1785">
      <c r="A1785" t="inlineStr">
        <is>
          <t>샘플종목17</t>
        </is>
      </c>
      <c r="B1785" s="3" t="n">
        <v>45716</v>
      </c>
      <c r="C1785" t="n">
        <v>201701</v>
      </c>
      <c r="D1785" t="n">
        <v>6697862</v>
      </c>
      <c r="E1785">
        <f>IF(A1785="","",COUNTIFS($A$2:$A$20000,A1785,$B$2:$B$20000,"&gt;"&amp;B1785)+1)</f>
        <v/>
      </c>
    </row>
    <row r="1786">
      <c r="A1786" t="inlineStr">
        <is>
          <t>샘플종목17</t>
        </is>
      </c>
      <c r="B1786" s="3" t="n">
        <v>45723</v>
      </c>
      <c r="C1786" t="n">
        <v>200053</v>
      </c>
      <c r="D1786" t="n">
        <v>8712831</v>
      </c>
      <c r="E1786">
        <f>IF(A1786="","",COUNTIFS($A$2:$A$20000,A1786,$B$2:$B$20000,"&gt;"&amp;B1786)+1)</f>
        <v/>
      </c>
    </row>
    <row r="1787">
      <c r="A1787" t="inlineStr">
        <is>
          <t>샘플종목17</t>
        </is>
      </c>
      <c r="B1787" s="3" t="n">
        <v>45730</v>
      </c>
      <c r="C1787" t="n">
        <v>200956</v>
      </c>
      <c r="D1787" t="n">
        <v>9818009</v>
      </c>
      <c r="E1787">
        <f>IF(A1787="","",COUNTIFS($A$2:$A$20000,A1787,$B$2:$B$20000,"&gt;"&amp;B1787)+1)</f>
        <v/>
      </c>
    </row>
    <row r="1788">
      <c r="A1788" t="inlineStr">
        <is>
          <t>샘플종목17</t>
        </is>
      </c>
      <c r="B1788" s="3" t="n">
        <v>45737</v>
      </c>
      <c r="C1788" t="n">
        <v>210858</v>
      </c>
      <c r="D1788" t="n">
        <v>2314078</v>
      </c>
      <c r="E1788">
        <f>IF(A1788="","",COUNTIFS($A$2:$A$20000,A1788,$B$2:$B$20000,"&gt;"&amp;B1788)+1)</f>
        <v/>
      </c>
    </row>
    <row r="1789">
      <c r="A1789" t="inlineStr">
        <is>
          <t>샘플종목17</t>
        </is>
      </c>
      <c r="B1789" s="3" t="n">
        <v>45744</v>
      </c>
      <c r="C1789" t="n">
        <v>218260</v>
      </c>
      <c r="D1789" t="n">
        <v>7068014</v>
      </c>
      <c r="E1789">
        <f>IF(A1789="","",COUNTIFS($A$2:$A$20000,A1789,$B$2:$B$20000,"&gt;"&amp;B1789)+1)</f>
        <v/>
      </c>
    </row>
    <row r="1790">
      <c r="A1790" t="inlineStr">
        <is>
          <t>샘플종목17</t>
        </is>
      </c>
      <c r="B1790" s="3" t="n">
        <v>45751</v>
      </c>
      <c r="C1790" t="n">
        <v>211510</v>
      </c>
      <c r="D1790" t="n">
        <v>6386635</v>
      </c>
      <c r="E1790">
        <f>IF(A1790="","",COUNTIFS($A$2:$A$20000,A1790,$B$2:$B$20000,"&gt;"&amp;B1790)+1)</f>
        <v/>
      </c>
    </row>
    <row r="1791">
      <c r="A1791" t="inlineStr">
        <is>
          <t>샘플종목17</t>
        </is>
      </c>
      <c r="B1791" s="3" t="n">
        <v>45758</v>
      </c>
      <c r="C1791" t="n">
        <v>208218</v>
      </c>
      <c r="D1791" t="n">
        <v>2849523</v>
      </c>
      <c r="E1791">
        <f>IF(A1791="","",COUNTIFS($A$2:$A$20000,A1791,$B$2:$B$20000,"&gt;"&amp;B1791)+1)</f>
        <v/>
      </c>
    </row>
    <row r="1792">
      <c r="A1792" t="inlineStr">
        <is>
          <t>샘플종목17</t>
        </is>
      </c>
      <c r="B1792" s="3" t="n">
        <v>45765</v>
      </c>
      <c r="C1792" t="n">
        <v>200840</v>
      </c>
      <c r="D1792" t="n">
        <v>1610550</v>
      </c>
      <c r="E1792">
        <f>IF(A1792="","",COUNTIFS($A$2:$A$20000,A1792,$B$2:$B$20000,"&gt;"&amp;B1792)+1)</f>
        <v/>
      </c>
    </row>
    <row r="1793">
      <c r="A1793" t="inlineStr">
        <is>
          <t>샘플종목17</t>
        </is>
      </c>
      <c r="B1793" s="3" t="n">
        <v>45772</v>
      </c>
      <c r="C1793" t="n">
        <v>210395</v>
      </c>
      <c r="D1793" t="n">
        <v>5663842</v>
      </c>
      <c r="E1793">
        <f>IF(A1793="","",COUNTIFS($A$2:$A$20000,A1793,$B$2:$B$20000,"&gt;"&amp;B1793)+1)</f>
        <v/>
      </c>
    </row>
    <row r="1794">
      <c r="A1794" t="inlineStr">
        <is>
          <t>샘플종목17</t>
        </is>
      </c>
      <c r="B1794" s="3" t="n">
        <v>45779</v>
      </c>
      <c r="C1794" t="n">
        <v>222918</v>
      </c>
      <c r="D1794" t="n">
        <v>8157209</v>
      </c>
      <c r="E1794">
        <f>IF(A1794="","",COUNTIFS($A$2:$A$20000,A1794,$B$2:$B$20000,"&gt;"&amp;B1794)+1)</f>
        <v/>
      </c>
    </row>
    <row r="1795">
      <c r="A1795" t="inlineStr">
        <is>
          <t>샘플종목17</t>
        </is>
      </c>
      <c r="B1795" s="3" t="n">
        <v>45786</v>
      </c>
      <c r="C1795" t="n">
        <v>223763</v>
      </c>
      <c r="D1795" t="n">
        <v>5189930</v>
      </c>
      <c r="E1795">
        <f>IF(A1795="","",COUNTIFS($A$2:$A$20000,A1795,$B$2:$B$20000,"&gt;"&amp;B1795)+1)</f>
        <v/>
      </c>
    </row>
    <row r="1796">
      <c r="A1796" t="inlineStr">
        <is>
          <t>샘플종목17</t>
        </is>
      </c>
      <c r="B1796" s="3" t="n">
        <v>45793</v>
      </c>
      <c r="C1796" t="n">
        <v>226568</v>
      </c>
      <c r="D1796" t="n">
        <v>4105051</v>
      </c>
      <c r="E1796">
        <f>IF(A1796="","",COUNTIFS($A$2:$A$20000,A1796,$B$2:$B$20000,"&gt;"&amp;B1796)+1)</f>
        <v/>
      </c>
    </row>
    <row r="1797">
      <c r="A1797" t="inlineStr">
        <is>
          <t>샘플종목17</t>
        </is>
      </c>
      <c r="B1797" s="3" t="n">
        <v>45800</v>
      </c>
      <c r="C1797" t="n">
        <v>230264</v>
      </c>
      <c r="D1797" t="n">
        <v>2064124</v>
      </c>
      <c r="E1797">
        <f>IF(A1797="","",COUNTIFS($A$2:$A$20000,A1797,$B$2:$B$20000,"&gt;"&amp;B1797)+1)</f>
        <v/>
      </c>
    </row>
    <row r="1798">
      <c r="A1798" t="inlineStr">
        <is>
          <t>샘플종목17</t>
        </is>
      </c>
      <c r="B1798" s="3" t="n">
        <v>45807</v>
      </c>
      <c r="C1798" t="n">
        <v>234909</v>
      </c>
      <c r="D1798" t="n">
        <v>9177230</v>
      </c>
      <c r="E1798">
        <f>IF(A1798="","",COUNTIFS($A$2:$A$20000,A1798,$B$2:$B$20000,"&gt;"&amp;B1798)+1)</f>
        <v/>
      </c>
    </row>
    <row r="1799">
      <c r="A1799" t="inlineStr">
        <is>
          <t>샘플종목17</t>
        </is>
      </c>
      <c r="B1799" s="3" t="n">
        <v>45814</v>
      </c>
      <c r="C1799" t="n">
        <v>241500</v>
      </c>
      <c r="D1799" t="n">
        <v>2072708</v>
      </c>
      <c r="E1799">
        <f>IF(A1799="","",COUNTIFS($A$2:$A$20000,A1799,$B$2:$B$20000,"&gt;"&amp;B1799)+1)</f>
        <v/>
      </c>
    </row>
    <row r="1800">
      <c r="A1800" t="inlineStr">
        <is>
          <t>샘플종목17</t>
        </is>
      </c>
      <c r="B1800" s="3" t="n">
        <v>45821</v>
      </c>
      <c r="C1800" t="n">
        <v>238717</v>
      </c>
      <c r="D1800" t="n">
        <v>9635734</v>
      </c>
      <c r="E1800">
        <f>IF(A1800="","",COUNTIFS($A$2:$A$20000,A1800,$B$2:$B$20000,"&gt;"&amp;B1800)+1)</f>
        <v/>
      </c>
    </row>
    <row r="1801">
      <c r="A1801" t="inlineStr">
        <is>
          <t>샘플종목17</t>
        </is>
      </c>
      <c r="B1801" s="3" t="n">
        <v>45828</v>
      </c>
      <c r="C1801" t="n">
        <v>245602</v>
      </c>
      <c r="D1801" t="n">
        <v>9083655</v>
      </c>
      <c r="E1801">
        <f>IF(A1801="","",COUNTIFS($A$2:$A$20000,A1801,$B$2:$B$20000,"&gt;"&amp;B1801)+1)</f>
        <v/>
      </c>
    </row>
    <row r="1802">
      <c r="A1802" t="inlineStr">
        <is>
          <t>샘플종목17</t>
        </is>
      </c>
      <c r="B1802" s="3" t="n">
        <v>45835</v>
      </c>
      <c r="C1802" t="n">
        <v>253390</v>
      </c>
      <c r="D1802" t="n">
        <v>3417075</v>
      </c>
      <c r="E1802">
        <f>IF(A1802="","",COUNTIFS($A$2:$A$20000,A1802,$B$2:$B$20000,"&gt;"&amp;B1802)+1)</f>
        <v/>
      </c>
    </row>
    <row r="1803">
      <c r="A1803" t="inlineStr">
        <is>
          <t>샘플종목17</t>
        </is>
      </c>
      <c r="B1803" s="3" t="n">
        <v>45842</v>
      </c>
      <c r="C1803" t="n">
        <v>255934</v>
      </c>
      <c r="D1803" t="n">
        <v>4856068</v>
      </c>
      <c r="E1803">
        <f>IF(A1803="","",COUNTIFS($A$2:$A$20000,A1803,$B$2:$B$20000,"&gt;"&amp;B1803)+1)</f>
        <v/>
      </c>
    </row>
    <row r="1804">
      <c r="A1804" t="inlineStr">
        <is>
          <t>샘플종목17</t>
        </is>
      </c>
      <c r="B1804" s="3" t="n">
        <v>45849</v>
      </c>
      <c r="C1804" t="n">
        <v>250766</v>
      </c>
      <c r="D1804" t="n">
        <v>2232608</v>
      </c>
      <c r="E1804">
        <f>IF(A1804="","",COUNTIFS($A$2:$A$20000,A1804,$B$2:$B$20000,"&gt;"&amp;B1804)+1)</f>
        <v/>
      </c>
    </row>
    <row r="1805">
      <c r="A1805" t="inlineStr">
        <is>
          <t>샘플종목17</t>
        </is>
      </c>
      <c r="B1805" s="3" t="n">
        <v>45856</v>
      </c>
      <c r="C1805" t="n">
        <v>255116</v>
      </c>
      <c r="D1805" t="n">
        <v>4124592</v>
      </c>
      <c r="E1805">
        <f>IF(A1805="","",COUNTIFS($A$2:$A$20000,A1805,$B$2:$B$20000,"&gt;"&amp;B1805)+1)</f>
        <v/>
      </c>
    </row>
    <row r="1806">
      <c r="A1806" t="inlineStr">
        <is>
          <t>샘플종목17</t>
        </is>
      </c>
      <c r="B1806" s="3" t="n">
        <v>45863</v>
      </c>
      <c r="C1806" t="n">
        <v>253775</v>
      </c>
      <c r="D1806" t="n">
        <v>4120599</v>
      </c>
      <c r="E1806">
        <f>IF(A1806="","",COUNTIFS($A$2:$A$20000,A1806,$B$2:$B$20000,"&gt;"&amp;B1806)+1)</f>
        <v/>
      </c>
    </row>
    <row r="1807">
      <c r="A1807" t="inlineStr">
        <is>
          <t>샘플종목17</t>
        </is>
      </c>
      <c r="B1807" s="3" t="n">
        <v>45870</v>
      </c>
      <c r="C1807" t="n">
        <v>241860</v>
      </c>
      <c r="D1807" t="n">
        <v>1693742</v>
      </c>
      <c r="E1807">
        <f>IF(A1807="","",COUNTIFS($A$2:$A$20000,A1807,$B$2:$B$20000,"&gt;"&amp;B1807)+1)</f>
        <v/>
      </c>
    </row>
    <row r="1808">
      <c r="A1808" t="inlineStr">
        <is>
          <t>샘플종목17</t>
        </is>
      </c>
      <c r="B1808" s="3" t="n">
        <v>45877</v>
      </c>
      <c r="C1808" t="n">
        <v>265418</v>
      </c>
      <c r="D1808" t="n">
        <v>8294010</v>
      </c>
      <c r="E1808">
        <f>IF(A1808="","",COUNTIFS($A$2:$A$20000,A1808,$B$2:$B$20000,"&gt;"&amp;B1808)+1)</f>
        <v/>
      </c>
    </row>
    <row r="1809">
      <c r="A1809" t="inlineStr">
        <is>
          <t>샘플종목17</t>
        </is>
      </c>
      <c r="B1809" s="3" t="n">
        <v>45884</v>
      </c>
      <c r="C1809" t="n">
        <v>268361</v>
      </c>
      <c r="D1809" t="n">
        <v>9669918</v>
      </c>
      <c r="E1809">
        <f>IF(A1809="","",COUNTIFS($A$2:$A$20000,A1809,$B$2:$B$20000,"&gt;"&amp;B1809)+1)</f>
        <v/>
      </c>
    </row>
    <row r="1810">
      <c r="A1810" t="inlineStr">
        <is>
          <t>샘플종목17</t>
        </is>
      </c>
      <c r="B1810" s="3" t="n">
        <v>45891</v>
      </c>
      <c r="C1810" t="n">
        <v>273201</v>
      </c>
      <c r="D1810" t="n">
        <v>1560295</v>
      </c>
      <c r="E1810">
        <f>IF(A1810="","",COUNTIFS($A$2:$A$20000,A1810,$B$2:$B$20000,"&gt;"&amp;B1810)+1)</f>
        <v/>
      </c>
    </row>
    <row r="1811">
      <c r="A1811" t="inlineStr">
        <is>
          <t>샘플종목17</t>
        </is>
      </c>
      <c r="B1811" s="3" t="n">
        <v>45898</v>
      </c>
      <c r="C1811" t="n">
        <v>291240</v>
      </c>
      <c r="D1811" t="n">
        <v>2973559</v>
      </c>
      <c r="E1811">
        <f>IF(A1811="","",COUNTIFS($A$2:$A$20000,A1811,$B$2:$B$20000,"&gt;"&amp;B1811)+1)</f>
        <v/>
      </c>
    </row>
    <row r="1812">
      <c r="A1812" t="inlineStr">
        <is>
          <t>샘플종목17</t>
        </is>
      </c>
      <c r="B1812" s="3" t="n">
        <v>45905</v>
      </c>
      <c r="C1812" t="n">
        <v>297015</v>
      </c>
      <c r="D1812" t="n">
        <v>618752</v>
      </c>
      <c r="E1812">
        <f>IF(A1812="","",COUNTIFS($A$2:$A$20000,A1812,$B$2:$B$20000,"&gt;"&amp;B1812)+1)</f>
        <v/>
      </c>
    </row>
    <row r="1813">
      <c r="A1813" t="inlineStr">
        <is>
          <t>샘플종목17</t>
        </is>
      </c>
      <c r="B1813" s="3" t="n">
        <v>45912</v>
      </c>
      <c r="C1813" t="n">
        <v>305261</v>
      </c>
      <c r="D1813" t="n">
        <v>7213586</v>
      </c>
      <c r="E1813">
        <f>IF(A1813="","",COUNTIFS($A$2:$A$20000,A1813,$B$2:$B$20000,"&gt;"&amp;B1813)+1)</f>
        <v/>
      </c>
    </row>
    <row r="1814">
      <c r="A1814" t="inlineStr">
        <is>
          <t>샘플종목17</t>
        </is>
      </c>
      <c r="B1814" s="3" t="n">
        <v>45919</v>
      </c>
      <c r="C1814" t="n">
        <v>294312</v>
      </c>
      <c r="D1814" t="n">
        <v>4998238</v>
      </c>
      <c r="E1814">
        <f>IF(A1814="","",COUNTIFS($A$2:$A$20000,A1814,$B$2:$B$20000,"&gt;"&amp;B1814)+1)</f>
        <v/>
      </c>
    </row>
    <row r="1815">
      <c r="A1815" t="inlineStr">
        <is>
          <t>샘플종목17</t>
        </is>
      </c>
      <c r="B1815" s="3" t="n">
        <v>45926</v>
      </c>
      <c r="C1815" t="n">
        <v>303742</v>
      </c>
      <c r="D1815" t="n">
        <v>9659856</v>
      </c>
      <c r="E1815">
        <f>IF(A1815="","",COUNTIFS($A$2:$A$20000,A1815,$B$2:$B$20000,"&gt;"&amp;B1815)+1)</f>
        <v/>
      </c>
    </row>
    <row r="1816">
      <c r="A1816" t="inlineStr">
        <is>
          <t>샘플종목17</t>
        </is>
      </c>
      <c r="B1816" s="3" t="n">
        <v>45933</v>
      </c>
      <c r="C1816" t="n">
        <v>308289</v>
      </c>
      <c r="D1816" t="n">
        <v>9805906</v>
      </c>
      <c r="E1816">
        <f>IF(A1816="","",COUNTIFS($A$2:$A$20000,A1816,$B$2:$B$20000,"&gt;"&amp;B1816)+1)</f>
        <v/>
      </c>
    </row>
    <row r="1817">
      <c r="A1817" t="inlineStr">
        <is>
          <t>샘플종목17</t>
        </is>
      </c>
      <c r="B1817" s="3" t="n">
        <v>45940</v>
      </c>
      <c r="C1817" t="n">
        <v>305619</v>
      </c>
      <c r="D1817" t="n">
        <v>3751120</v>
      </c>
      <c r="E1817">
        <f>IF(A1817="","",COUNTIFS($A$2:$A$20000,A1817,$B$2:$B$20000,"&gt;"&amp;B1817)+1)</f>
        <v/>
      </c>
    </row>
    <row r="1818">
      <c r="A1818" t="inlineStr">
        <is>
          <t>샘플종목17</t>
        </is>
      </c>
      <c r="B1818" s="3" t="n">
        <v>45947</v>
      </c>
      <c r="C1818" t="n">
        <v>307889</v>
      </c>
      <c r="D1818" t="n">
        <v>8705789</v>
      </c>
      <c r="E1818">
        <f>IF(A1818="","",COUNTIFS($A$2:$A$20000,A1818,$B$2:$B$20000,"&gt;"&amp;B1818)+1)</f>
        <v/>
      </c>
    </row>
    <row r="1819">
      <c r="A1819" t="inlineStr">
        <is>
          <t>샘플종목17</t>
        </is>
      </c>
      <c r="B1819" s="3" t="n">
        <v>45954</v>
      </c>
      <c r="C1819" t="n">
        <v>324985</v>
      </c>
      <c r="D1819" t="n">
        <v>1142511</v>
      </c>
      <c r="E1819">
        <f>IF(A1819="","",COUNTIFS($A$2:$A$20000,A1819,$B$2:$B$20000,"&gt;"&amp;B1819)+1)</f>
        <v/>
      </c>
    </row>
    <row r="1820">
      <c r="A1820" t="inlineStr">
        <is>
          <t>샘플종목17</t>
        </is>
      </c>
      <c r="B1820" s="3" t="n">
        <v>45961</v>
      </c>
      <c r="C1820" t="n">
        <v>327830</v>
      </c>
      <c r="D1820" t="n">
        <v>5758875</v>
      </c>
      <c r="E1820">
        <f>IF(A1820="","",COUNTIFS($A$2:$A$20000,A1820,$B$2:$B$20000,"&gt;"&amp;B1820)+1)</f>
        <v/>
      </c>
    </row>
    <row r="1821">
      <c r="A1821" t="inlineStr">
        <is>
          <t>샘플종목17</t>
        </is>
      </c>
      <c r="B1821" s="3" t="n">
        <v>45968</v>
      </c>
      <c r="C1821" t="n">
        <v>323883</v>
      </c>
      <c r="D1821" t="n">
        <v>1745431</v>
      </c>
      <c r="E1821">
        <f>IF(A1821="","",COUNTIFS($A$2:$A$20000,A1821,$B$2:$B$20000,"&gt;"&amp;B1821)+1)</f>
        <v/>
      </c>
    </row>
    <row r="1822">
      <c r="A1822" t="inlineStr">
        <is>
          <t>샘플종목17</t>
        </is>
      </c>
      <c r="B1822" s="3" t="n">
        <v>45975</v>
      </c>
      <c r="C1822" t="n">
        <v>341910</v>
      </c>
      <c r="D1822" t="n">
        <v>3030980</v>
      </c>
      <c r="E1822">
        <f>IF(A1822="","",COUNTIFS($A$2:$A$20000,A1822,$B$2:$B$20000,"&gt;"&amp;B1822)+1)</f>
        <v/>
      </c>
    </row>
    <row r="1823">
      <c r="A1823" t="inlineStr">
        <is>
          <t>샘플종목17</t>
        </is>
      </c>
      <c r="B1823" s="3" t="n">
        <v>45982</v>
      </c>
      <c r="C1823" t="n">
        <v>347455</v>
      </c>
      <c r="D1823" t="n">
        <v>5193669</v>
      </c>
      <c r="E1823">
        <f>IF(A1823="","",COUNTIFS($A$2:$A$20000,A1823,$B$2:$B$20000,"&gt;"&amp;B1823)+1)</f>
        <v/>
      </c>
    </row>
    <row r="1824">
      <c r="A1824" t="inlineStr">
        <is>
          <t>샘플종목17</t>
        </is>
      </c>
      <c r="B1824" s="3" t="n">
        <v>45989</v>
      </c>
      <c r="C1824" t="n">
        <v>334289</v>
      </c>
      <c r="D1824" t="n">
        <v>7847547</v>
      </c>
      <c r="E1824">
        <f>IF(A1824="","",COUNTIFS($A$2:$A$20000,A1824,$B$2:$B$20000,"&gt;"&amp;B1824)+1)</f>
        <v/>
      </c>
    </row>
    <row r="1825">
      <c r="A1825" t="inlineStr">
        <is>
          <t>샘플종목17</t>
        </is>
      </c>
      <c r="B1825" s="3" t="n">
        <v>45996</v>
      </c>
      <c r="C1825" t="n">
        <v>355379</v>
      </c>
      <c r="D1825" t="n">
        <v>3166937</v>
      </c>
      <c r="E1825">
        <f>IF(A1825="","",COUNTIFS($A$2:$A$20000,A1825,$B$2:$B$20000,"&gt;"&amp;B1825)+1)</f>
        <v/>
      </c>
    </row>
    <row r="1826">
      <c r="A1826" t="inlineStr">
        <is>
          <t>샘플종목17</t>
        </is>
      </c>
      <c r="B1826" s="3" t="n">
        <v>46003</v>
      </c>
      <c r="C1826" t="n">
        <v>389764</v>
      </c>
      <c r="D1826" t="n">
        <v>7011706</v>
      </c>
      <c r="E1826">
        <f>IF(A1826="","",COUNTIFS($A$2:$A$20000,A1826,$B$2:$B$20000,"&gt;"&amp;B1826)+1)</f>
        <v/>
      </c>
    </row>
    <row r="1827">
      <c r="A1827" t="inlineStr">
        <is>
          <t>샘플종목17</t>
        </is>
      </c>
      <c r="B1827" s="3" t="n">
        <v>46010</v>
      </c>
      <c r="C1827" t="n">
        <v>393045</v>
      </c>
      <c r="D1827" t="n">
        <v>6930087</v>
      </c>
      <c r="E1827">
        <f>IF(A1827="","",COUNTIFS($A$2:$A$20000,A1827,$B$2:$B$20000,"&gt;"&amp;B1827)+1)</f>
        <v/>
      </c>
    </row>
    <row r="1828">
      <c r="A1828" t="inlineStr">
        <is>
          <t>샘플종목17</t>
        </is>
      </c>
      <c r="B1828" s="3" t="n">
        <v>46017</v>
      </c>
      <c r="C1828" t="n">
        <v>420982</v>
      </c>
      <c r="D1828" t="n">
        <v>2584115</v>
      </c>
      <c r="E1828">
        <f>IF(A1828="","",COUNTIFS($A$2:$A$20000,A1828,$B$2:$B$20000,"&gt;"&amp;B1828)+1)</f>
        <v/>
      </c>
    </row>
    <row r="1829">
      <c r="A1829" t="inlineStr">
        <is>
          <t>샘플종목17</t>
        </is>
      </c>
      <c r="B1829" s="3" t="n">
        <v>46024</v>
      </c>
      <c r="C1829" t="n">
        <v>427796</v>
      </c>
      <c r="D1829" t="n">
        <v>8679853</v>
      </c>
      <c r="E1829">
        <f>IF(A1829="","",COUNTIFS($A$2:$A$20000,A1829,$B$2:$B$20000,"&gt;"&amp;B1829)+1)</f>
        <v/>
      </c>
    </row>
    <row r="1830">
      <c r="A1830" t="inlineStr">
        <is>
          <t>샘플종목17</t>
        </is>
      </c>
      <c r="B1830" s="3" t="n">
        <v>46031</v>
      </c>
      <c r="C1830" t="n">
        <v>424413</v>
      </c>
      <c r="D1830" t="n">
        <v>5876719</v>
      </c>
      <c r="E1830">
        <f>IF(A1830="","",COUNTIFS($A$2:$A$20000,A1830,$B$2:$B$20000,"&gt;"&amp;B1830)+1)</f>
        <v/>
      </c>
    </row>
    <row r="1831">
      <c r="A1831" t="inlineStr">
        <is>
          <t>샘플종목17</t>
        </is>
      </c>
      <c r="B1831" s="3" t="n">
        <v>46038</v>
      </c>
      <c r="C1831" t="n">
        <v>416497</v>
      </c>
      <c r="D1831" t="n">
        <v>2455032</v>
      </c>
      <c r="E1831">
        <f>IF(A1831="","",COUNTIFS($A$2:$A$20000,A1831,$B$2:$B$20000,"&gt;"&amp;B1831)+1)</f>
        <v/>
      </c>
    </row>
    <row r="1832">
      <c r="A1832" t="inlineStr">
        <is>
          <t>샘플종목17</t>
        </is>
      </c>
      <c r="B1832" s="3" t="n">
        <v>46045</v>
      </c>
      <c r="C1832" t="n">
        <v>428194</v>
      </c>
      <c r="D1832" t="n">
        <v>5654273</v>
      </c>
      <c r="E1832">
        <f>IF(A1832="","",COUNTIFS($A$2:$A$20000,A1832,$B$2:$B$20000,"&gt;"&amp;B1832)+1)</f>
        <v/>
      </c>
    </row>
    <row r="1833">
      <c r="A1833" t="inlineStr">
        <is>
          <t>샘플종목17</t>
        </is>
      </c>
      <c r="B1833" s="3" t="n">
        <v>46052</v>
      </c>
      <c r="C1833" t="n">
        <v>466390</v>
      </c>
      <c r="D1833" t="n">
        <v>1222194</v>
      </c>
      <c r="E1833">
        <f>IF(A1833="","",COUNTIFS($A$2:$A$20000,A1833,$B$2:$B$20000,"&gt;"&amp;B1833)+1)</f>
        <v/>
      </c>
    </row>
    <row r="1834">
      <c r="A1834" t="inlineStr">
        <is>
          <t>샘플종목17</t>
        </is>
      </c>
      <c r="B1834" s="3" t="n">
        <v>46059</v>
      </c>
      <c r="C1834" t="n">
        <v>500357</v>
      </c>
      <c r="D1834" t="n">
        <v>8148488</v>
      </c>
      <c r="E1834">
        <f>IF(A1834="","",COUNTIFS($A$2:$A$20000,A1834,$B$2:$B$20000,"&gt;"&amp;B1834)+1)</f>
        <v/>
      </c>
    </row>
    <row r="1835">
      <c r="A1835" t="inlineStr">
        <is>
          <t>샘플종목17</t>
        </is>
      </c>
      <c r="B1835" s="3" t="n">
        <v>46066</v>
      </c>
      <c r="C1835" t="n">
        <v>500755</v>
      </c>
      <c r="D1835" t="n">
        <v>732985</v>
      </c>
      <c r="E1835">
        <f>IF(A1835="","",COUNTIFS($A$2:$A$20000,A1835,$B$2:$B$20000,"&gt;"&amp;B1835)+1)</f>
        <v/>
      </c>
    </row>
    <row r="1836">
      <c r="A1836" t="inlineStr">
        <is>
          <t>샘플종목17</t>
        </is>
      </c>
      <c r="B1836" s="3" t="n">
        <v>46073</v>
      </c>
      <c r="C1836" t="n">
        <v>466944</v>
      </c>
      <c r="D1836" t="n">
        <v>1258265</v>
      </c>
      <c r="E1836">
        <f>IF(A1836="","",COUNTIFS($A$2:$A$20000,A1836,$B$2:$B$20000,"&gt;"&amp;B1836)+1)</f>
        <v/>
      </c>
    </row>
    <row r="1837">
      <c r="A1837" t="inlineStr">
        <is>
          <t>샘플종목17</t>
        </is>
      </c>
      <c r="B1837" s="3" t="n">
        <v>46080</v>
      </c>
      <c r="C1837" t="n">
        <v>468423</v>
      </c>
      <c r="D1837" t="n">
        <v>1150951</v>
      </c>
      <c r="E1837">
        <f>IF(A1837="","",COUNTIFS($A$2:$A$20000,A1837,$B$2:$B$20000,"&gt;"&amp;B1837)+1)</f>
        <v/>
      </c>
    </row>
    <row r="1838">
      <c r="A1838" t="inlineStr">
        <is>
          <t>샘플종목17</t>
        </is>
      </c>
      <c r="B1838" s="3" t="n">
        <v>46087</v>
      </c>
      <c r="C1838" t="n">
        <v>477621</v>
      </c>
      <c r="D1838" t="n">
        <v>6233949</v>
      </c>
      <c r="E1838">
        <f>IF(A1838="","",COUNTIFS($A$2:$A$20000,A1838,$B$2:$B$20000,"&gt;"&amp;B1838)+1)</f>
        <v/>
      </c>
    </row>
    <row r="1839">
      <c r="A1839" t="inlineStr">
        <is>
          <t>샘플종목17</t>
        </is>
      </c>
      <c r="B1839" s="3" t="n">
        <v>46094</v>
      </c>
      <c r="C1839" t="n">
        <v>503980</v>
      </c>
      <c r="D1839" t="n">
        <v>7001367</v>
      </c>
      <c r="E1839">
        <f>IF(A1839="","",COUNTIFS($A$2:$A$20000,A1839,$B$2:$B$20000,"&gt;"&amp;B1839)+1)</f>
        <v/>
      </c>
    </row>
    <row r="1840">
      <c r="A1840" t="inlineStr">
        <is>
          <t>샘플종목17</t>
        </is>
      </c>
      <c r="B1840" s="3" t="n">
        <v>46101</v>
      </c>
      <c r="C1840" t="n">
        <v>531789</v>
      </c>
      <c r="D1840" t="n">
        <v>5958595</v>
      </c>
      <c r="E1840">
        <f>IF(A1840="","",COUNTIFS($A$2:$A$20000,A1840,$B$2:$B$20000,"&gt;"&amp;B1840)+1)</f>
        <v/>
      </c>
    </row>
    <row r="1841">
      <c r="A1841" t="inlineStr">
        <is>
          <t>샘플종목17</t>
        </is>
      </c>
      <c r="B1841" s="3" t="n">
        <v>46108</v>
      </c>
      <c r="C1841" t="n">
        <v>551400</v>
      </c>
      <c r="D1841" t="n">
        <v>9877381</v>
      </c>
      <c r="E1841">
        <f>IF(A1841="","",COUNTIFS($A$2:$A$20000,A1841,$B$2:$B$20000,"&gt;"&amp;B1841)+1)</f>
        <v/>
      </c>
    </row>
    <row r="1842">
      <c r="A1842" t="inlineStr">
        <is>
          <t>샘플종목17</t>
        </is>
      </c>
      <c r="B1842" s="3" t="n">
        <v>46115</v>
      </c>
      <c r="C1842" t="n">
        <v>582523</v>
      </c>
      <c r="D1842" t="n">
        <v>8425279</v>
      </c>
      <c r="E1842">
        <f>IF(A1842="","",COUNTIFS($A$2:$A$20000,A1842,$B$2:$B$20000,"&gt;"&amp;B1842)+1)</f>
        <v/>
      </c>
    </row>
    <row r="1843">
      <c r="A1843" t="inlineStr">
        <is>
          <t>샘플종목17</t>
        </is>
      </c>
      <c r="B1843" s="3" t="n">
        <v>46122</v>
      </c>
      <c r="C1843" t="n">
        <v>635243</v>
      </c>
      <c r="D1843" t="n">
        <v>2363940</v>
      </c>
      <c r="E1843">
        <f>IF(A1843="","",COUNTIFS($A$2:$A$20000,A1843,$B$2:$B$20000,"&gt;"&amp;B1843)+1)</f>
        <v/>
      </c>
    </row>
    <row r="1844">
      <c r="A1844" t="inlineStr">
        <is>
          <t>샘플종목17</t>
        </is>
      </c>
      <c r="B1844" s="3" t="n">
        <v>46129</v>
      </c>
      <c r="C1844" t="n">
        <v>634230</v>
      </c>
      <c r="D1844" t="n">
        <v>5182934</v>
      </c>
      <c r="E1844">
        <f>IF(A1844="","",COUNTIFS($A$2:$A$20000,A1844,$B$2:$B$20000,"&gt;"&amp;B1844)+1)</f>
        <v/>
      </c>
    </row>
    <row r="1845">
      <c r="A1845" t="inlineStr">
        <is>
          <t>샘플종목17</t>
        </is>
      </c>
      <c r="B1845" s="3" t="n">
        <v>46136</v>
      </c>
      <c r="C1845" t="n">
        <v>674456</v>
      </c>
      <c r="D1845" t="n">
        <v>985446</v>
      </c>
      <c r="E1845">
        <f>IF(A1845="","",COUNTIFS($A$2:$A$20000,A1845,$B$2:$B$20000,"&gt;"&amp;B1845)+1)</f>
        <v/>
      </c>
    </row>
    <row r="1846">
      <c r="A1846" t="inlineStr">
        <is>
          <t>샘플종목17</t>
        </is>
      </c>
      <c r="B1846" s="3" t="n">
        <v>46143</v>
      </c>
      <c r="C1846" t="n">
        <v>674191</v>
      </c>
      <c r="D1846" t="n">
        <v>2863617</v>
      </c>
      <c r="E1846">
        <f>IF(A1846="","",COUNTIFS($A$2:$A$20000,A1846,$B$2:$B$20000,"&gt;"&amp;B1846)+1)</f>
        <v/>
      </c>
    </row>
    <row r="1847">
      <c r="A1847" t="inlineStr">
        <is>
          <t>샘플종목17</t>
        </is>
      </c>
      <c r="B1847" s="3" t="n">
        <v>46150</v>
      </c>
      <c r="C1847" t="n">
        <v>624590</v>
      </c>
      <c r="D1847" t="n">
        <v>7403472</v>
      </c>
      <c r="E1847">
        <f>IF(A1847="","",COUNTIFS($A$2:$A$20000,A1847,$B$2:$B$20000,"&gt;"&amp;B1847)+1)</f>
        <v/>
      </c>
    </row>
    <row r="1848">
      <c r="A1848" t="inlineStr">
        <is>
          <t>샘플종목17</t>
        </is>
      </c>
      <c r="B1848" s="3" t="n">
        <v>46157</v>
      </c>
      <c r="C1848" t="n">
        <v>598937</v>
      </c>
      <c r="D1848" t="n">
        <v>8705854</v>
      </c>
      <c r="E1848">
        <f>IF(A1848="","",COUNTIFS($A$2:$A$20000,A1848,$B$2:$B$20000,"&gt;"&amp;B1848)+1)</f>
        <v/>
      </c>
    </row>
    <row r="1849">
      <c r="A1849" t="inlineStr">
        <is>
          <t>샘플종목17</t>
        </is>
      </c>
      <c r="B1849" s="3" t="n">
        <v>46164</v>
      </c>
      <c r="C1849" t="n">
        <v>622641</v>
      </c>
      <c r="D1849" t="n">
        <v>5115906</v>
      </c>
      <c r="E1849">
        <f>IF(A1849="","",COUNTIFS($A$2:$A$20000,A1849,$B$2:$B$20000,"&gt;"&amp;B1849)+1)</f>
        <v/>
      </c>
    </row>
    <row r="1850">
      <c r="A1850" t="inlineStr">
        <is>
          <t>샘플종목17</t>
        </is>
      </c>
      <c r="B1850" s="3" t="n">
        <v>46171</v>
      </c>
      <c r="C1850" t="n">
        <v>623472</v>
      </c>
      <c r="D1850" t="n">
        <v>2043442</v>
      </c>
      <c r="E1850">
        <f>IF(A1850="","",COUNTIFS($A$2:$A$20000,A1850,$B$2:$B$20000,"&gt;"&amp;B1850)+1)</f>
        <v/>
      </c>
    </row>
    <row r="1851">
      <c r="A1851" t="inlineStr">
        <is>
          <t>샘플종목17</t>
        </is>
      </c>
      <c r="B1851" s="3" t="n">
        <v>46178</v>
      </c>
      <c r="C1851" t="n">
        <v>591255</v>
      </c>
      <c r="D1851" t="n">
        <v>1241386</v>
      </c>
      <c r="E1851">
        <f>IF(A1851="","",COUNTIFS($A$2:$A$20000,A1851,$B$2:$B$20000,"&gt;"&amp;B1851)+1)</f>
        <v/>
      </c>
    </row>
    <row r="1852">
      <c r="A1852" t="inlineStr">
        <is>
          <t>샘플종목17</t>
        </is>
      </c>
      <c r="B1852" s="3" t="n">
        <v>46185</v>
      </c>
      <c r="C1852" t="n">
        <v>633246</v>
      </c>
      <c r="D1852" t="n">
        <v>4327932</v>
      </c>
      <c r="E1852">
        <f>IF(A1852="","",COUNTIFS($A$2:$A$20000,A1852,$B$2:$B$20000,"&gt;"&amp;B1852)+1)</f>
        <v/>
      </c>
    </row>
    <row r="1853">
      <c r="A1853" t="inlineStr">
        <is>
          <t>샘플종목17</t>
        </is>
      </c>
      <c r="B1853" s="3" t="n">
        <v>46192</v>
      </c>
      <c r="C1853" t="n">
        <v>625736</v>
      </c>
      <c r="D1853" t="n">
        <v>3993771</v>
      </c>
      <c r="E1853">
        <f>IF(A1853="","",COUNTIFS($A$2:$A$20000,A1853,$B$2:$B$20000,"&gt;"&amp;B1853)+1)</f>
        <v/>
      </c>
    </row>
    <row r="1854">
      <c r="A1854" t="inlineStr">
        <is>
          <t>샘플종목17</t>
        </is>
      </c>
      <c r="B1854" s="3" t="n">
        <v>46199</v>
      </c>
      <c r="C1854" t="n">
        <v>629057</v>
      </c>
      <c r="D1854" t="n">
        <v>9522181</v>
      </c>
      <c r="E1854">
        <f>IF(A1854="","",COUNTIFS($A$2:$A$20000,A1854,$B$2:$B$20000,"&gt;"&amp;B1854)+1)</f>
        <v/>
      </c>
    </row>
    <row r="1855">
      <c r="A1855" t="inlineStr">
        <is>
          <t>샘플종목17</t>
        </is>
      </c>
      <c r="B1855" s="3" t="n">
        <v>46206</v>
      </c>
      <c r="C1855" t="n">
        <v>663742</v>
      </c>
      <c r="D1855" t="n">
        <v>4070192</v>
      </c>
      <c r="E1855">
        <f>IF(A1855="","",COUNTIFS($A$2:$A$20000,A1855,$B$2:$B$20000,"&gt;"&amp;B1855)+1)</f>
        <v/>
      </c>
    </row>
    <row r="1856">
      <c r="A1856" t="inlineStr">
        <is>
          <t>샘플종목17</t>
        </is>
      </c>
      <c r="B1856" s="3" t="n">
        <v>46213</v>
      </c>
      <c r="C1856" t="n">
        <v>690021</v>
      </c>
      <c r="D1856" t="n">
        <v>942262</v>
      </c>
      <c r="E1856">
        <f>IF(A1856="","",COUNTIFS($A$2:$A$20000,A1856,$B$2:$B$20000,"&gt;"&amp;B1856)+1)</f>
        <v/>
      </c>
    </row>
    <row r="1857">
      <c r="A1857" t="inlineStr">
        <is>
          <t>샘플종목17</t>
        </is>
      </c>
      <c r="B1857" s="3" t="n">
        <v>46220</v>
      </c>
      <c r="C1857" t="n">
        <v>666283</v>
      </c>
      <c r="D1857" t="n">
        <v>6676888</v>
      </c>
      <c r="E1857">
        <f>IF(A1857="","",COUNTIFS($A$2:$A$20000,A1857,$B$2:$B$20000,"&gt;"&amp;B1857)+1)</f>
        <v/>
      </c>
    </row>
    <row r="1858">
      <c r="A1858" t="inlineStr">
        <is>
          <t>샘플종목17</t>
        </is>
      </c>
      <c r="B1858" s="3" t="n">
        <v>46227</v>
      </c>
      <c r="C1858" t="n">
        <v>653819</v>
      </c>
      <c r="D1858" t="n">
        <v>5848698</v>
      </c>
      <c r="E1858">
        <f>IF(A1858="","",COUNTIFS($A$2:$A$20000,A1858,$B$2:$B$20000,"&gt;"&amp;B1858)+1)</f>
        <v/>
      </c>
    </row>
    <row r="1859">
      <c r="A1859" t="inlineStr">
        <is>
          <t>샘플종목17</t>
        </is>
      </c>
      <c r="B1859" s="3" t="n">
        <v>46234</v>
      </c>
      <c r="C1859" t="n">
        <v>632683</v>
      </c>
      <c r="D1859" t="n">
        <v>6458885</v>
      </c>
      <c r="E1859">
        <f>IF(A1859="","",COUNTIFS($A$2:$A$20000,A1859,$B$2:$B$20000,"&gt;"&amp;B1859)+1)</f>
        <v/>
      </c>
    </row>
    <row r="1860">
      <c r="A1860" t="inlineStr">
        <is>
          <t>샘플종목17</t>
        </is>
      </c>
      <c r="B1860" s="3" t="n">
        <v>46241</v>
      </c>
      <c r="C1860" t="n">
        <v>624966</v>
      </c>
      <c r="D1860" t="n">
        <v>5797399</v>
      </c>
      <c r="E1860">
        <f>IF(A1860="","",COUNTIFS($A$2:$A$20000,A1860,$B$2:$B$20000,"&gt;"&amp;B1860)+1)</f>
        <v/>
      </c>
    </row>
    <row r="1861">
      <c r="A1861" t="inlineStr">
        <is>
          <t>샘플종목17</t>
        </is>
      </c>
      <c r="B1861" s="3" t="n">
        <v>46248</v>
      </c>
      <c r="C1861" t="n">
        <v>632145</v>
      </c>
      <c r="D1861" t="n">
        <v>7257021</v>
      </c>
      <c r="E1861">
        <f>IF(A1861="","",COUNTIFS($A$2:$A$20000,A1861,$B$2:$B$20000,"&gt;"&amp;B1861)+1)</f>
        <v/>
      </c>
    </row>
    <row r="1862">
      <c r="A1862" t="inlineStr">
        <is>
          <t>샘플종목17</t>
        </is>
      </c>
      <c r="B1862" s="3" t="n">
        <v>46255</v>
      </c>
      <c r="C1862" t="n">
        <v>634049</v>
      </c>
      <c r="D1862" t="n">
        <v>8304947</v>
      </c>
      <c r="E1862">
        <f>IF(A1862="","",COUNTIFS($A$2:$A$20000,A1862,$B$2:$B$20000,"&gt;"&amp;B1862)+1)</f>
        <v/>
      </c>
    </row>
    <row r="1863">
      <c r="A1863" t="inlineStr">
        <is>
          <t>샘플종목17</t>
        </is>
      </c>
      <c r="B1863" s="3" t="n">
        <v>46262</v>
      </c>
      <c r="C1863" t="n">
        <v>632997</v>
      </c>
      <c r="D1863" t="n">
        <v>374367</v>
      </c>
      <c r="E1863">
        <f>IF(A1863="","",COUNTIFS($A$2:$A$20000,A1863,$B$2:$B$20000,"&gt;"&amp;B1863)+1)</f>
        <v/>
      </c>
    </row>
    <row r="1864">
      <c r="A1864" t="inlineStr">
        <is>
          <t>샘플종목17</t>
        </is>
      </c>
      <c r="B1864" s="3" t="n">
        <v>46269</v>
      </c>
      <c r="C1864" t="n">
        <v>683776</v>
      </c>
      <c r="D1864" t="n">
        <v>8075616</v>
      </c>
      <c r="E1864">
        <f>IF(A1864="","",COUNTIFS($A$2:$A$20000,A1864,$B$2:$B$20000,"&gt;"&amp;B1864)+1)</f>
        <v/>
      </c>
    </row>
    <row r="1865">
      <c r="A1865" t="inlineStr">
        <is>
          <t>샘플종목17</t>
        </is>
      </c>
      <c r="B1865" s="3" t="n">
        <v>46276</v>
      </c>
      <c r="C1865" t="n">
        <v>668133</v>
      </c>
      <c r="D1865" t="n">
        <v>7123902</v>
      </c>
      <c r="E1865">
        <f>IF(A1865="","",COUNTIFS($A$2:$A$20000,A1865,$B$2:$B$20000,"&gt;"&amp;B1865)+1)</f>
        <v/>
      </c>
    </row>
    <row r="1866">
      <c r="A1866" t="inlineStr">
        <is>
          <t>샘플종목17</t>
        </is>
      </c>
      <c r="B1866" s="3" t="n">
        <v>46283</v>
      </c>
      <c r="C1866" t="n">
        <v>650371</v>
      </c>
      <c r="D1866" t="n">
        <v>2546625</v>
      </c>
      <c r="E1866">
        <f>IF(A1866="","",COUNTIFS($A$2:$A$20000,A1866,$B$2:$B$20000,"&gt;"&amp;B1866)+1)</f>
        <v/>
      </c>
    </row>
    <row r="1867">
      <c r="A1867" t="inlineStr">
        <is>
          <t>샘플종목17</t>
        </is>
      </c>
      <c r="B1867" s="3" t="n">
        <v>46290</v>
      </c>
      <c r="C1867" t="n">
        <v>663338</v>
      </c>
      <c r="D1867" t="n">
        <v>5727368</v>
      </c>
      <c r="E1867">
        <f>IF(A1867="","",COUNTIFS($A$2:$A$20000,A1867,$B$2:$B$20000,"&gt;"&amp;B1867)+1)</f>
        <v/>
      </c>
    </row>
    <row r="1868">
      <c r="A1868" t="inlineStr">
        <is>
          <t>샘플종목17</t>
        </is>
      </c>
      <c r="B1868" s="3" t="n">
        <v>46297</v>
      </c>
      <c r="C1868" t="n">
        <v>654059</v>
      </c>
      <c r="D1868" t="n">
        <v>6708055</v>
      </c>
      <c r="E1868">
        <f>IF(A1868="","",COUNTIFS($A$2:$A$20000,A1868,$B$2:$B$20000,"&gt;"&amp;B1868)+1)</f>
        <v/>
      </c>
    </row>
    <row r="1869">
      <c r="A1869" t="inlineStr">
        <is>
          <t>샘플종목17</t>
        </is>
      </c>
      <c r="B1869" s="3" t="n">
        <v>46304</v>
      </c>
      <c r="C1869" t="n">
        <v>652300</v>
      </c>
      <c r="D1869" t="n">
        <v>7917157</v>
      </c>
      <c r="E1869">
        <f>IF(A1869="","",COUNTIFS($A$2:$A$20000,A1869,$B$2:$B$20000,"&gt;"&amp;B1869)+1)</f>
        <v/>
      </c>
    </row>
    <row r="1870">
      <c r="A1870" t="inlineStr">
        <is>
          <t>샘플종목17</t>
        </is>
      </c>
      <c r="B1870" s="3" t="n">
        <v>46311</v>
      </c>
      <c r="C1870" t="n">
        <v>637726</v>
      </c>
      <c r="D1870" t="n">
        <v>1575996</v>
      </c>
      <c r="E1870">
        <f>IF(A1870="","",COUNTIFS($A$2:$A$20000,A1870,$B$2:$B$20000,"&gt;"&amp;B1870)+1)</f>
        <v/>
      </c>
    </row>
    <row r="1871">
      <c r="A1871" t="inlineStr">
        <is>
          <t>샘플종목17</t>
        </is>
      </c>
      <c r="B1871" s="3" t="n">
        <v>46318</v>
      </c>
      <c r="C1871" t="n">
        <v>624557</v>
      </c>
      <c r="D1871" t="n">
        <v>4646788</v>
      </c>
      <c r="E1871">
        <f>IF(A1871="","",COUNTIFS($A$2:$A$20000,A1871,$B$2:$B$20000,"&gt;"&amp;B1871)+1)</f>
        <v/>
      </c>
    </row>
    <row r="1872">
      <c r="A1872" t="inlineStr">
        <is>
          <t>샘플종목18</t>
        </is>
      </c>
      <c r="B1872" s="3" t="n">
        <v>45555</v>
      </c>
      <c r="C1872" t="n">
        <v>42911</v>
      </c>
      <c r="D1872" t="n">
        <v>9129118</v>
      </c>
      <c r="E1872">
        <f>IF(A1872="","",COUNTIFS($A$2:$A$20000,A1872,$B$2:$B$20000,"&gt;"&amp;B1872)+1)</f>
        <v/>
      </c>
    </row>
    <row r="1873">
      <c r="A1873" t="inlineStr">
        <is>
          <t>샘플종목18</t>
        </is>
      </c>
      <c r="B1873" s="3" t="n">
        <v>45562</v>
      </c>
      <c r="C1873" t="n">
        <v>41873</v>
      </c>
      <c r="D1873" t="n">
        <v>4155564</v>
      </c>
      <c r="E1873">
        <f>IF(A1873="","",COUNTIFS($A$2:$A$20000,A1873,$B$2:$B$20000,"&gt;"&amp;B1873)+1)</f>
        <v/>
      </c>
    </row>
    <row r="1874">
      <c r="A1874" t="inlineStr">
        <is>
          <t>샘플종목18</t>
        </is>
      </c>
      <c r="B1874" s="3" t="n">
        <v>45569</v>
      </c>
      <c r="C1874" t="n">
        <v>43800</v>
      </c>
      <c r="D1874" t="n">
        <v>796618</v>
      </c>
      <c r="E1874">
        <f>IF(A1874="","",COUNTIFS($A$2:$A$20000,A1874,$B$2:$B$20000,"&gt;"&amp;B1874)+1)</f>
        <v/>
      </c>
    </row>
    <row r="1875">
      <c r="A1875" t="inlineStr">
        <is>
          <t>샘플종목18</t>
        </is>
      </c>
      <c r="B1875" s="3" t="n">
        <v>45576</v>
      </c>
      <c r="C1875" t="n">
        <v>45714</v>
      </c>
      <c r="D1875" t="n">
        <v>6402309</v>
      </c>
      <c r="E1875">
        <f>IF(A1875="","",COUNTIFS($A$2:$A$20000,A1875,$B$2:$B$20000,"&gt;"&amp;B1875)+1)</f>
        <v/>
      </c>
    </row>
    <row r="1876">
      <c r="A1876" t="inlineStr">
        <is>
          <t>샘플종목18</t>
        </is>
      </c>
      <c r="B1876" s="3" t="n">
        <v>45583</v>
      </c>
      <c r="C1876" t="n">
        <v>46321</v>
      </c>
      <c r="D1876" t="n">
        <v>4654688</v>
      </c>
      <c r="E1876">
        <f>IF(A1876="","",COUNTIFS($A$2:$A$20000,A1876,$B$2:$B$20000,"&gt;"&amp;B1876)+1)</f>
        <v/>
      </c>
    </row>
    <row r="1877">
      <c r="A1877" t="inlineStr">
        <is>
          <t>샘플종목18</t>
        </is>
      </c>
      <c r="B1877" s="3" t="n">
        <v>45590</v>
      </c>
      <c r="C1877" t="n">
        <v>45354</v>
      </c>
      <c r="D1877" t="n">
        <v>5681128</v>
      </c>
      <c r="E1877">
        <f>IF(A1877="","",COUNTIFS($A$2:$A$20000,A1877,$B$2:$B$20000,"&gt;"&amp;B1877)+1)</f>
        <v/>
      </c>
    </row>
    <row r="1878">
      <c r="A1878" t="inlineStr">
        <is>
          <t>샘플종목18</t>
        </is>
      </c>
      <c r="B1878" s="3" t="n">
        <v>45597</v>
      </c>
      <c r="C1878" t="n">
        <v>47105</v>
      </c>
      <c r="D1878" t="n">
        <v>3861457</v>
      </c>
      <c r="E1878">
        <f>IF(A1878="","",COUNTIFS($A$2:$A$20000,A1878,$B$2:$B$20000,"&gt;"&amp;B1878)+1)</f>
        <v/>
      </c>
    </row>
    <row r="1879">
      <c r="A1879" t="inlineStr">
        <is>
          <t>샘플종목18</t>
        </is>
      </c>
      <c r="B1879" s="3" t="n">
        <v>45604</v>
      </c>
      <c r="C1879" t="n">
        <v>46730</v>
      </c>
      <c r="D1879" t="n">
        <v>5998026</v>
      </c>
      <c r="E1879">
        <f>IF(A1879="","",COUNTIFS($A$2:$A$20000,A1879,$B$2:$B$20000,"&gt;"&amp;B1879)+1)</f>
        <v/>
      </c>
    </row>
    <row r="1880">
      <c r="A1880" t="inlineStr">
        <is>
          <t>샘플종목18</t>
        </is>
      </c>
      <c r="B1880" s="3" t="n">
        <v>45611</v>
      </c>
      <c r="C1880" t="n">
        <v>48799</v>
      </c>
      <c r="D1880" t="n">
        <v>6716181</v>
      </c>
      <c r="E1880">
        <f>IF(A1880="","",COUNTIFS($A$2:$A$20000,A1880,$B$2:$B$20000,"&gt;"&amp;B1880)+1)</f>
        <v/>
      </c>
    </row>
    <row r="1881">
      <c r="A1881" t="inlineStr">
        <is>
          <t>샘플종목18</t>
        </is>
      </c>
      <c r="B1881" s="3" t="n">
        <v>45618</v>
      </c>
      <c r="C1881" t="n">
        <v>47187</v>
      </c>
      <c r="D1881" t="n">
        <v>5276917</v>
      </c>
      <c r="E1881">
        <f>IF(A1881="","",COUNTIFS($A$2:$A$20000,A1881,$B$2:$B$20000,"&gt;"&amp;B1881)+1)</f>
        <v/>
      </c>
    </row>
    <row r="1882">
      <c r="A1882" t="inlineStr">
        <is>
          <t>샘플종목18</t>
        </is>
      </c>
      <c r="B1882" s="3" t="n">
        <v>45625</v>
      </c>
      <c r="C1882" t="n">
        <v>42567</v>
      </c>
      <c r="D1882" t="n">
        <v>8601918</v>
      </c>
      <c r="E1882">
        <f>IF(A1882="","",COUNTIFS($A$2:$A$20000,A1882,$B$2:$B$20000,"&gt;"&amp;B1882)+1)</f>
        <v/>
      </c>
    </row>
    <row r="1883">
      <c r="A1883" t="inlineStr">
        <is>
          <t>샘플종목18</t>
        </is>
      </c>
      <c r="B1883" s="3" t="n">
        <v>45632</v>
      </c>
      <c r="C1883" t="n">
        <v>42661</v>
      </c>
      <c r="D1883" t="n">
        <v>3278403</v>
      </c>
      <c r="E1883">
        <f>IF(A1883="","",COUNTIFS($A$2:$A$20000,A1883,$B$2:$B$20000,"&gt;"&amp;B1883)+1)</f>
        <v/>
      </c>
    </row>
    <row r="1884">
      <c r="A1884" t="inlineStr">
        <is>
          <t>샘플종목18</t>
        </is>
      </c>
      <c r="B1884" s="3" t="n">
        <v>45639</v>
      </c>
      <c r="C1884" t="n">
        <v>45532</v>
      </c>
      <c r="D1884" t="n">
        <v>6658818</v>
      </c>
      <c r="E1884">
        <f>IF(A1884="","",COUNTIFS($A$2:$A$20000,A1884,$B$2:$B$20000,"&gt;"&amp;B1884)+1)</f>
        <v/>
      </c>
    </row>
    <row r="1885">
      <c r="A1885" t="inlineStr">
        <is>
          <t>샘플종목18</t>
        </is>
      </c>
      <c r="B1885" s="3" t="n">
        <v>45646</v>
      </c>
      <c r="C1885" t="n">
        <v>41876</v>
      </c>
      <c r="D1885" t="n">
        <v>8944836</v>
      </c>
      <c r="E1885">
        <f>IF(A1885="","",COUNTIFS($A$2:$A$20000,A1885,$B$2:$B$20000,"&gt;"&amp;B1885)+1)</f>
        <v/>
      </c>
    </row>
    <row r="1886">
      <c r="A1886" t="inlineStr">
        <is>
          <t>샘플종목18</t>
        </is>
      </c>
      <c r="B1886" s="3" t="n">
        <v>45653</v>
      </c>
      <c r="C1886" t="n">
        <v>45237</v>
      </c>
      <c r="D1886" t="n">
        <v>1840494</v>
      </c>
      <c r="E1886">
        <f>IF(A1886="","",COUNTIFS($A$2:$A$20000,A1886,$B$2:$B$20000,"&gt;"&amp;B1886)+1)</f>
        <v/>
      </c>
    </row>
    <row r="1887">
      <c r="A1887" t="inlineStr">
        <is>
          <t>샘플종목18</t>
        </is>
      </c>
      <c r="B1887" s="3" t="n">
        <v>45660</v>
      </c>
      <c r="C1887" t="n">
        <v>45529</v>
      </c>
      <c r="D1887" t="n">
        <v>4225072</v>
      </c>
      <c r="E1887">
        <f>IF(A1887="","",COUNTIFS($A$2:$A$20000,A1887,$B$2:$B$20000,"&gt;"&amp;B1887)+1)</f>
        <v/>
      </c>
    </row>
    <row r="1888">
      <c r="A1888" t="inlineStr">
        <is>
          <t>샘플종목18</t>
        </is>
      </c>
      <c r="B1888" s="3" t="n">
        <v>45667</v>
      </c>
      <c r="C1888" t="n">
        <v>42439</v>
      </c>
      <c r="D1888" t="n">
        <v>4307929</v>
      </c>
      <c r="E1888">
        <f>IF(A1888="","",COUNTIFS($A$2:$A$20000,A1888,$B$2:$B$20000,"&gt;"&amp;B1888)+1)</f>
        <v/>
      </c>
    </row>
    <row r="1889">
      <c r="A1889" t="inlineStr">
        <is>
          <t>샘플종목18</t>
        </is>
      </c>
      <c r="B1889" s="3" t="n">
        <v>45674</v>
      </c>
      <c r="C1889" t="n">
        <v>43394</v>
      </c>
      <c r="D1889" t="n">
        <v>6010679</v>
      </c>
      <c r="E1889">
        <f>IF(A1889="","",COUNTIFS($A$2:$A$20000,A1889,$B$2:$B$20000,"&gt;"&amp;B1889)+1)</f>
        <v/>
      </c>
    </row>
    <row r="1890">
      <c r="A1890" t="inlineStr">
        <is>
          <t>샘플종목18</t>
        </is>
      </c>
      <c r="B1890" s="3" t="n">
        <v>45681</v>
      </c>
      <c r="C1890" t="n">
        <v>41240</v>
      </c>
      <c r="D1890" t="n">
        <v>8721256</v>
      </c>
      <c r="E1890">
        <f>IF(A1890="","",COUNTIFS($A$2:$A$20000,A1890,$B$2:$B$20000,"&gt;"&amp;B1890)+1)</f>
        <v/>
      </c>
    </row>
    <row r="1891">
      <c r="A1891" t="inlineStr">
        <is>
          <t>샘플종목18</t>
        </is>
      </c>
      <c r="B1891" s="3" t="n">
        <v>45688</v>
      </c>
      <c r="C1891" t="n">
        <v>37062</v>
      </c>
      <c r="D1891" t="n">
        <v>6419772</v>
      </c>
      <c r="E1891">
        <f>IF(A1891="","",COUNTIFS($A$2:$A$20000,A1891,$B$2:$B$20000,"&gt;"&amp;B1891)+1)</f>
        <v/>
      </c>
    </row>
    <row r="1892">
      <c r="A1892" t="inlineStr">
        <is>
          <t>샘플종목18</t>
        </is>
      </c>
      <c r="B1892" s="3" t="n">
        <v>45695</v>
      </c>
      <c r="C1892" t="n">
        <v>38776</v>
      </c>
      <c r="D1892" t="n">
        <v>4350360</v>
      </c>
      <c r="E1892">
        <f>IF(A1892="","",COUNTIFS($A$2:$A$20000,A1892,$B$2:$B$20000,"&gt;"&amp;B1892)+1)</f>
        <v/>
      </c>
    </row>
    <row r="1893">
      <c r="A1893" t="inlineStr">
        <is>
          <t>샘플종목18</t>
        </is>
      </c>
      <c r="B1893" s="3" t="n">
        <v>45702</v>
      </c>
      <c r="C1893" t="n">
        <v>40801</v>
      </c>
      <c r="D1893" t="n">
        <v>7079785</v>
      </c>
      <c r="E1893">
        <f>IF(A1893="","",COUNTIFS($A$2:$A$20000,A1893,$B$2:$B$20000,"&gt;"&amp;B1893)+1)</f>
        <v/>
      </c>
    </row>
    <row r="1894">
      <c r="A1894" t="inlineStr">
        <is>
          <t>샘플종목18</t>
        </is>
      </c>
      <c r="B1894" s="3" t="n">
        <v>45709</v>
      </c>
      <c r="C1894" t="n">
        <v>42910</v>
      </c>
      <c r="D1894" t="n">
        <v>7550712</v>
      </c>
      <c r="E1894">
        <f>IF(A1894="","",COUNTIFS($A$2:$A$20000,A1894,$B$2:$B$20000,"&gt;"&amp;B1894)+1)</f>
        <v/>
      </c>
    </row>
    <row r="1895">
      <c r="A1895" t="inlineStr">
        <is>
          <t>샘플종목18</t>
        </is>
      </c>
      <c r="B1895" s="3" t="n">
        <v>45716</v>
      </c>
      <c r="C1895" t="n">
        <v>44098</v>
      </c>
      <c r="D1895" t="n">
        <v>4568516</v>
      </c>
      <c r="E1895">
        <f>IF(A1895="","",COUNTIFS($A$2:$A$20000,A1895,$B$2:$B$20000,"&gt;"&amp;B1895)+1)</f>
        <v/>
      </c>
    </row>
    <row r="1896">
      <c r="A1896" t="inlineStr">
        <is>
          <t>샘플종목18</t>
        </is>
      </c>
      <c r="B1896" s="3" t="n">
        <v>45723</v>
      </c>
      <c r="C1896" t="n">
        <v>45800</v>
      </c>
      <c r="D1896" t="n">
        <v>6405937</v>
      </c>
      <c r="E1896">
        <f>IF(A1896="","",COUNTIFS($A$2:$A$20000,A1896,$B$2:$B$20000,"&gt;"&amp;B1896)+1)</f>
        <v/>
      </c>
    </row>
    <row r="1897">
      <c r="A1897" t="inlineStr">
        <is>
          <t>샘플종목18</t>
        </is>
      </c>
      <c r="B1897" s="3" t="n">
        <v>45730</v>
      </c>
      <c r="C1897" t="n">
        <v>45437</v>
      </c>
      <c r="D1897" t="n">
        <v>8860748</v>
      </c>
      <c r="E1897">
        <f>IF(A1897="","",COUNTIFS($A$2:$A$20000,A1897,$B$2:$B$20000,"&gt;"&amp;B1897)+1)</f>
        <v/>
      </c>
    </row>
    <row r="1898">
      <c r="A1898" t="inlineStr">
        <is>
          <t>샘플종목18</t>
        </is>
      </c>
      <c r="B1898" s="3" t="n">
        <v>45737</v>
      </c>
      <c r="C1898" t="n">
        <v>45758</v>
      </c>
      <c r="D1898" t="n">
        <v>8457009</v>
      </c>
      <c r="E1898">
        <f>IF(A1898="","",COUNTIFS($A$2:$A$20000,A1898,$B$2:$B$20000,"&gt;"&amp;B1898)+1)</f>
        <v/>
      </c>
    </row>
    <row r="1899">
      <c r="A1899" t="inlineStr">
        <is>
          <t>샘플종목18</t>
        </is>
      </c>
      <c r="B1899" s="3" t="n">
        <v>45744</v>
      </c>
      <c r="C1899" t="n">
        <v>45250</v>
      </c>
      <c r="D1899" t="n">
        <v>8376882</v>
      </c>
      <c r="E1899">
        <f>IF(A1899="","",COUNTIFS($A$2:$A$20000,A1899,$B$2:$B$20000,"&gt;"&amp;B1899)+1)</f>
        <v/>
      </c>
    </row>
    <row r="1900">
      <c r="A1900" t="inlineStr">
        <is>
          <t>샘플종목18</t>
        </is>
      </c>
      <c r="B1900" s="3" t="n">
        <v>45751</v>
      </c>
      <c r="C1900" t="n">
        <v>42098</v>
      </c>
      <c r="D1900" t="n">
        <v>1055957</v>
      </c>
      <c r="E1900">
        <f>IF(A1900="","",COUNTIFS($A$2:$A$20000,A1900,$B$2:$B$20000,"&gt;"&amp;B1900)+1)</f>
        <v/>
      </c>
    </row>
    <row r="1901">
      <c r="A1901" t="inlineStr">
        <is>
          <t>샘플종목18</t>
        </is>
      </c>
      <c r="B1901" s="3" t="n">
        <v>45758</v>
      </c>
      <c r="C1901" t="n">
        <v>45660</v>
      </c>
      <c r="D1901" t="n">
        <v>2097397</v>
      </c>
      <c r="E1901">
        <f>IF(A1901="","",COUNTIFS($A$2:$A$20000,A1901,$B$2:$B$20000,"&gt;"&amp;B1901)+1)</f>
        <v/>
      </c>
    </row>
    <row r="1902">
      <c r="A1902" t="inlineStr">
        <is>
          <t>샘플종목18</t>
        </is>
      </c>
      <c r="B1902" s="3" t="n">
        <v>45765</v>
      </c>
      <c r="C1902" t="n">
        <v>43889</v>
      </c>
      <c r="D1902" t="n">
        <v>8698071</v>
      </c>
      <c r="E1902">
        <f>IF(A1902="","",COUNTIFS($A$2:$A$20000,A1902,$B$2:$B$20000,"&gt;"&amp;B1902)+1)</f>
        <v/>
      </c>
    </row>
    <row r="1903">
      <c r="A1903" t="inlineStr">
        <is>
          <t>샘플종목18</t>
        </is>
      </c>
      <c r="B1903" s="3" t="n">
        <v>45772</v>
      </c>
      <c r="C1903" t="n">
        <v>43302</v>
      </c>
      <c r="D1903" t="n">
        <v>2655023</v>
      </c>
      <c r="E1903">
        <f>IF(A1903="","",COUNTIFS($A$2:$A$20000,A1903,$B$2:$B$20000,"&gt;"&amp;B1903)+1)</f>
        <v/>
      </c>
    </row>
    <row r="1904">
      <c r="A1904" t="inlineStr">
        <is>
          <t>샘플종목18</t>
        </is>
      </c>
      <c r="B1904" s="3" t="n">
        <v>45779</v>
      </c>
      <c r="C1904" t="n">
        <v>43007</v>
      </c>
      <c r="D1904" t="n">
        <v>689001</v>
      </c>
      <c r="E1904">
        <f>IF(A1904="","",COUNTIFS($A$2:$A$20000,A1904,$B$2:$B$20000,"&gt;"&amp;B1904)+1)</f>
        <v/>
      </c>
    </row>
    <row r="1905">
      <c r="A1905" t="inlineStr">
        <is>
          <t>샘플종목18</t>
        </is>
      </c>
      <c r="B1905" s="3" t="n">
        <v>45786</v>
      </c>
      <c r="C1905" t="n">
        <v>40254</v>
      </c>
      <c r="D1905" t="n">
        <v>5555877</v>
      </c>
      <c r="E1905">
        <f>IF(A1905="","",COUNTIFS($A$2:$A$20000,A1905,$B$2:$B$20000,"&gt;"&amp;B1905)+1)</f>
        <v/>
      </c>
    </row>
    <row r="1906">
      <c r="A1906" t="inlineStr">
        <is>
          <t>샘플종목18</t>
        </is>
      </c>
      <c r="B1906" s="3" t="n">
        <v>45793</v>
      </c>
      <c r="C1906" t="n">
        <v>40144</v>
      </c>
      <c r="D1906" t="n">
        <v>4654276</v>
      </c>
      <c r="E1906">
        <f>IF(A1906="","",COUNTIFS($A$2:$A$20000,A1906,$B$2:$B$20000,"&gt;"&amp;B1906)+1)</f>
        <v/>
      </c>
    </row>
    <row r="1907">
      <c r="A1907" t="inlineStr">
        <is>
          <t>샘플종목18</t>
        </is>
      </c>
      <c r="B1907" s="3" t="n">
        <v>45800</v>
      </c>
      <c r="C1907" t="n">
        <v>40245</v>
      </c>
      <c r="D1907" t="n">
        <v>2524748</v>
      </c>
      <c r="E1907">
        <f>IF(A1907="","",COUNTIFS($A$2:$A$20000,A1907,$B$2:$B$20000,"&gt;"&amp;B1907)+1)</f>
        <v/>
      </c>
    </row>
    <row r="1908">
      <c r="A1908" t="inlineStr">
        <is>
          <t>샘플종목18</t>
        </is>
      </c>
      <c r="B1908" s="3" t="n">
        <v>45807</v>
      </c>
      <c r="C1908" t="n">
        <v>41700</v>
      </c>
      <c r="D1908" t="n">
        <v>8622705</v>
      </c>
      <c r="E1908">
        <f>IF(A1908="","",COUNTIFS($A$2:$A$20000,A1908,$B$2:$B$20000,"&gt;"&amp;B1908)+1)</f>
        <v/>
      </c>
    </row>
    <row r="1909">
      <c r="A1909" t="inlineStr">
        <is>
          <t>샘플종목18</t>
        </is>
      </c>
      <c r="B1909" s="3" t="n">
        <v>45814</v>
      </c>
      <c r="C1909" t="n">
        <v>45232</v>
      </c>
      <c r="D1909" t="n">
        <v>883032</v>
      </c>
      <c r="E1909">
        <f>IF(A1909="","",COUNTIFS($A$2:$A$20000,A1909,$B$2:$B$20000,"&gt;"&amp;B1909)+1)</f>
        <v/>
      </c>
    </row>
    <row r="1910">
      <c r="A1910" t="inlineStr">
        <is>
          <t>샘플종목18</t>
        </is>
      </c>
      <c r="B1910" s="3" t="n">
        <v>45821</v>
      </c>
      <c r="C1910" t="n">
        <v>46439</v>
      </c>
      <c r="D1910" t="n">
        <v>9991368</v>
      </c>
      <c r="E1910">
        <f>IF(A1910="","",COUNTIFS($A$2:$A$20000,A1910,$B$2:$B$20000,"&gt;"&amp;B1910)+1)</f>
        <v/>
      </c>
    </row>
    <row r="1911">
      <c r="A1911" t="inlineStr">
        <is>
          <t>샘플종목18</t>
        </is>
      </c>
      <c r="B1911" s="3" t="n">
        <v>45828</v>
      </c>
      <c r="C1911" t="n">
        <v>46516</v>
      </c>
      <c r="D1911" t="n">
        <v>4812242</v>
      </c>
      <c r="E1911">
        <f>IF(A1911="","",COUNTIFS($A$2:$A$20000,A1911,$B$2:$B$20000,"&gt;"&amp;B1911)+1)</f>
        <v/>
      </c>
    </row>
    <row r="1912">
      <c r="A1912" t="inlineStr">
        <is>
          <t>샘플종목18</t>
        </is>
      </c>
      <c r="B1912" s="3" t="n">
        <v>45835</v>
      </c>
      <c r="C1912" t="n">
        <v>45644</v>
      </c>
      <c r="D1912" t="n">
        <v>9231630</v>
      </c>
      <c r="E1912">
        <f>IF(A1912="","",COUNTIFS($A$2:$A$20000,A1912,$B$2:$B$20000,"&gt;"&amp;B1912)+1)</f>
        <v/>
      </c>
    </row>
    <row r="1913">
      <c r="A1913" t="inlineStr">
        <is>
          <t>샘플종목18</t>
        </is>
      </c>
      <c r="B1913" s="3" t="n">
        <v>45842</v>
      </c>
      <c r="C1913" t="n">
        <v>44761</v>
      </c>
      <c r="D1913" t="n">
        <v>532923</v>
      </c>
      <c r="E1913">
        <f>IF(A1913="","",COUNTIFS($A$2:$A$20000,A1913,$B$2:$B$20000,"&gt;"&amp;B1913)+1)</f>
        <v/>
      </c>
    </row>
    <row r="1914">
      <c r="A1914" t="inlineStr">
        <is>
          <t>샘플종목18</t>
        </is>
      </c>
      <c r="B1914" s="3" t="n">
        <v>45849</v>
      </c>
      <c r="C1914" t="n">
        <v>40501</v>
      </c>
      <c r="D1914" t="n">
        <v>1514641</v>
      </c>
      <c r="E1914">
        <f>IF(A1914="","",COUNTIFS($A$2:$A$20000,A1914,$B$2:$B$20000,"&gt;"&amp;B1914)+1)</f>
        <v/>
      </c>
    </row>
    <row r="1915">
      <c r="A1915" t="inlineStr">
        <is>
          <t>샘플종목18</t>
        </is>
      </c>
      <c r="B1915" s="3" t="n">
        <v>45856</v>
      </c>
      <c r="C1915" t="n">
        <v>42723</v>
      </c>
      <c r="D1915" t="n">
        <v>6483496</v>
      </c>
      <c r="E1915">
        <f>IF(A1915="","",COUNTIFS($A$2:$A$20000,A1915,$B$2:$B$20000,"&gt;"&amp;B1915)+1)</f>
        <v/>
      </c>
    </row>
    <row r="1916">
      <c r="A1916" t="inlineStr">
        <is>
          <t>샘플종목18</t>
        </is>
      </c>
      <c r="B1916" s="3" t="n">
        <v>45863</v>
      </c>
      <c r="C1916" t="n">
        <v>38182</v>
      </c>
      <c r="D1916" t="n">
        <v>6143838</v>
      </c>
      <c r="E1916">
        <f>IF(A1916="","",COUNTIFS($A$2:$A$20000,A1916,$B$2:$B$20000,"&gt;"&amp;B1916)+1)</f>
        <v/>
      </c>
    </row>
    <row r="1917">
      <c r="A1917" t="inlineStr">
        <is>
          <t>샘플종목18</t>
        </is>
      </c>
      <c r="B1917" s="3" t="n">
        <v>45870</v>
      </c>
      <c r="C1917" t="n">
        <v>38440</v>
      </c>
      <c r="D1917" t="n">
        <v>4755351</v>
      </c>
      <c r="E1917">
        <f>IF(A1917="","",COUNTIFS($A$2:$A$20000,A1917,$B$2:$B$20000,"&gt;"&amp;B1917)+1)</f>
        <v/>
      </c>
    </row>
    <row r="1918">
      <c r="A1918" t="inlineStr">
        <is>
          <t>샘플종목18</t>
        </is>
      </c>
      <c r="B1918" s="3" t="n">
        <v>45877</v>
      </c>
      <c r="C1918" t="n">
        <v>37209</v>
      </c>
      <c r="D1918" t="n">
        <v>8417502</v>
      </c>
      <c r="E1918">
        <f>IF(A1918="","",COUNTIFS($A$2:$A$20000,A1918,$B$2:$B$20000,"&gt;"&amp;B1918)+1)</f>
        <v/>
      </c>
    </row>
    <row r="1919">
      <c r="A1919" t="inlineStr">
        <is>
          <t>샘플종목18</t>
        </is>
      </c>
      <c r="B1919" s="3" t="n">
        <v>45884</v>
      </c>
      <c r="C1919" t="n">
        <v>39800</v>
      </c>
      <c r="D1919" t="n">
        <v>910744</v>
      </c>
      <c r="E1919">
        <f>IF(A1919="","",COUNTIFS($A$2:$A$20000,A1919,$B$2:$B$20000,"&gt;"&amp;B1919)+1)</f>
        <v/>
      </c>
    </row>
    <row r="1920">
      <c r="A1920" t="inlineStr">
        <is>
          <t>샘플종목18</t>
        </is>
      </c>
      <c r="B1920" s="3" t="n">
        <v>45891</v>
      </c>
      <c r="C1920" t="n">
        <v>40278</v>
      </c>
      <c r="D1920" t="n">
        <v>2446879</v>
      </c>
      <c r="E1920">
        <f>IF(A1920="","",COUNTIFS($A$2:$A$20000,A1920,$B$2:$B$20000,"&gt;"&amp;B1920)+1)</f>
        <v/>
      </c>
    </row>
    <row r="1921">
      <c r="A1921" t="inlineStr">
        <is>
          <t>샘플종목18</t>
        </is>
      </c>
      <c r="B1921" s="3" t="n">
        <v>45898</v>
      </c>
      <c r="C1921" t="n">
        <v>38926</v>
      </c>
      <c r="D1921" t="n">
        <v>3468603</v>
      </c>
      <c r="E1921">
        <f>IF(A1921="","",COUNTIFS($A$2:$A$20000,A1921,$B$2:$B$20000,"&gt;"&amp;B1921)+1)</f>
        <v/>
      </c>
    </row>
    <row r="1922">
      <c r="A1922" t="inlineStr">
        <is>
          <t>샘플종목18</t>
        </is>
      </c>
      <c r="B1922" s="3" t="n">
        <v>45905</v>
      </c>
      <c r="C1922" t="n">
        <v>35830</v>
      </c>
      <c r="D1922" t="n">
        <v>2820418</v>
      </c>
      <c r="E1922">
        <f>IF(A1922="","",COUNTIFS($A$2:$A$20000,A1922,$B$2:$B$20000,"&gt;"&amp;B1922)+1)</f>
        <v/>
      </c>
    </row>
    <row r="1923">
      <c r="A1923" t="inlineStr">
        <is>
          <t>샘플종목18</t>
        </is>
      </c>
      <c r="B1923" s="3" t="n">
        <v>45912</v>
      </c>
      <c r="C1923" t="n">
        <v>35607</v>
      </c>
      <c r="D1923" t="n">
        <v>5267407</v>
      </c>
      <c r="E1923">
        <f>IF(A1923="","",COUNTIFS($A$2:$A$20000,A1923,$B$2:$B$20000,"&gt;"&amp;B1923)+1)</f>
        <v/>
      </c>
    </row>
    <row r="1924">
      <c r="A1924" t="inlineStr">
        <is>
          <t>샘플종목18</t>
        </is>
      </c>
      <c r="B1924" s="3" t="n">
        <v>45919</v>
      </c>
      <c r="C1924" t="n">
        <v>35615</v>
      </c>
      <c r="D1924" t="n">
        <v>5334019</v>
      </c>
      <c r="E1924">
        <f>IF(A1924="","",COUNTIFS($A$2:$A$20000,A1924,$B$2:$B$20000,"&gt;"&amp;B1924)+1)</f>
        <v/>
      </c>
    </row>
    <row r="1925">
      <c r="A1925" t="inlineStr">
        <is>
          <t>샘플종목18</t>
        </is>
      </c>
      <c r="B1925" s="3" t="n">
        <v>45926</v>
      </c>
      <c r="C1925" t="n">
        <v>34817</v>
      </c>
      <c r="D1925" t="n">
        <v>997517</v>
      </c>
      <c r="E1925">
        <f>IF(A1925="","",COUNTIFS($A$2:$A$20000,A1925,$B$2:$B$20000,"&gt;"&amp;B1925)+1)</f>
        <v/>
      </c>
    </row>
    <row r="1926">
      <c r="A1926" t="inlineStr">
        <is>
          <t>샘플종목18</t>
        </is>
      </c>
      <c r="B1926" s="3" t="n">
        <v>45933</v>
      </c>
      <c r="C1926" t="n">
        <v>31716</v>
      </c>
      <c r="D1926" t="n">
        <v>6141637</v>
      </c>
      <c r="E1926">
        <f>IF(A1926="","",COUNTIFS($A$2:$A$20000,A1926,$B$2:$B$20000,"&gt;"&amp;B1926)+1)</f>
        <v/>
      </c>
    </row>
    <row r="1927">
      <c r="A1927" t="inlineStr">
        <is>
          <t>샘플종목18</t>
        </is>
      </c>
      <c r="B1927" s="3" t="n">
        <v>45940</v>
      </c>
      <c r="C1927" t="n">
        <v>30016</v>
      </c>
      <c r="D1927" t="n">
        <v>3239788</v>
      </c>
      <c r="E1927">
        <f>IF(A1927="","",COUNTIFS($A$2:$A$20000,A1927,$B$2:$B$20000,"&gt;"&amp;B1927)+1)</f>
        <v/>
      </c>
    </row>
    <row r="1928">
      <c r="A1928" t="inlineStr">
        <is>
          <t>샘플종목18</t>
        </is>
      </c>
      <c r="B1928" s="3" t="n">
        <v>45947</v>
      </c>
      <c r="C1928" t="n">
        <v>29722</v>
      </c>
      <c r="D1928" t="n">
        <v>8064714</v>
      </c>
      <c r="E1928">
        <f>IF(A1928="","",COUNTIFS($A$2:$A$20000,A1928,$B$2:$B$20000,"&gt;"&amp;B1928)+1)</f>
        <v/>
      </c>
    </row>
    <row r="1929">
      <c r="A1929" t="inlineStr">
        <is>
          <t>샘플종목18</t>
        </is>
      </c>
      <c r="B1929" s="3" t="n">
        <v>45954</v>
      </c>
      <c r="C1929" t="n">
        <v>32261</v>
      </c>
      <c r="D1929" t="n">
        <v>3411002</v>
      </c>
      <c r="E1929">
        <f>IF(A1929="","",COUNTIFS($A$2:$A$20000,A1929,$B$2:$B$20000,"&gt;"&amp;B1929)+1)</f>
        <v/>
      </c>
    </row>
    <row r="1930">
      <c r="A1930" t="inlineStr">
        <is>
          <t>샘플종목18</t>
        </is>
      </c>
      <c r="B1930" s="3" t="n">
        <v>45961</v>
      </c>
      <c r="C1930" t="n">
        <v>30177</v>
      </c>
      <c r="D1930" t="n">
        <v>6862509</v>
      </c>
      <c r="E1930">
        <f>IF(A1930="","",COUNTIFS($A$2:$A$20000,A1930,$B$2:$B$20000,"&gt;"&amp;B1930)+1)</f>
        <v/>
      </c>
    </row>
    <row r="1931">
      <c r="A1931" t="inlineStr">
        <is>
          <t>샘플종목18</t>
        </is>
      </c>
      <c r="B1931" s="3" t="n">
        <v>45968</v>
      </c>
      <c r="C1931" t="n">
        <v>28332</v>
      </c>
      <c r="D1931" t="n">
        <v>1919119</v>
      </c>
      <c r="E1931">
        <f>IF(A1931="","",COUNTIFS($A$2:$A$20000,A1931,$B$2:$B$20000,"&gt;"&amp;B1931)+1)</f>
        <v/>
      </c>
    </row>
    <row r="1932">
      <c r="A1932" t="inlineStr">
        <is>
          <t>샘플종목18</t>
        </is>
      </c>
      <c r="B1932" s="3" t="n">
        <v>45975</v>
      </c>
      <c r="C1932" t="n">
        <v>27941</v>
      </c>
      <c r="D1932" t="n">
        <v>5462434</v>
      </c>
      <c r="E1932">
        <f>IF(A1932="","",COUNTIFS($A$2:$A$20000,A1932,$B$2:$B$20000,"&gt;"&amp;B1932)+1)</f>
        <v/>
      </c>
    </row>
    <row r="1933">
      <c r="A1933" t="inlineStr">
        <is>
          <t>샘플종목18</t>
        </is>
      </c>
      <c r="B1933" s="3" t="n">
        <v>45982</v>
      </c>
      <c r="C1933" t="n">
        <v>27034</v>
      </c>
      <c r="D1933" t="n">
        <v>6567903</v>
      </c>
      <c r="E1933">
        <f>IF(A1933="","",COUNTIFS($A$2:$A$20000,A1933,$B$2:$B$20000,"&gt;"&amp;B1933)+1)</f>
        <v/>
      </c>
    </row>
    <row r="1934">
      <c r="A1934" t="inlineStr">
        <is>
          <t>샘플종목18</t>
        </is>
      </c>
      <c r="B1934" s="3" t="n">
        <v>45989</v>
      </c>
      <c r="C1934" t="n">
        <v>27417</v>
      </c>
      <c r="D1934" t="n">
        <v>1986908</v>
      </c>
      <c r="E1934">
        <f>IF(A1934="","",COUNTIFS($A$2:$A$20000,A1934,$B$2:$B$20000,"&gt;"&amp;B1934)+1)</f>
        <v/>
      </c>
    </row>
    <row r="1935">
      <c r="A1935" t="inlineStr">
        <is>
          <t>샘플종목18</t>
        </is>
      </c>
      <c r="B1935" s="3" t="n">
        <v>45996</v>
      </c>
      <c r="C1935" t="n">
        <v>26277</v>
      </c>
      <c r="D1935" t="n">
        <v>3522125</v>
      </c>
      <c r="E1935">
        <f>IF(A1935="","",COUNTIFS($A$2:$A$20000,A1935,$B$2:$B$20000,"&gt;"&amp;B1935)+1)</f>
        <v/>
      </c>
    </row>
    <row r="1936">
      <c r="A1936" t="inlineStr">
        <is>
          <t>샘플종목18</t>
        </is>
      </c>
      <c r="B1936" s="3" t="n">
        <v>46003</v>
      </c>
      <c r="C1936" t="n">
        <v>27640</v>
      </c>
      <c r="D1936" t="n">
        <v>8509672</v>
      </c>
      <c r="E1936">
        <f>IF(A1936="","",COUNTIFS($A$2:$A$20000,A1936,$B$2:$B$20000,"&gt;"&amp;B1936)+1)</f>
        <v/>
      </c>
    </row>
    <row r="1937">
      <c r="A1937" t="inlineStr">
        <is>
          <t>샘플종목18</t>
        </is>
      </c>
      <c r="B1937" s="3" t="n">
        <v>46010</v>
      </c>
      <c r="C1937" t="n">
        <v>27002</v>
      </c>
      <c r="D1937" t="n">
        <v>6949397</v>
      </c>
      <c r="E1937">
        <f>IF(A1937="","",COUNTIFS($A$2:$A$20000,A1937,$B$2:$B$20000,"&gt;"&amp;B1937)+1)</f>
        <v/>
      </c>
    </row>
    <row r="1938">
      <c r="A1938" t="inlineStr">
        <is>
          <t>샘플종목18</t>
        </is>
      </c>
      <c r="B1938" s="3" t="n">
        <v>46017</v>
      </c>
      <c r="C1938" t="n">
        <v>25834</v>
      </c>
      <c r="D1938" t="n">
        <v>5380735</v>
      </c>
      <c r="E1938">
        <f>IF(A1938="","",COUNTIFS($A$2:$A$20000,A1938,$B$2:$B$20000,"&gt;"&amp;B1938)+1)</f>
        <v/>
      </c>
    </row>
    <row r="1939">
      <c r="A1939" t="inlineStr">
        <is>
          <t>샘플종목18</t>
        </is>
      </c>
      <c r="B1939" s="3" t="n">
        <v>46024</v>
      </c>
      <c r="C1939" t="n">
        <v>24524</v>
      </c>
      <c r="D1939" t="n">
        <v>837308</v>
      </c>
      <c r="E1939">
        <f>IF(A1939="","",COUNTIFS($A$2:$A$20000,A1939,$B$2:$B$20000,"&gt;"&amp;B1939)+1)</f>
        <v/>
      </c>
    </row>
    <row r="1940">
      <c r="A1940" t="inlineStr">
        <is>
          <t>샘플종목18</t>
        </is>
      </c>
      <c r="B1940" s="3" t="n">
        <v>46031</v>
      </c>
      <c r="C1940" t="n">
        <v>25525</v>
      </c>
      <c r="D1940" t="n">
        <v>7988969</v>
      </c>
      <c r="E1940">
        <f>IF(A1940="","",COUNTIFS($A$2:$A$20000,A1940,$B$2:$B$20000,"&gt;"&amp;B1940)+1)</f>
        <v/>
      </c>
    </row>
    <row r="1941">
      <c r="A1941" t="inlineStr">
        <is>
          <t>샘플종목18</t>
        </is>
      </c>
      <c r="B1941" s="3" t="n">
        <v>46038</v>
      </c>
      <c r="C1941" t="n">
        <v>26979</v>
      </c>
      <c r="D1941" t="n">
        <v>9474183</v>
      </c>
      <c r="E1941">
        <f>IF(A1941="","",COUNTIFS($A$2:$A$20000,A1941,$B$2:$B$20000,"&gt;"&amp;B1941)+1)</f>
        <v/>
      </c>
    </row>
    <row r="1942">
      <c r="A1942" t="inlineStr">
        <is>
          <t>샘플종목18</t>
        </is>
      </c>
      <c r="B1942" s="3" t="n">
        <v>46045</v>
      </c>
      <c r="C1942" t="n">
        <v>27676</v>
      </c>
      <c r="D1942" t="n">
        <v>1382827</v>
      </c>
      <c r="E1942">
        <f>IF(A1942="","",COUNTIFS($A$2:$A$20000,A1942,$B$2:$B$20000,"&gt;"&amp;B1942)+1)</f>
        <v/>
      </c>
    </row>
    <row r="1943">
      <c r="A1943" t="inlineStr">
        <is>
          <t>샘플종목18</t>
        </is>
      </c>
      <c r="B1943" s="3" t="n">
        <v>46052</v>
      </c>
      <c r="C1943" t="n">
        <v>26801</v>
      </c>
      <c r="D1943" t="n">
        <v>4720267</v>
      </c>
      <c r="E1943">
        <f>IF(A1943="","",COUNTIFS($A$2:$A$20000,A1943,$B$2:$B$20000,"&gt;"&amp;B1943)+1)</f>
        <v/>
      </c>
    </row>
    <row r="1944">
      <c r="A1944" t="inlineStr">
        <is>
          <t>샘플종목18</t>
        </is>
      </c>
      <c r="B1944" s="3" t="n">
        <v>46059</v>
      </c>
      <c r="C1944" t="n">
        <v>25530</v>
      </c>
      <c r="D1944" t="n">
        <v>6736062</v>
      </c>
      <c r="E1944">
        <f>IF(A1944="","",COUNTIFS($A$2:$A$20000,A1944,$B$2:$B$20000,"&gt;"&amp;B1944)+1)</f>
        <v/>
      </c>
    </row>
    <row r="1945">
      <c r="A1945" t="inlineStr">
        <is>
          <t>샘플종목18</t>
        </is>
      </c>
      <c r="B1945" s="3" t="n">
        <v>46066</v>
      </c>
      <c r="C1945" t="n">
        <v>26603</v>
      </c>
      <c r="D1945" t="n">
        <v>8980907</v>
      </c>
      <c r="E1945">
        <f>IF(A1945="","",COUNTIFS($A$2:$A$20000,A1945,$B$2:$B$20000,"&gt;"&amp;B1945)+1)</f>
        <v/>
      </c>
    </row>
    <row r="1946">
      <c r="A1946" t="inlineStr">
        <is>
          <t>샘플종목18</t>
        </is>
      </c>
      <c r="B1946" s="3" t="n">
        <v>46073</v>
      </c>
      <c r="C1946" t="n">
        <v>27433</v>
      </c>
      <c r="D1946" t="n">
        <v>2131654</v>
      </c>
      <c r="E1946">
        <f>IF(A1946="","",COUNTIFS($A$2:$A$20000,A1946,$B$2:$B$20000,"&gt;"&amp;B1946)+1)</f>
        <v/>
      </c>
    </row>
    <row r="1947">
      <c r="A1947" t="inlineStr">
        <is>
          <t>샘플종목18</t>
        </is>
      </c>
      <c r="B1947" s="3" t="n">
        <v>46080</v>
      </c>
      <c r="C1947" t="n">
        <v>25500</v>
      </c>
      <c r="D1947" t="n">
        <v>4457490</v>
      </c>
      <c r="E1947">
        <f>IF(A1947="","",COUNTIFS($A$2:$A$20000,A1947,$B$2:$B$20000,"&gt;"&amp;B1947)+1)</f>
        <v/>
      </c>
    </row>
    <row r="1948">
      <c r="A1948" t="inlineStr">
        <is>
          <t>샘플종목18</t>
        </is>
      </c>
      <c r="B1948" s="3" t="n">
        <v>46087</v>
      </c>
      <c r="C1948" t="n">
        <v>25402</v>
      </c>
      <c r="D1948" t="n">
        <v>9028780</v>
      </c>
      <c r="E1948">
        <f>IF(A1948="","",COUNTIFS($A$2:$A$20000,A1948,$B$2:$B$20000,"&gt;"&amp;B1948)+1)</f>
        <v/>
      </c>
    </row>
    <row r="1949">
      <c r="A1949" t="inlineStr">
        <is>
          <t>샘플종목18</t>
        </is>
      </c>
      <c r="B1949" s="3" t="n">
        <v>46094</v>
      </c>
      <c r="C1949" t="n">
        <v>25502</v>
      </c>
      <c r="D1949" t="n">
        <v>9603862</v>
      </c>
      <c r="E1949">
        <f>IF(A1949="","",COUNTIFS($A$2:$A$20000,A1949,$B$2:$B$20000,"&gt;"&amp;B1949)+1)</f>
        <v/>
      </c>
    </row>
    <row r="1950">
      <c r="A1950" t="inlineStr">
        <is>
          <t>샘플종목18</t>
        </is>
      </c>
      <c r="B1950" s="3" t="n">
        <v>46101</v>
      </c>
      <c r="C1950" t="n">
        <v>25079</v>
      </c>
      <c r="D1950" t="n">
        <v>6136483</v>
      </c>
      <c r="E1950">
        <f>IF(A1950="","",COUNTIFS($A$2:$A$20000,A1950,$B$2:$B$20000,"&gt;"&amp;B1950)+1)</f>
        <v/>
      </c>
    </row>
    <row r="1951">
      <c r="A1951" t="inlineStr">
        <is>
          <t>샘플종목18</t>
        </is>
      </c>
      <c r="B1951" s="3" t="n">
        <v>46108</v>
      </c>
      <c r="C1951" t="n">
        <v>26409</v>
      </c>
      <c r="D1951" t="n">
        <v>4554715</v>
      </c>
      <c r="E1951">
        <f>IF(A1951="","",COUNTIFS($A$2:$A$20000,A1951,$B$2:$B$20000,"&gt;"&amp;B1951)+1)</f>
        <v/>
      </c>
    </row>
    <row r="1952">
      <c r="A1952" t="inlineStr">
        <is>
          <t>샘플종목18</t>
        </is>
      </c>
      <c r="B1952" s="3" t="n">
        <v>46115</v>
      </c>
      <c r="C1952" t="n">
        <v>28646</v>
      </c>
      <c r="D1952" t="n">
        <v>9303055</v>
      </c>
      <c r="E1952">
        <f>IF(A1952="","",COUNTIFS($A$2:$A$20000,A1952,$B$2:$B$20000,"&gt;"&amp;B1952)+1)</f>
        <v/>
      </c>
    </row>
    <row r="1953">
      <c r="A1953" t="inlineStr">
        <is>
          <t>샘플종목18</t>
        </is>
      </c>
      <c r="B1953" s="3" t="n">
        <v>46122</v>
      </c>
      <c r="C1953" t="n">
        <v>28411</v>
      </c>
      <c r="D1953" t="n">
        <v>1717393</v>
      </c>
      <c r="E1953">
        <f>IF(A1953="","",COUNTIFS($A$2:$A$20000,A1953,$B$2:$B$20000,"&gt;"&amp;B1953)+1)</f>
        <v/>
      </c>
    </row>
    <row r="1954">
      <c r="A1954" t="inlineStr">
        <is>
          <t>샘플종목18</t>
        </is>
      </c>
      <c r="B1954" s="3" t="n">
        <v>46129</v>
      </c>
      <c r="C1954" t="n">
        <v>28508</v>
      </c>
      <c r="D1954" t="n">
        <v>7024526</v>
      </c>
      <c r="E1954">
        <f>IF(A1954="","",COUNTIFS($A$2:$A$20000,A1954,$B$2:$B$20000,"&gt;"&amp;B1954)+1)</f>
        <v/>
      </c>
    </row>
    <row r="1955">
      <c r="A1955" t="inlineStr">
        <is>
          <t>샘플종목18</t>
        </is>
      </c>
      <c r="B1955" s="3" t="n">
        <v>46136</v>
      </c>
      <c r="C1955" t="n">
        <v>26849</v>
      </c>
      <c r="D1955" t="n">
        <v>1966870</v>
      </c>
      <c r="E1955">
        <f>IF(A1955="","",COUNTIFS($A$2:$A$20000,A1955,$B$2:$B$20000,"&gt;"&amp;B1955)+1)</f>
        <v/>
      </c>
    </row>
    <row r="1956">
      <c r="A1956" t="inlineStr">
        <is>
          <t>샘플종목18</t>
        </is>
      </c>
      <c r="B1956" s="3" t="n">
        <v>46143</v>
      </c>
      <c r="C1956" t="n">
        <v>27488</v>
      </c>
      <c r="D1956" t="n">
        <v>3059811</v>
      </c>
      <c r="E1956">
        <f>IF(A1956="","",COUNTIFS($A$2:$A$20000,A1956,$B$2:$B$20000,"&gt;"&amp;B1956)+1)</f>
        <v/>
      </c>
    </row>
    <row r="1957">
      <c r="A1957" t="inlineStr">
        <is>
          <t>샘플종목18</t>
        </is>
      </c>
      <c r="B1957" s="3" t="n">
        <v>46150</v>
      </c>
      <c r="C1957" t="n">
        <v>27261</v>
      </c>
      <c r="D1957" t="n">
        <v>2076876</v>
      </c>
      <c r="E1957">
        <f>IF(A1957="","",COUNTIFS($A$2:$A$20000,A1957,$B$2:$B$20000,"&gt;"&amp;B1957)+1)</f>
        <v/>
      </c>
    </row>
    <row r="1958">
      <c r="A1958" t="inlineStr">
        <is>
          <t>샘플종목18</t>
        </is>
      </c>
      <c r="B1958" s="3" t="n">
        <v>46157</v>
      </c>
      <c r="C1958" t="n">
        <v>27484</v>
      </c>
      <c r="D1958" t="n">
        <v>5833523</v>
      </c>
      <c r="E1958">
        <f>IF(A1958="","",COUNTIFS($A$2:$A$20000,A1958,$B$2:$B$20000,"&gt;"&amp;B1958)+1)</f>
        <v/>
      </c>
    </row>
    <row r="1959">
      <c r="A1959" t="inlineStr">
        <is>
          <t>샘플종목18</t>
        </is>
      </c>
      <c r="B1959" s="3" t="n">
        <v>46164</v>
      </c>
      <c r="C1959" t="n">
        <v>26451</v>
      </c>
      <c r="D1959" t="n">
        <v>6810510</v>
      </c>
      <c r="E1959">
        <f>IF(A1959="","",COUNTIFS($A$2:$A$20000,A1959,$B$2:$B$20000,"&gt;"&amp;B1959)+1)</f>
        <v/>
      </c>
    </row>
    <row r="1960">
      <c r="A1960" t="inlineStr">
        <is>
          <t>샘플종목18</t>
        </is>
      </c>
      <c r="B1960" s="3" t="n">
        <v>46171</v>
      </c>
      <c r="C1960" t="n">
        <v>25008</v>
      </c>
      <c r="D1960" t="n">
        <v>5967350</v>
      </c>
      <c r="E1960">
        <f>IF(A1960="","",COUNTIFS($A$2:$A$20000,A1960,$B$2:$B$20000,"&gt;"&amp;B1960)+1)</f>
        <v/>
      </c>
    </row>
    <row r="1961">
      <c r="A1961" t="inlineStr">
        <is>
          <t>샘플종목18</t>
        </is>
      </c>
      <c r="B1961" s="3" t="n">
        <v>46178</v>
      </c>
      <c r="C1961" t="n">
        <v>26190</v>
      </c>
      <c r="D1961" t="n">
        <v>3216127</v>
      </c>
      <c r="E1961">
        <f>IF(A1961="","",COUNTIFS($A$2:$A$20000,A1961,$B$2:$B$20000,"&gt;"&amp;B1961)+1)</f>
        <v/>
      </c>
    </row>
    <row r="1962">
      <c r="A1962" t="inlineStr">
        <is>
          <t>샘플종목18</t>
        </is>
      </c>
      <c r="B1962" s="3" t="n">
        <v>46185</v>
      </c>
      <c r="C1962" t="n">
        <v>26105</v>
      </c>
      <c r="D1962" t="n">
        <v>8844180</v>
      </c>
      <c r="E1962">
        <f>IF(A1962="","",COUNTIFS($A$2:$A$20000,A1962,$B$2:$B$20000,"&gt;"&amp;B1962)+1)</f>
        <v/>
      </c>
    </row>
    <row r="1963">
      <c r="A1963" t="inlineStr">
        <is>
          <t>샘플종목18</t>
        </is>
      </c>
      <c r="B1963" s="3" t="n">
        <v>46192</v>
      </c>
      <c r="C1963" t="n">
        <v>25593</v>
      </c>
      <c r="D1963" t="n">
        <v>7039724</v>
      </c>
      <c r="E1963">
        <f>IF(A1963="","",COUNTIFS($A$2:$A$20000,A1963,$B$2:$B$20000,"&gt;"&amp;B1963)+1)</f>
        <v/>
      </c>
    </row>
    <row r="1964">
      <c r="A1964" t="inlineStr">
        <is>
          <t>샘플종목18</t>
        </is>
      </c>
      <c r="B1964" s="3" t="n">
        <v>46199</v>
      </c>
      <c r="C1964" t="n">
        <v>24575</v>
      </c>
      <c r="D1964" t="n">
        <v>2340846</v>
      </c>
      <c r="E1964">
        <f>IF(A1964="","",COUNTIFS($A$2:$A$20000,A1964,$B$2:$B$20000,"&gt;"&amp;B1964)+1)</f>
        <v/>
      </c>
    </row>
    <row r="1965">
      <c r="A1965" t="inlineStr">
        <is>
          <t>샘플종목18</t>
        </is>
      </c>
      <c r="B1965" s="3" t="n">
        <v>46206</v>
      </c>
      <c r="C1965" t="n">
        <v>22773</v>
      </c>
      <c r="D1965" t="n">
        <v>3674436</v>
      </c>
      <c r="E1965">
        <f>IF(A1965="","",COUNTIFS($A$2:$A$20000,A1965,$B$2:$B$20000,"&gt;"&amp;B1965)+1)</f>
        <v/>
      </c>
    </row>
    <row r="1966">
      <c r="A1966" t="inlineStr">
        <is>
          <t>샘플종목18</t>
        </is>
      </c>
      <c r="B1966" s="3" t="n">
        <v>46213</v>
      </c>
      <c r="C1966" t="n">
        <v>22641</v>
      </c>
      <c r="D1966" t="n">
        <v>7032439</v>
      </c>
      <c r="E1966">
        <f>IF(A1966="","",COUNTIFS($A$2:$A$20000,A1966,$B$2:$B$20000,"&gt;"&amp;B1966)+1)</f>
        <v/>
      </c>
    </row>
    <row r="1967">
      <c r="A1967" t="inlineStr">
        <is>
          <t>샘플종목18</t>
        </is>
      </c>
      <c r="B1967" s="3" t="n">
        <v>46220</v>
      </c>
      <c r="C1967" t="n">
        <v>22970</v>
      </c>
      <c r="D1967" t="n">
        <v>1220538</v>
      </c>
      <c r="E1967">
        <f>IF(A1967="","",COUNTIFS($A$2:$A$20000,A1967,$B$2:$B$20000,"&gt;"&amp;B1967)+1)</f>
        <v/>
      </c>
    </row>
    <row r="1968">
      <c r="A1968" t="inlineStr">
        <is>
          <t>샘플종목18</t>
        </is>
      </c>
      <c r="B1968" s="3" t="n">
        <v>46227</v>
      </c>
      <c r="C1968" t="n">
        <v>21220</v>
      </c>
      <c r="D1968" t="n">
        <v>4051757</v>
      </c>
      <c r="E1968">
        <f>IF(A1968="","",COUNTIFS($A$2:$A$20000,A1968,$B$2:$B$20000,"&gt;"&amp;B1968)+1)</f>
        <v/>
      </c>
    </row>
    <row r="1969">
      <c r="A1969" t="inlineStr">
        <is>
          <t>샘플종목18</t>
        </is>
      </c>
      <c r="B1969" s="3" t="n">
        <v>46234</v>
      </c>
      <c r="C1969" t="n">
        <v>21240</v>
      </c>
      <c r="D1969" t="n">
        <v>9794264</v>
      </c>
      <c r="E1969">
        <f>IF(A1969="","",COUNTIFS($A$2:$A$20000,A1969,$B$2:$B$20000,"&gt;"&amp;B1969)+1)</f>
        <v/>
      </c>
    </row>
    <row r="1970">
      <c r="A1970" t="inlineStr">
        <is>
          <t>샘플종목18</t>
        </is>
      </c>
      <c r="B1970" s="3" t="n">
        <v>46241</v>
      </c>
      <c r="C1970" t="n">
        <v>20745</v>
      </c>
      <c r="D1970" t="n">
        <v>4693814</v>
      </c>
      <c r="E1970">
        <f>IF(A1970="","",COUNTIFS($A$2:$A$20000,A1970,$B$2:$B$20000,"&gt;"&amp;B1970)+1)</f>
        <v/>
      </c>
    </row>
    <row r="1971">
      <c r="A1971" t="inlineStr">
        <is>
          <t>샘플종목18</t>
        </is>
      </c>
      <c r="B1971" s="3" t="n">
        <v>46248</v>
      </c>
      <c r="C1971" t="n">
        <v>21024</v>
      </c>
      <c r="D1971" t="n">
        <v>2322286</v>
      </c>
      <c r="E1971">
        <f>IF(A1971="","",COUNTIFS($A$2:$A$20000,A1971,$B$2:$B$20000,"&gt;"&amp;B1971)+1)</f>
        <v/>
      </c>
    </row>
    <row r="1972">
      <c r="A1972" t="inlineStr">
        <is>
          <t>샘플종목18</t>
        </is>
      </c>
      <c r="B1972" s="3" t="n">
        <v>46255</v>
      </c>
      <c r="C1972" t="n">
        <v>21796</v>
      </c>
      <c r="D1972" t="n">
        <v>4104880</v>
      </c>
      <c r="E1972">
        <f>IF(A1972="","",COUNTIFS($A$2:$A$20000,A1972,$B$2:$B$20000,"&gt;"&amp;B1972)+1)</f>
        <v/>
      </c>
    </row>
    <row r="1973">
      <c r="A1973" t="inlineStr">
        <is>
          <t>샘플종목18</t>
        </is>
      </c>
      <c r="B1973" s="3" t="n">
        <v>46262</v>
      </c>
      <c r="C1973" t="n">
        <v>22897</v>
      </c>
      <c r="D1973" t="n">
        <v>8498184</v>
      </c>
      <c r="E1973">
        <f>IF(A1973="","",COUNTIFS($A$2:$A$20000,A1973,$B$2:$B$20000,"&gt;"&amp;B1973)+1)</f>
        <v/>
      </c>
    </row>
    <row r="1974">
      <c r="A1974" t="inlineStr">
        <is>
          <t>샘플종목18</t>
        </is>
      </c>
      <c r="B1974" s="3" t="n">
        <v>46269</v>
      </c>
      <c r="C1974" t="n">
        <v>23471</v>
      </c>
      <c r="D1974" t="n">
        <v>661560</v>
      </c>
      <c r="E1974">
        <f>IF(A1974="","",COUNTIFS($A$2:$A$20000,A1974,$B$2:$B$20000,"&gt;"&amp;B1974)+1)</f>
        <v/>
      </c>
    </row>
    <row r="1975">
      <c r="A1975" t="inlineStr">
        <is>
          <t>샘플종목18</t>
        </is>
      </c>
      <c r="B1975" s="3" t="n">
        <v>46276</v>
      </c>
      <c r="C1975" t="n">
        <v>24059</v>
      </c>
      <c r="D1975" t="n">
        <v>6491185</v>
      </c>
      <c r="E1975">
        <f>IF(A1975="","",COUNTIFS($A$2:$A$20000,A1975,$B$2:$B$20000,"&gt;"&amp;B1975)+1)</f>
        <v/>
      </c>
    </row>
    <row r="1976">
      <c r="A1976" t="inlineStr">
        <is>
          <t>샘플종목18</t>
        </is>
      </c>
      <c r="B1976" s="3" t="n">
        <v>46283</v>
      </c>
      <c r="C1976" t="n">
        <v>24476</v>
      </c>
      <c r="D1976" t="n">
        <v>6548001</v>
      </c>
      <c r="E1976">
        <f>IF(A1976="","",COUNTIFS($A$2:$A$20000,A1976,$B$2:$B$20000,"&gt;"&amp;B1976)+1)</f>
        <v/>
      </c>
    </row>
    <row r="1977">
      <c r="A1977" t="inlineStr">
        <is>
          <t>샘플종목18</t>
        </is>
      </c>
      <c r="B1977" s="3" t="n">
        <v>46290</v>
      </c>
      <c r="C1977" t="n">
        <v>24167</v>
      </c>
      <c r="D1977" t="n">
        <v>4715032</v>
      </c>
      <c r="E1977">
        <f>IF(A1977="","",COUNTIFS($A$2:$A$20000,A1977,$B$2:$B$20000,"&gt;"&amp;B1977)+1)</f>
        <v/>
      </c>
    </row>
    <row r="1978">
      <c r="A1978" t="inlineStr">
        <is>
          <t>샘플종목18</t>
        </is>
      </c>
      <c r="B1978" s="3" t="n">
        <v>46297</v>
      </c>
      <c r="C1978" t="n">
        <v>23822</v>
      </c>
      <c r="D1978" t="n">
        <v>8640760</v>
      </c>
      <c r="E1978">
        <f>IF(A1978="","",COUNTIFS($A$2:$A$20000,A1978,$B$2:$B$20000,"&gt;"&amp;B1978)+1)</f>
        <v/>
      </c>
    </row>
    <row r="1979">
      <c r="A1979" t="inlineStr">
        <is>
          <t>샘플종목18</t>
        </is>
      </c>
      <c r="B1979" s="3" t="n">
        <v>46304</v>
      </c>
      <c r="C1979" t="n">
        <v>22279</v>
      </c>
      <c r="D1979" t="n">
        <v>4680653</v>
      </c>
      <c r="E1979">
        <f>IF(A1979="","",COUNTIFS($A$2:$A$20000,A1979,$B$2:$B$20000,"&gt;"&amp;B1979)+1)</f>
        <v/>
      </c>
    </row>
    <row r="1980">
      <c r="A1980" t="inlineStr">
        <is>
          <t>샘플종목18</t>
        </is>
      </c>
      <c r="B1980" s="3" t="n">
        <v>46311</v>
      </c>
      <c r="C1980" t="n">
        <v>20820</v>
      </c>
      <c r="D1980" t="n">
        <v>5288388</v>
      </c>
      <c r="E1980">
        <f>IF(A1980="","",COUNTIFS($A$2:$A$20000,A1980,$B$2:$B$20000,"&gt;"&amp;B1980)+1)</f>
        <v/>
      </c>
    </row>
    <row r="1981">
      <c r="A1981" t="inlineStr">
        <is>
          <t>샘플종목18</t>
        </is>
      </c>
      <c r="B1981" s="3" t="n">
        <v>46318</v>
      </c>
      <c r="C1981" t="n">
        <v>19733</v>
      </c>
      <c r="D1981" t="n">
        <v>1674374</v>
      </c>
      <c r="E1981">
        <f>IF(A1981="","",COUNTIFS($A$2:$A$20000,A1981,$B$2:$B$20000,"&gt;"&amp;B1981)+1)</f>
        <v/>
      </c>
    </row>
    <row r="1982">
      <c r="A1982" t="inlineStr">
        <is>
          <t>샘플종목19</t>
        </is>
      </c>
      <c r="B1982" s="3" t="n">
        <v>45555</v>
      </c>
      <c r="C1982" t="n">
        <v>69588</v>
      </c>
      <c r="D1982" t="n">
        <v>1419833</v>
      </c>
      <c r="E1982">
        <f>IF(A1982="","",COUNTIFS($A$2:$A$20000,A1982,$B$2:$B$20000,"&gt;"&amp;B1982)+1)</f>
        <v/>
      </c>
    </row>
    <row r="1983">
      <c r="A1983" t="inlineStr">
        <is>
          <t>샘플종목19</t>
        </is>
      </c>
      <c r="B1983" s="3" t="n">
        <v>45562</v>
      </c>
      <c r="C1983" t="n">
        <v>67279</v>
      </c>
      <c r="D1983" t="n">
        <v>6135031</v>
      </c>
      <c r="E1983">
        <f>IF(A1983="","",COUNTIFS($A$2:$A$20000,A1983,$B$2:$B$20000,"&gt;"&amp;B1983)+1)</f>
        <v/>
      </c>
    </row>
    <row r="1984">
      <c r="A1984" t="inlineStr">
        <is>
          <t>샘플종목19</t>
        </is>
      </c>
      <c r="B1984" s="3" t="n">
        <v>45569</v>
      </c>
      <c r="C1984" t="n">
        <v>70626</v>
      </c>
      <c r="D1984" t="n">
        <v>2144108</v>
      </c>
      <c r="E1984">
        <f>IF(A1984="","",COUNTIFS($A$2:$A$20000,A1984,$B$2:$B$20000,"&gt;"&amp;B1984)+1)</f>
        <v/>
      </c>
    </row>
    <row r="1985">
      <c r="A1985" t="inlineStr">
        <is>
          <t>샘플종목19</t>
        </is>
      </c>
      <c r="B1985" s="3" t="n">
        <v>45576</v>
      </c>
      <c r="C1985" t="n">
        <v>71265</v>
      </c>
      <c r="D1985" t="n">
        <v>5554978</v>
      </c>
      <c r="E1985">
        <f>IF(A1985="","",COUNTIFS($A$2:$A$20000,A1985,$B$2:$B$20000,"&gt;"&amp;B1985)+1)</f>
        <v/>
      </c>
    </row>
    <row r="1986">
      <c r="A1986" t="inlineStr">
        <is>
          <t>샘플종목19</t>
        </is>
      </c>
      <c r="B1986" s="3" t="n">
        <v>45583</v>
      </c>
      <c r="C1986" t="n">
        <v>72030</v>
      </c>
      <c r="D1986" t="n">
        <v>2428034</v>
      </c>
      <c r="E1986">
        <f>IF(A1986="","",COUNTIFS($A$2:$A$20000,A1986,$B$2:$B$20000,"&gt;"&amp;B1986)+1)</f>
        <v/>
      </c>
    </row>
    <row r="1987">
      <c r="A1987" t="inlineStr">
        <is>
          <t>샘플종목19</t>
        </is>
      </c>
      <c r="B1987" s="3" t="n">
        <v>45590</v>
      </c>
      <c r="C1987" t="n">
        <v>75299</v>
      </c>
      <c r="D1987" t="n">
        <v>7597273</v>
      </c>
      <c r="E1987">
        <f>IF(A1987="","",COUNTIFS($A$2:$A$20000,A1987,$B$2:$B$20000,"&gt;"&amp;B1987)+1)</f>
        <v/>
      </c>
    </row>
    <row r="1988">
      <c r="A1988" t="inlineStr">
        <is>
          <t>샘플종목19</t>
        </is>
      </c>
      <c r="B1988" s="3" t="n">
        <v>45597</v>
      </c>
      <c r="C1988" t="n">
        <v>75285</v>
      </c>
      <c r="D1988" t="n">
        <v>7577628</v>
      </c>
      <c r="E1988">
        <f>IF(A1988="","",COUNTIFS($A$2:$A$20000,A1988,$B$2:$B$20000,"&gt;"&amp;B1988)+1)</f>
        <v/>
      </c>
    </row>
    <row r="1989">
      <c r="A1989" t="inlineStr">
        <is>
          <t>샘플종목19</t>
        </is>
      </c>
      <c r="B1989" s="3" t="n">
        <v>45604</v>
      </c>
      <c r="C1989" t="n">
        <v>76474</v>
      </c>
      <c r="D1989" t="n">
        <v>9409872</v>
      </c>
      <c r="E1989">
        <f>IF(A1989="","",COUNTIFS($A$2:$A$20000,A1989,$B$2:$B$20000,"&gt;"&amp;B1989)+1)</f>
        <v/>
      </c>
    </row>
    <row r="1990">
      <c r="A1990" t="inlineStr">
        <is>
          <t>샘플종목19</t>
        </is>
      </c>
      <c r="B1990" s="3" t="n">
        <v>45611</v>
      </c>
      <c r="C1990" t="n">
        <v>75980</v>
      </c>
      <c r="D1990" t="n">
        <v>9123841</v>
      </c>
      <c r="E1990">
        <f>IF(A1990="","",COUNTIFS($A$2:$A$20000,A1990,$B$2:$B$20000,"&gt;"&amp;B1990)+1)</f>
        <v/>
      </c>
    </row>
    <row r="1991">
      <c r="A1991" t="inlineStr">
        <is>
          <t>샘플종목19</t>
        </is>
      </c>
      <c r="B1991" s="3" t="n">
        <v>45618</v>
      </c>
      <c r="C1991" t="n">
        <v>75692</v>
      </c>
      <c r="D1991" t="n">
        <v>7944748</v>
      </c>
      <c r="E1991">
        <f>IF(A1991="","",COUNTIFS($A$2:$A$20000,A1991,$B$2:$B$20000,"&gt;"&amp;B1991)+1)</f>
        <v/>
      </c>
    </row>
    <row r="1992">
      <c r="A1992" t="inlineStr">
        <is>
          <t>샘플종목19</t>
        </is>
      </c>
      <c r="B1992" s="3" t="n">
        <v>45625</v>
      </c>
      <c r="C1992" t="n">
        <v>77502</v>
      </c>
      <c r="D1992" t="n">
        <v>5805950</v>
      </c>
      <c r="E1992">
        <f>IF(A1992="","",COUNTIFS($A$2:$A$20000,A1992,$B$2:$B$20000,"&gt;"&amp;B1992)+1)</f>
        <v/>
      </c>
    </row>
    <row r="1993">
      <c r="A1993" t="inlineStr">
        <is>
          <t>샘플종목19</t>
        </is>
      </c>
      <c r="B1993" s="3" t="n">
        <v>45632</v>
      </c>
      <c r="C1993" t="n">
        <v>79072</v>
      </c>
      <c r="D1993" t="n">
        <v>5653867</v>
      </c>
      <c r="E1993">
        <f>IF(A1993="","",COUNTIFS($A$2:$A$20000,A1993,$B$2:$B$20000,"&gt;"&amp;B1993)+1)</f>
        <v/>
      </c>
    </row>
    <row r="1994">
      <c r="A1994" t="inlineStr">
        <is>
          <t>샘플종목19</t>
        </is>
      </c>
      <c r="B1994" s="3" t="n">
        <v>45639</v>
      </c>
      <c r="C1994" t="n">
        <v>76984</v>
      </c>
      <c r="D1994" t="n">
        <v>9438222</v>
      </c>
      <c r="E1994">
        <f>IF(A1994="","",COUNTIFS($A$2:$A$20000,A1994,$B$2:$B$20000,"&gt;"&amp;B1994)+1)</f>
        <v/>
      </c>
    </row>
    <row r="1995">
      <c r="A1995" t="inlineStr">
        <is>
          <t>샘플종목19</t>
        </is>
      </c>
      <c r="B1995" s="3" t="n">
        <v>45646</v>
      </c>
      <c r="C1995" t="n">
        <v>76711</v>
      </c>
      <c r="D1995" t="n">
        <v>3606152</v>
      </c>
      <c r="E1995">
        <f>IF(A1995="","",COUNTIFS($A$2:$A$20000,A1995,$B$2:$B$20000,"&gt;"&amp;B1995)+1)</f>
        <v/>
      </c>
    </row>
    <row r="1996">
      <c r="A1996" t="inlineStr">
        <is>
          <t>샘플종목19</t>
        </is>
      </c>
      <c r="B1996" s="3" t="n">
        <v>45653</v>
      </c>
      <c r="C1996" t="n">
        <v>75225</v>
      </c>
      <c r="D1996" t="n">
        <v>9789436</v>
      </c>
      <c r="E1996">
        <f>IF(A1996="","",COUNTIFS($A$2:$A$20000,A1996,$B$2:$B$20000,"&gt;"&amp;B1996)+1)</f>
        <v/>
      </c>
    </row>
    <row r="1997">
      <c r="A1997" t="inlineStr">
        <is>
          <t>샘플종목19</t>
        </is>
      </c>
      <c r="B1997" s="3" t="n">
        <v>45660</v>
      </c>
      <c r="C1997" t="n">
        <v>83340</v>
      </c>
      <c r="D1997" t="n">
        <v>9110530</v>
      </c>
      <c r="E1997">
        <f>IF(A1997="","",COUNTIFS($A$2:$A$20000,A1997,$B$2:$B$20000,"&gt;"&amp;B1997)+1)</f>
        <v/>
      </c>
    </row>
    <row r="1998">
      <c r="A1998" t="inlineStr">
        <is>
          <t>샘플종목19</t>
        </is>
      </c>
      <c r="B1998" s="3" t="n">
        <v>45667</v>
      </c>
      <c r="C1998" t="n">
        <v>82962</v>
      </c>
      <c r="D1998" t="n">
        <v>3003102</v>
      </c>
      <c r="E1998">
        <f>IF(A1998="","",COUNTIFS($A$2:$A$20000,A1998,$B$2:$B$20000,"&gt;"&amp;B1998)+1)</f>
        <v/>
      </c>
    </row>
    <row r="1999">
      <c r="A1999" t="inlineStr">
        <is>
          <t>샘플종목19</t>
        </is>
      </c>
      <c r="B1999" s="3" t="n">
        <v>45674</v>
      </c>
      <c r="C1999" t="n">
        <v>80834</v>
      </c>
      <c r="D1999" t="n">
        <v>576011</v>
      </c>
      <c r="E1999">
        <f>IF(A1999="","",COUNTIFS($A$2:$A$20000,A1999,$B$2:$B$20000,"&gt;"&amp;B1999)+1)</f>
        <v/>
      </c>
    </row>
    <row r="2000">
      <c r="A2000" t="inlineStr">
        <is>
          <t>샘플종목19</t>
        </is>
      </c>
      <c r="B2000" s="3" t="n">
        <v>45681</v>
      </c>
      <c r="C2000" t="n">
        <v>81948</v>
      </c>
      <c r="D2000" t="n">
        <v>6381523</v>
      </c>
      <c r="E2000">
        <f>IF(A2000="","",COUNTIFS($A$2:$A$20000,A2000,$B$2:$B$20000,"&gt;"&amp;B2000)+1)</f>
        <v/>
      </c>
    </row>
    <row r="2001">
      <c r="A2001" t="inlineStr">
        <is>
          <t>샘플종목19</t>
        </is>
      </c>
      <c r="B2001" s="3" t="n">
        <v>45688</v>
      </c>
      <c r="C2001" t="n">
        <v>79708</v>
      </c>
      <c r="D2001" t="n">
        <v>1157908</v>
      </c>
      <c r="E2001">
        <f>IF(A2001="","",COUNTIFS($A$2:$A$20000,A2001,$B$2:$B$20000,"&gt;"&amp;B2001)+1)</f>
        <v/>
      </c>
    </row>
    <row r="2002">
      <c r="A2002" t="inlineStr">
        <is>
          <t>샘플종목19</t>
        </is>
      </c>
      <c r="B2002" s="3" t="n">
        <v>45695</v>
      </c>
      <c r="C2002" t="n">
        <v>82314</v>
      </c>
      <c r="D2002" t="n">
        <v>1601890</v>
      </c>
      <c r="E2002">
        <f>IF(A2002="","",COUNTIFS($A$2:$A$20000,A2002,$B$2:$B$20000,"&gt;"&amp;B2002)+1)</f>
        <v/>
      </c>
    </row>
    <row r="2003">
      <c r="A2003" t="inlineStr">
        <is>
          <t>샘플종목19</t>
        </is>
      </c>
      <c r="B2003" s="3" t="n">
        <v>45702</v>
      </c>
      <c r="C2003" t="n">
        <v>81737</v>
      </c>
      <c r="D2003" t="n">
        <v>9913327</v>
      </c>
      <c r="E2003">
        <f>IF(A2003="","",COUNTIFS($A$2:$A$20000,A2003,$B$2:$B$20000,"&gt;"&amp;B2003)+1)</f>
        <v/>
      </c>
    </row>
    <row r="2004">
      <c r="A2004" t="inlineStr">
        <is>
          <t>샘플종목19</t>
        </is>
      </c>
      <c r="B2004" s="3" t="n">
        <v>45709</v>
      </c>
      <c r="C2004" t="n">
        <v>84375</v>
      </c>
      <c r="D2004" t="n">
        <v>9977663</v>
      </c>
      <c r="E2004">
        <f>IF(A2004="","",COUNTIFS($A$2:$A$20000,A2004,$B$2:$B$20000,"&gt;"&amp;B2004)+1)</f>
        <v/>
      </c>
    </row>
    <row r="2005">
      <c r="A2005" t="inlineStr">
        <is>
          <t>샘플종목19</t>
        </is>
      </c>
      <c r="B2005" s="3" t="n">
        <v>45716</v>
      </c>
      <c r="C2005" t="n">
        <v>86722</v>
      </c>
      <c r="D2005" t="n">
        <v>6962351</v>
      </c>
      <c r="E2005">
        <f>IF(A2005="","",COUNTIFS($A$2:$A$20000,A2005,$B$2:$B$20000,"&gt;"&amp;B2005)+1)</f>
        <v/>
      </c>
    </row>
    <row r="2006">
      <c r="A2006" t="inlineStr">
        <is>
          <t>샘플종목19</t>
        </is>
      </c>
      <c r="B2006" s="3" t="n">
        <v>45723</v>
      </c>
      <c r="C2006" t="n">
        <v>87932</v>
      </c>
      <c r="D2006" t="n">
        <v>1018130</v>
      </c>
      <c r="E2006">
        <f>IF(A2006="","",COUNTIFS($A$2:$A$20000,A2006,$B$2:$B$20000,"&gt;"&amp;B2006)+1)</f>
        <v/>
      </c>
    </row>
    <row r="2007">
      <c r="A2007" t="inlineStr">
        <is>
          <t>샘플종목19</t>
        </is>
      </c>
      <c r="B2007" s="3" t="n">
        <v>45730</v>
      </c>
      <c r="C2007" t="n">
        <v>95103</v>
      </c>
      <c r="D2007" t="n">
        <v>6330198</v>
      </c>
      <c r="E2007">
        <f>IF(A2007="","",COUNTIFS($A$2:$A$20000,A2007,$B$2:$B$20000,"&gt;"&amp;B2007)+1)</f>
        <v/>
      </c>
    </row>
    <row r="2008">
      <c r="A2008" t="inlineStr">
        <is>
          <t>샘플종목19</t>
        </is>
      </c>
      <c r="B2008" s="3" t="n">
        <v>45737</v>
      </c>
      <c r="C2008" t="n">
        <v>98594</v>
      </c>
      <c r="D2008" t="n">
        <v>4323739</v>
      </c>
      <c r="E2008">
        <f>IF(A2008="","",COUNTIFS($A$2:$A$20000,A2008,$B$2:$B$20000,"&gt;"&amp;B2008)+1)</f>
        <v/>
      </c>
    </row>
    <row r="2009">
      <c r="A2009" t="inlineStr">
        <is>
          <t>샘플종목19</t>
        </is>
      </c>
      <c r="B2009" s="3" t="n">
        <v>45744</v>
      </c>
      <c r="C2009" t="n">
        <v>97943</v>
      </c>
      <c r="D2009" t="n">
        <v>1297590</v>
      </c>
      <c r="E2009">
        <f>IF(A2009="","",COUNTIFS($A$2:$A$20000,A2009,$B$2:$B$20000,"&gt;"&amp;B2009)+1)</f>
        <v/>
      </c>
    </row>
    <row r="2010">
      <c r="A2010" t="inlineStr">
        <is>
          <t>샘플종목19</t>
        </is>
      </c>
      <c r="B2010" s="3" t="n">
        <v>45751</v>
      </c>
      <c r="C2010" t="n">
        <v>94914</v>
      </c>
      <c r="D2010" t="n">
        <v>7336495</v>
      </c>
      <c r="E2010">
        <f>IF(A2010="","",COUNTIFS($A$2:$A$20000,A2010,$B$2:$B$20000,"&gt;"&amp;B2010)+1)</f>
        <v/>
      </c>
    </row>
    <row r="2011">
      <c r="A2011" t="inlineStr">
        <is>
          <t>샘플종목19</t>
        </is>
      </c>
      <c r="B2011" s="3" t="n">
        <v>45758</v>
      </c>
      <c r="C2011" t="n">
        <v>91239</v>
      </c>
      <c r="D2011" t="n">
        <v>7716337</v>
      </c>
      <c r="E2011">
        <f>IF(A2011="","",COUNTIFS($A$2:$A$20000,A2011,$B$2:$B$20000,"&gt;"&amp;B2011)+1)</f>
        <v/>
      </c>
    </row>
    <row r="2012">
      <c r="A2012" t="inlineStr">
        <is>
          <t>샘플종목19</t>
        </is>
      </c>
      <c r="B2012" s="3" t="n">
        <v>45765</v>
      </c>
      <c r="C2012" t="n">
        <v>98802</v>
      </c>
      <c r="D2012" t="n">
        <v>7727816</v>
      </c>
      <c r="E2012">
        <f>IF(A2012="","",COUNTIFS($A$2:$A$20000,A2012,$B$2:$B$20000,"&gt;"&amp;B2012)+1)</f>
        <v/>
      </c>
    </row>
    <row r="2013">
      <c r="A2013" t="inlineStr">
        <is>
          <t>샘플종목19</t>
        </is>
      </c>
      <c r="B2013" s="3" t="n">
        <v>45772</v>
      </c>
      <c r="C2013" t="n">
        <v>97432</v>
      </c>
      <c r="D2013" t="n">
        <v>3300027</v>
      </c>
      <c r="E2013">
        <f>IF(A2013="","",COUNTIFS($A$2:$A$20000,A2013,$B$2:$B$20000,"&gt;"&amp;B2013)+1)</f>
        <v/>
      </c>
    </row>
    <row r="2014">
      <c r="A2014" t="inlineStr">
        <is>
          <t>샘플종목19</t>
        </is>
      </c>
      <c r="B2014" s="3" t="n">
        <v>45779</v>
      </c>
      <c r="C2014" t="n">
        <v>96249</v>
      </c>
      <c r="D2014" t="n">
        <v>6859160</v>
      </c>
      <c r="E2014">
        <f>IF(A2014="","",COUNTIFS($A$2:$A$20000,A2014,$B$2:$B$20000,"&gt;"&amp;B2014)+1)</f>
        <v/>
      </c>
    </row>
    <row r="2015">
      <c r="A2015" t="inlineStr">
        <is>
          <t>샘플종목19</t>
        </is>
      </c>
      <c r="B2015" s="3" t="n">
        <v>45786</v>
      </c>
      <c r="C2015" t="n">
        <v>98537</v>
      </c>
      <c r="D2015" t="n">
        <v>2877774</v>
      </c>
      <c r="E2015">
        <f>IF(A2015="","",COUNTIFS($A$2:$A$20000,A2015,$B$2:$B$20000,"&gt;"&amp;B2015)+1)</f>
        <v/>
      </c>
    </row>
    <row r="2016">
      <c r="A2016" t="inlineStr">
        <is>
          <t>샘플종목19</t>
        </is>
      </c>
      <c r="B2016" s="3" t="n">
        <v>45793</v>
      </c>
      <c r="C2016" t="n">
        <v>98207</v>
      </c>
      <c r="D2016" t="n">
        <v>8760553</v>
      </c>
      <c r="E2016">
        <f>IF(A2016="","",COUNTIFS($A$2:$A$20000,A2016,$B$2:$B$20000,"&gt;"&amp;B2016)+1)</f>
        <v/>
      </c>
    </row>
    <row r="2017">
      <c r="A2017" t="inlineStr">
        <is>
          <t>샘플종목19</t>
        </is>
      </c>
      <c r="B2017" s="3" t="n">
        <v>45800</v>
      </c>
      <c r="C2017" t="n">
        <v>100932</v>
      </c>
      <c r="D2017" t="n">
        <v>377330</v>
      </c>
      <c r="E2017">
        <f>IF(A2017="","",COUNTIFS($A$2:$A$20000,A2017,$B$2:$B$20000,"&gt;"&amp;B2017)+1)</f>
        <v/>
      </c>
    </row>
    <row r="2018">
      <c r="A2018" t="inlineStr">
        <is>
          <t>샘플종목19</t>
        </is>
      </c>
      <c r="B2018" s="3" t="n">
        <v>45807</v>
      </c>
      <c r="C2018" t="n">
        <v>98651</v>
      </c>
      <c r="D2018" t="n">
        <v>3400623</v>
      </c>
      <c r="E2018">
        <f>IF(A2018="","",COUNTIFS($A$2:$A$20000,A2018,$B$2:$B$20000,"&gt;"&amp;B2018)+1)</f>
        <v/>
      </c>
    </row>
    <row r="2019">
      <c r="A2019" t="inlineStr">
        <is>
          <t>샘플종목19</t>
        </is>
      </c>
      <c r="B2019" s="3" t="n">
        <v>45814</v>
      </c>
      <c r="C2019" t="n">
        <v>99833</v>
      </c>
      <c r="D2019" t="n">
        <v>4556146</v>
      </c>
      <c r="E2019">
        <f>IF(A2019="","",COUNTIFS($A$2:$A$20000,A2019,$B$2:$B$20000,"&gt;"&amp;B2019)+1)</f>
        <v/>
      </c>
    </row>
    <row r="2020">
      <c r="A2020" t="inlineStr">
        <is>
          <t>샘플종목19</t>
        </is>
      </c>
      <c r="B2020" s="3" t="n">
        <v>45821</v>
      </c>
      <c r="C2020" t="n">
        <v>102057</v>
      </c>
      <c r="D2020" t="n">
        <v>5069919</v>
      </c>
      <c r="E2020">
        <f>IF(A2020="","",COUNTIFS($A$2:$A$20000,A2020,$B$2:$B$20000,"&gt;"&amp;B2020)+1)</f>
        <v/>
      </c>
    </row>
    <row r="2021">
      <c r="A2021" t="inlineStr">
        <is>
          <t>샘플종목19</t>
        </is>
      </c>
      <c r="B2021" s="3" t="n">
        <v>45828</v>
      </c>
      <c r="C2021" t="n">
        <v>108794</v>
      </c>
      <c r="D2021" t="n">
        <v>484432</v>
      </c>
      <c r="E2021">
        <f>IF(A2021="","",COUNTIFS($A$2:$A$20000,A2021,$B$2:$B$20000,"&gt;"&amp;B2021)+1)</f>
        <v/>
      </c>
    </row>
    <row r="2022">
      <c r="A2022" t="inlineStr">
        <is>
          <t>샘플종목19</t>
        </is>
      </c>
      <c r="B2022" s="3" t="n">
        <v>45835</v>
      </c>
      <c r="C2022" t="n">
        <v>115116</v>
      </c>
      <c r="D2022" t="n">
        <v>364678</v>
      </c>
      <c r="E2022">
        <f>IF(A2022="","",COUNTIFS($A$2:$A$20000,A2022,$B$2:$B$20000,"&gt;"&amp;B2022)+1)</f>
        <v/>
      </c>
    </row>
    <row r="2023">
      <c r="A2023" t="inlineStr">
        <is>
          <t>샘플종목19</t>
        </is>
      </c>
      <c r="B2023" s="3" t="n">
        <v>45842</v>
      </c>
      <c r="C2023" t="n">
        <v>111792</v>
      </c>
      <c r="D2023" t="n">
        <v>1152425</v>
      </c>
      <c r="E2023">
        <f>IF(A2023="","",COUNTIFS($A$2:$A$20000,A2023,$B$2:$B$20000,"&gt;"&amp;B2023)+1)</f>
        <v/>
      </c>
    </row>
    <row r="2024">
      <c r="A2024" t="inlineStr">
        <is>
          <t>샘플종목19</t>
        </is>
      </c>
      <c r="B2024" s="3" t="n">
        <v>45849</v>
      </c>
      <c r="C2024" t="n">
        <v>109190</v>
      </c>
      <c r="D2024" t="n">
        <v>9121715</v>
      </c>
      <c r="E2024">
        <f>IF(A2024="","",COUNTIFS($A$2:$A$20000,A2024,$B$2:$B$20000,"&gt;"&amp;B2024)+1)</f>
        <v/>
      </c>
    </row>
    <row r="2025">
      <c r="A2025" t="inlineStr">
        <is>
          <t>샘플종목19</t>
        </is>
      </c>
      <c r="B2025" s="3" t="n">
        <v>45856</v>
      </c>
      <c r="C2025" t="n">
        <v>113018</v>
      </c>
      <c r="D2025" t="n">
        <v>4525684</v>
      </c>
      <c r="E2025">
        <f>IF(A2025="","",COUNTIFS($A$2:$A$20000,A2025,$B$2:$B$20000,"&gt;"&amp;B2025)+1)</f>
        <v/>
      </c>
    </row>
    <row r="2026">
      <c r="A2026" t="inlineStr">
        <is>
          <t>샘플종목19</t>
        </is>
      </c>
      <c r="B2026" s="3" t="n">
        <v>45863</v>
      </c>
      <c r="C2026" t="n">
        <v>107303</v>
      </c>
      <c r="D2026" t="n">
        <v>9585445</v>
      </c>
      <c r="E2026">
        <f>IF(A2026="","",COUNTIFS($A$2:$A$20000,A2026,$B$2:$B$20000,"&gt;"&amp;B2026)+1)</f>
        <v/>
      </c>
    </row>
    <row r="2027">
      <c r="A2027" t="inlineStr">
        <is>
          <t>샘플종목19</t>
        </is>
      </c>
      <c r="B2027" s="3" t="n">
        <v>45870</v>
      </c>
      <c r="C2027" t="n">
        <v>105377</v>
      </c>
      <c r="D2027" t="n">
        <v>5396204</v>
      </c>
      <c r="E2027">
        <f>IF(A2027="","",COUNTIFS($A$2:$A$20000,A2027,$B$2:$B$20000,"&gt;"&amp;B2027)+1)</f>
        <v/>
      </c>
    </row>
    <row r="2028">
      <c r="A2028" t="inlineStr">
        <is>
          <t>샘플종목19</t>
        </is>
      </c>
      <c r="B2028" s="3" t="n">
        <v>45877</v>
      </c>
      <c r="C2028" t="n">
        <v>109183</v>
      </c>
      <c r="D2028" t="n">
        <v>842250</v>
      </c>
      <c r="E2028">
        <f>IF(A2028="","",COUNTIFS($A$2:$A$20000,A2028,$B$2:$B$20000,"&gt;"&amp;B2028)+1)</f>
        <v/>
      </c>
    </row>
    <row r="2029">
      <c r="A2029" t="inlineStr">
        <is>
          <t>샘플종목19</t>
        </is>
      </c>
      <c r="B2029" s="3" t="n">
        <v>45884</v>
      </c>
      <c r="C2029" t="n">
        <v>109202</v>
      </c>
      <c r="D2029" t="n">
        <v>3038909</v>
      </c>
      <c r="E2029">
        <f>IF(A2029="","",COUNTIFS($A$2:$A$20000,A2029,$B$2:$B$20000,"&gt;"&amp;B2029)+1)</f>
        <v/>
      </c>
    </row>
    <row r="2030">
      <c r="A2030" t="inlineStr">
        <is>
          <t>샘플종목19</t>
        </is>
      </c>
      <c r="B2030" s="3" t="n">
        <v>45891</v>
      </c>
      <c r="C2030" t="n">
        <v>107774</v>
      </c>
      <c r="D2030" t="n">
        <v>592993</v>
      </c>
      <c r="E2030">
        <f>IF(A2030="","",COUNTIFS($A$2:$A$20000,A2030,$B$2:$B$20000,"&gt;"&amp;B2030)+1)</f>
        <v/>
      </c>
    </row>
    <row r="2031">
      <c r="A2031" t="inlineStr">
        <is>
          <t>샘플종목19</t>
        </is>
      </c>
      <c r="B2031" s="3" t="n">
        <v>45898</v>
      </c>
      <c r="C2031" t="n">
        <v>103786</v>
      </c>
      <c r="D2031" t="n">
        <v>7734576</v>
      </c>
      <c r="E2031">
        <f>IF(A2031="","",COUNTIFS($A$2:$A$20000,A2031,$B$2:$B$20000,"&gt;"&amp;B2031)+1)</f>
        <v/>
      </c>
    </row>
    <row r="2032">
      <c r="A2032" t="inlineStr">
        <is>
          <t>샘플종목19</t>
        </is>
      </c>
      <c r="B2032" s="3" t="n">
        <v>45905</v>
      </c>
      <c r="C2032" t="n">
        <v>104535</v>
      </c>
      <c r="D2032" t="n">
        <v>2681603</v>
      </c>
      <c r="E2032">
        <f>IF(A2032="","",COUNTIFS($A$2:$A$20000,A2032,$B$2:$B$20000,"&gt;"&amp;B2032)+1)</f>
        <v/>
      </c>
    </row>
    <row r="2033">
      <c r="A2033" t="inlineStr">
        <is>
          <t>샘플종목19</t>
        </is>
      </c>
      <c r="B2033" s="3" t="n">
        <v>45912</v>
      </c>
      <c r="C2033" t="n">
        <v>100950</v>
      </c>
      <c r="D2033" t="n">
        <v>6204839</v>
      </c>
      <c r="E2033">
        <f>IF(A2033="","",COUNTIFS($A$2:$A$20000,A2033,$B$2:$B$20000,"&gt;"&amp;B2033)+1)</f>
        <v/>
      </c>
    </row>
    <row r="2034">
      <c r="A2034" t="inlineStr">
        <is>
          <t>샘플종목19</t>
        </is>
      </c>
      <c r="B2034" s="3" t="n">
        <v>45919</v>
      </c>
      <c r="C2034" t="n">
        <v>101935</v>
      </c>
      <c r="D2034" t="n">
        <v>1488160</v>
      </c>
      <c r="E2034">
        <f>IF(A2034="","",COUNTIFS($A$2:$A$20000,A2034,$B$2:$B$20000,"&gt;"&amp;B2034)+1)</f>
        <v/>
      </c>
    </row>
    <row r="2035">
      <c r="A2035" t="inlineStr">
        <is>
          <t>샘플종목19</t>
        </is>
      </c>
      <c r="B2035" s="3" t="n">
        <v>45926</v>
      </c>
      <c r="C2035" t="n">
        <v>97604</v>
      </c>
      <c r="D2035" t="n">
        <v>5764624</v>
      </c>
      <c r="E2035">
        <f>IF(A2035="","",COUNTIFS($A$2:$A$20000,A2035,$B$2:$B$20000,"&gt;"&amp;B2035)+1)</f>
        <v/>
      </c>
    </row>
    <row r="2036">
      <c r="A2036" t="inlineStr">
        <is>
          <t>샘플종목19</t>
        </is>
      </c>
      <c r="B2036" s="3" t="n">
        <v>45933</v>
      </c>
      <c r="C2036" t="n">
        <v>99032</v>
      </c>
      <c r="D2036" t="n">
        <v>2252730</v>
      </c>
      <c r="E2036">
        <f>IF(A2036="","",COUNTIFS($A$2:$A$20000,A2036,$B$2:$B$20000,"&gt;"&amp;B2036)+1)</f>
        <v/>
      </c>
    </row>
    <row r="2037">
      <c r="A2037" t="inlineStr">
        <is>
          <t>샘플종목19</t>
        </is>
      </c>
      <c r="B2037" s="3" t="n">
        <v>45940</v>
      </c>
      <c r="C2037" t="n">
        <v>94902</v>
      </c>
      <c r="D2037" t="n">
        <v>1926464</v>
      </c>
      <c r="E2037">
        <f>IF(A2037="","",COUNTIFS($A$2:$A$20000,A2037,$B$2:$B$20000,"&gt;"&amp;B2037)+1)</f>
        <v/>
      </c>
    </row>
    <row r="2038">
      <c r="A2038" t="inlineStr">
        <is>
          <t>샘플종목19</t>
        </is>
      </c>
      <c r="B2038" s="3" t="n">
        <v>45947</v>
      </c>
      <c r="C2038" t="n">
        <v>92249</v>
      </c>
      <c r="D2038" t="n">
        <v>6624770</v>
      </c>
      <c r="E2038">
        <f>IF(A2038="","",COUNTIFS($A$2:$A$20000,A2038,$B$2:$B$20000,"&gt;"&amp;B2038)+1)</f>
        <v/>
      </c>
    </row>
    <row r="2039">
      <c r="A2039" t="inlineStr">
        <is>
          <t>샘플종목19</t>
        </is>
      </c>
      <c r="B2039" s="3" t="n">
        <v>45954</v>
      </c>
      <c r="C2039" t="n">
        <v>91937</v>
      </c>
      <c r="D2039" t="n">
        <v>3611288</v>
      </c>
      <c r="E2039">
        <f>IF(A2039="","",COUNTIFS($A$2:$A$20000,A2039,$B$2:$B$20000,"&gt;"&amp;B2039)+1)</f>
        <v/>
      </c>
    </row>
    <row r="2040">
      <c r="A2040" t="inlineStr">
        <is>
          <t>샘플종목19</t>
        </is>
      </c>
      <c r="B2040" s="3" t="n">
        <v>45961</v>
      </c>
      <c r="C2040" t="n">
        <v>88858</v>
      </c>
      <c r="D2040" t="n">
        <v>3339433</v>
      </c>
      <c r="E2040">
        <f>IF(A2040="","",COUNTIFS($A$2:$A$20000,A2040,$B$2:$B$20000,"&gt;"&amp;B2040)+1)</f>
        <v/>
      </c>
    </row>
    <row r="2041">
      <c r="A2041" t="inlineStr">
        <is>
          <t>샘플종목19</t>
        </is>
      </c>
      <c r="B2041" s="3" t="n">
        <v>45968</v>
      </c>
      <c r="C2041" t="n">
        <v>93164</v>
      </c>
      <c r="D2041" t="n">
        <v>4769284</v>
      </c>
      <c r="E2041">
        <f>IF(A2041="","",COUNTIFS($A$2:$A$20000,A2041,$B$2:$B$20000,"&gt;"&amp;B2041)+1)</f>
        <v/>
      </c>
    </row>
    <row r="2042">
      <c r="A2042" t="inlineStr">
        <is>
          <t>샘플종목19</t>
        </is>
      </c>
      <c r="B2042" s="3" t="n">
        <v>45975</v>
      </c>
      <c r="C2042" t="n">
        <v>103200</v>
      </c>
      <c r="D2042" t="n">
        <v>7427405</v>
      </c>
      <c r="E2042">
        <f>IF(A2042="","",COUNTIFS($A$2:$A$20000,A2042,$B$2:$B$20000,"&gt;"&amp;B2042)+1)</f>
        <v/>
      </c>
    </row>
    <row r="2043">
      <c r="A2043" t="inlineStr">
        <is>
          <t>샘플종목19</t>
        </is>
      </c>
      <c r="B2043" s="3" t="n">
        <v>45982</v>
      </c>
      <c r="C2043" t="n">
        <v>99503</v>
      </c>
      <c r="D2043" t="n">
        <v>6544994</v>
      </c>
      <c r="E2043">
        <f>IF(A2043="","",COUNTIFS($A$2:$A$20000,A2043,$B$2:$B$20000,"&gt;"&amp;B2043)+1)</f>
        <v/>
      </c>
    </row>
    <row r="2044">
      <c r="A2044" t="inlineStr">
        <is>
          <t>샘플종목19</t>
        </is>
      </c>
      <c r="B2044" s="3" t="n">
        <v>45989</v>
      </c>
      <c r="C2044" t="n">
        <v>104200</v>
      </c>
      <c r="D2044" t="n">
        <v>7426259</v>
      </c>
      <c r="E2044">
        <f>IF(A2044="","",COUNTIFS($A$2:$A$20000,A2044,$B$2:$B$20000,"&gt;"&amp;B2044)+1)</f>
        <v/>
      </c>
    </row>
    <row r="2045">
      <c r="A2045" t="inlineStr">
        <is>
          <t>샘플종목19</t>
        </is>
      </c>
      <c r="B2045" s="3" t="n">
        <v>45996</v>
      </c>
      <c r="C2045" t="n">
        <v>111930</v>
      </c>
      <c r="D2045" t="n">
        <v>2345289</v>
      </c>
      <c r="E2045">
        <f>IF(A2045="","",COUNTIFS($A$2:$A$20000,A2045,$B$2:$B$20000,"&gt;"&amp;B2045)+1)</f>
        <v/>
      </c>
    </row>
    <row r="2046">
      <c r="A2046" t="inlineStr">
        <is>
          <t>샘플종목19</t>
        </is>
      </c>
      <c r="B2046" s="3" t="n">
        <v>46003</v>
      </c>
      <c r="C2046" t="n">
        <v>113557</v>
      </c>
      <c r="D2046" t="n">
        <v>9920487</v>
      </c>
      <c r="E2046">
        <f>IF(A2046="","",COUNTIFS($A$2:$A$20000,A2046,$B$2:$B$20000,"&gt;"&amp;B2046)+1)</f>
        <v/>
      </c>
    </row>
    <row r="2047">
      <c r="A2047" t="inlineStr">
        <is>
          <t>샘플종목19</t>
        </is>
      </c>
      <c r="B2047" s="3" t="n">
        <v>46010</v>
      </c>
      <c r="C2047" t="n">
        <v>115468</v>
      </c>
      <c r="D2047" t="n">
        <v>9013159</v>
      </c>
      <c r="E2047">
        <f>IF(A2047="","",COUNTIFS($A$2:$A$20000,A2047,$B$2:$B$20000,"&gt;"&amp;B2047)+1)</f>
        <v/>
      </c>
    </row>
    <row r="2048">
      <c r="A2048" t="inlineStr">
        <is>
          <t>샘플종목19</t>
        </is>
      </c>
      <c r="B2048" s="3" t="n">
        <v>46017</v>
      </c>
      <c r="C2048" t="n">
        <v>115246</v>
      </c>
      <c r="D2048" t="n">
        <v>1543596</v>
      </c>
      <c r="E2048">
        <f>IF(A2048="","",COUNTIFS($A$2:$A$20000,A2048,$B$2:$B$20000,"&gt;"&amp;B2048)+1)</f>
        <v/>
      </c>
    </row>
    <row r="2049">
      <c r="A2049" t="inlineStr">
        <is>
          <t>샘플종목19</t>
        </is>
      </c>
      <c r="B2049" s="3" t="n">
        <v>46024</v>
      </c>
      <c r="C2049" t="n">
        <v>115907</v>
      </c>
      <c r="D2049" t="n">
        <v>7879795</v>
      </c>
      <c r="E2049">
        <f>IF(A2049="","",COUNTIFS($A$2:$A$20000,A2049,$B$2:$B$20000,"&gt;"&amp;B2049)+1)</f>
        <v/>
      </c>
    </row>
    <row r="2050">
      <c r="A2050" t="inlineStr">
        <is>
          <t>샘플종목19</t>
        </is>
      </c>
      <c r="B2050" s="3" t="n">
        <v>46031</v>
      </c>
      <c r="C2050" t="n">
        <v>116732</v>
      </c>
      <c r="D2050" t="n">
        <v>9710574</v>
      </c>
      <c r="E2050">
        <f>IF(A2050="","",COUNTIFS($A$2:$A$20000,A2050,$B$2:$B$20000,"&gt;"&amp;B2050)+1)</f>
        <v/>
      </c>
    </row>
    <row r="2051">
      <c r="A2051" t="inlineStr">
        <is>
          <t>샘플종목19</t>
        </is>
      </c>
      <c r="B2051" s="3" t="n">
        <v>46038</v>
      </c>
      <c r="C2051" t="n">
        <v>113869</v>
      </c>
      <c r="D2051" t="n">
        <v>9062101</v>
      </c>
      <c r="E2051">
        <f>IF(A2051="","",COUNTIFS($A$2:$A$20000,A2051,$B$2:$B$20000,"&gt;"&amp;B2051)+1)</f>
        <v/>
      </c>
    </row>
    <row r="2052">
      <c r="A2052" t="inlineStr">
        <is>
          <t>샘플종목19</t>
        </is>
      </c>
      <c r="B2052" s="3" t="n">
        <v>46045</v>
      </c>
      <c r="C2052" t="n">
        <v>121818</v>
      </c>
      <c r="D2052" t="n">
        <v>5778249</v>
      </c>
      <c r="E2052">
        <f>IF(A2052="","",COUNTIFS($A$2:$A$20000,A2052,$B$2:$B$20000,"&gt;"&amp;B2052)+1)</f>
        <v/>
      </c>
    </row>
    <row r="2053">
      <c r="A2053" t="inlineStr">
        <is>
          <t>샘플종목19</t>
        </is>
      </c>
      <c r="B2053" s="3" t="n">
        <v>46052</v>
      </c>
      <c r="C2053" t="n">
        <v>117098</v>
      </c>
      <c r="D2053" t="n">
        <v>9488264</v>
      </c>
      <c r="E2053">
        <f>IF(A2053="","",COUNTIFS($A$2:$A$20000,A2053,$B$2:$B$20000,"&gt;"&amp;B2053)+1)</f>
        <v/>
      </c>
    </row>
    <row r="2054">
      <c r="A2054" t="inlineStr">
        <is>
          <t>샘플종목19</t>
        </is>
      </c>
      <c r="B2054" s="3" t="n">
        <v>46059</v>
      </c>
      <c r="C2054" t="n">
        <v>121384</v>
      </c>
      <c r="D2054" t="n">
        <v>3551412</v>
      </c>
      <c r="E2054">
        <f>IF(A2054="","",COUNTIFS($A$2:$A$20000,A2054,$B$2:$B$20000,"&gt;"&amp;B2054)+1)</f>
        <v/>
      </c>
    </row>
    <row r="2055">
      <c r="A2055" t="inlineStr">
        <is>
          <t>샘플종목19</t>
        </is>
      </c>
      <c r="B2055" s="3" t="n">
        <v>46066</v>
      </c>
      <c r="C2055" t="n">
        <v>117938</v>
      </c>
      <c r="D2055" t="n">
        <v>223089</v>
      </c>
      <c r="E2055">
        <f>IF(A2055="","",COUNTIFS($A$2:$A$20000,A2055,$B$2:$B$20000,"&gt;"&amp;B2055)+1)</f>
        <v/>
      </c>
    </row>
    <row r="2056">
      <c r="A2056" t="inlineStr">
        <is>
          <t>샘플종목19</t>
        </is>
      </c>
      <c r="B2056" s="3" t="n">
        <v>46073</v>
      </c>
      <c r="C2056" t="n">
        <v>118599</v>
      </c>
      <c r="D2056" t="n">
        <v>6519144</v>
      </c>
      <c r="E2056">
        <f>IF(A2056="","",COUNTIFS($A$2:$A$20000,A2056,$B$2:$B$20000,"&gt;"&amp;B2056)+1)</f>
        <v/>
      </c>
    </row>
    <row r="2057">
      <c r="A2057" t="inlineStr">
        <is>
          <t>샘플종목19</t>
        </is>
      </c>
      <c r="B2057" s="3" t="n">
        <v>46080</v>
      </c>
      <c r="C2057" t="n">
        <v>129138</v>
      </c>
      <c r="D2057" t="n">
        <v>1845134</v>
      </c>
      <c r="E2057">
        <f>IF(A2057="","",COUNTIFS($A$2:$A$20000,A2057,$B$2:$B$20000,"&gt;"&amp;B2057)+1)</f>
        <v/>
      </c>
    </row>
    <row r="2058">
      <c r="A2058" t="inlineStr">
        <is>
          <t>샘플종목19</t>
        </is>
      </c>
      <c r="B2058" s="3" t="n">
        <v>46087</v>
      </c>
      <c r="C2058" t="n">
        <v>138037</v>
      </c>
      <c r="D2058" t="n">
        <v>3453853</v>
      </c>
      <c r="E2058">
        <f>IF(A2058="","",COUNTIFS($A$2:$A$20000,A2058,$B$2:$B$20000,"&gt;"&amp;B2058)+1)</f>
        <v/>
      </c>
    </row>
    <row r="2059">
      <c r="A2059" t="inlineStr">
        <is>
          <t>샘플종목19</t>
        </is>
      </c>
      <c r="B2059" s="3" t="n">
        <v>46094</v>
      </c>
      <c r="C2059" t="n">
        <v>144853</v>
      </c>
      <c r="D2059" t="n">
        <v>7482593</v>
      </c>
      <c r="E2059">
        <f>IF(A2059="","",COUNTIFS($A$2:$A$20000,A2059,$B$2:$B$20000,"&gt;"&amp;B2059)+1)</f>
        <v/>
      </c>
    </row>
    <row r="2060">
      <c r="A2060" t="inlineStr">
        <is>
          <t>샘플종목19</t>
        </is>
      </c>
      <c r="B2060" s="3" t="n">
        <v>46101</v>
      </c>
      <c r="C2060" t="n">
        <v>137739</v>
      </c>
      <c r="D2060" t="n">
        <v>7475757</v>
      </c>
      <c r="E2060">
        <f>IF(A2060="","",COUNTIFS($A$2:$A$20000,A2060,$B$2:$B$20000,"&gt;"&amp;B2060)+1)</f>
        <v/>
      </c>
    </row>
    <row r="2061">
      <c r="A2061" t="inlineStr">
        <is>
          <t>샘플종목19</t>
        </is>
      </c>
      <c r="B2061" s="3" t="n">
        <v>46108</v>
      </c>
      <c r="C2061" t="n">
        <v>139993</v>
      </c>
      <c r="D2061" t="n">
        <v>1233433</v>
      </c>
      <c r="E2061">
        <f>IF(A2061="","",COUNTIFS($A$2:$A$20000,A2061,$B$2:$B$20000,"&gt;"&amp;B2061)+1)</f>
        <v/>
      </c>
    </row>
    <row r="2062">
      <c r="A2062" t="inlineStr">
        <is>
          <t>샘플종목19</t>
        </is>
      </c>
      <c r="B2062" s="3" t="n">
        <v>46115</v>
      </c>
      <c r="C2062" t="n">
        <v>132201</v>
      </c>
      <c r="D2062" t="n">
        <v>7996342</v>
      </c>
      <c r="E2062">
        <f>IF(A2062="","",COUNTIFS($A$2:$A$20000,A2062,$B$2:$B$20000,"&gt;"&amp;B2062)+1)</f>
        <v/>
      </c>
    </row>
    <row r="2063">
      <c r="A2063" t="inlineStr">
        <is>
          <t>샘플종목19</t>
        </is>
      </c>
      <c r="B2063" s="3" t="n">
        <v>46122</v>
      </c>
      <c r="C2063" t="n">
        <v>128870</v>
      </c>
      <c r="D2063" t="n">
        <v>2934910</v>
      </c>
      <c r="E2063">
        <f>IF(A2063="","",COUNTIFS($A$2:$A$20000,A2063,$B$2:$B$20000,"&gt;"&amp;B2063)+1)</f>
        <v/>
      </c>
    </row>
    <row r="2064">
      <c r="A2064" t="inlineStr">
        <is>
          <t>샘플종목19</t>
        </is>
      </c>
      <c r="B2064" s="3" t="n">
        <v>46129</v>
      </c>
      <c r="C2064" t="n">
        <v>122887</v>
      </c>
      <c r="D2064" t="n">
        <v>4122994</v>
      </c>
      <c r="E2064">
        <f>IF(A2064="","",COUNTIFS($A$2:$A$20000,A2064,$B$2:$B$20000,"&gt;"&amp;B2064)+1)</f>
        <v/>
      </c>
    </row>
    <row r="2065">
      <c r="A2065" t="inlineStr">
        <is>
          <t>샘플종목19</t>
        </is>
      </c>
      <c r="B2065" s="3" t="n">
        <v>46136</v>
      </c>
      <c r="C2065" t="n">
        <v>127444</v>
      </c>
      <c r="D2065" t="n">
        <v>7978000</v>
      </c>
      <c r="E2065">
        <f>IF(A2065="","",COUNTIFS($A$2:$A$20000,A2065,$B$2:$B$20000,"&gt;"&amp;B2065)+1)</f>
        <v/>
      </c>
    </row>
    <row r="2066">
      <c r="A2066" t="inlineStr">
        <is>
          <t>샘플종목19</t>
        </is>
      </c>
      <c r="B2066" s="3" t="n">
        <v>46143</v>
      </c>
      <c r="C2066" t="n">
        <v>125647</v>
      </c>
      <c r="D2066" t="n">
        <v>2478606</v>
      </c>
      <c r="E2066">
        <f>IF(A2066="","",COUNTIFS($A$2:$A$20000,A2066,$B$2:$B$20000,"&gt;"&amp;B2066)+1)</f>
        <v/>
      </c>
    </row>
    <row r="2067">
      <c r="A2067" t="inlineStr">
        <is>
          <t>샘플종목19</t>
        </is>
      </c>
      <c r="B2067" s="3" t="n">
        <v>46150</v>
      </c>
      <c r="C2067" t="n">
        <v>120593</v>
      </c>
      <c r="D2067" t="n">
        <v>2086276</v>
      </c>
      <c r="E2067">
        <f>IF(A2067="","",COUNTIFS($A$2:$A$20000,A2067,$B$2:$B$20000,"&gt;"&amp;B2067)+1)</f>
        <v/>
      </c>
    </row>
    <row r="2068">
      <c r="A2068" t="inlineStr">
        <is>
          <t>샘플종목19</t>
        </is>
      </c>
      <c r="B2068" s="3" t="n">
        <v>46157</v>
      </c>
      <c r="C2068" t="n">
        <v>126319</v>
      </c>
      <c r="D2068" t="n">
        <v>1152630</v>
      </c>
      <c r="E2068">
        <f>IF(A2068="","",COUNTIFS($A$2:$A$20000,A2068,$B$2:$B$20000,"&gt;"&amp;B2068)+1)</f>
        <v/>
      </c>
    </row>
    <row r="2069">
      <c r="A2069" t="inlineStr">
        <is>
          <t>샘플종목19</t>
        </is>
      </c>
      <c r="B2069" s="3" t="n">
        <v>46164</v>
      </c>
      <c r="C2069" t="n">
        <v>122876</v>
      </c>
      <c r="D2069" t="n">
        <v>4103060</v>
      </c>
      <c r="E2069">
        <f>IF(A2069="","",COUNTIFS($A$2:$A$20000,A2069,$B$2:$B$20000,"&gt;"&amp;B2069)+1)</f>
        <v/>
      </c>
    </row>
    <row r="2070">
      <c r="A2070" t="inlineStr">
        <is>
          <t>샘플종목19</t>
        </is>
      </c>
      <c r="B2070" s="3" t="n">
        <v>46171</v>
      </c>
      <c r="C2070" t="n">
        <v>126307</v>
      </c>
      <c r="D2070" t="n">
        <v>182205</v>
      </c>
      <c r="E2070">
        <f>IF(A2070="","",COUNTIFS($A$2:$A$20000,A2070,$B$2:$B$20000,"&gt;"&amp;B2070)+1)</f>
        <v/>
      </c>
    </row>
    <row r="2071">
      <c r="A2071" t="inlineStr">
        <is>
          <t>샘플종목19</t>
        </is>
      </c>
      <c r="B2071" s="3" t="n">
        <v>46178</v>
      </c>
      <c r="C2071" t="n">
        <v>116480</v>
      </c>
      <c r="D2071" t="n">
        <v>6681774</v>
      </c>
      <c r="E2071">
        <f>IF(A2071="","",COUNTIFS($A$2:$A$20000,A2071,$B$2:$B$20000,"&gt;"&amp;B2071)+1)</f>
        <v/>
      </c>
    </row>
    <row r="2072">
      <c r="A2072" t="inlineStr">
        <is>
          <t>샘플종목19</t>
        </is>
      </c>
      <c r="B2072" s="3" t="n">
        <v>46185</v>
      </c>
      <c r="C2072" t="n">
        <v>109662</v>
      </c>
      <c r="D2072" t="n">
        <v>3861081</v>
      </c>
      <c r="E2072">
        <f>IF(A2072="","",COUNTIFS($A$2:$A$20000,A2072,$B$2:$B$20000,"&gt;"&amp;B2072)+1)</f>
        <v/>
      </c>
    </row>
    <row r="2073">
      <c r="A2073" t="inlineStr">
        <is>
          <t>샘플종목19</t>
        </is>
      </c>
      <c r="B2073" s="3" t="n">
        <v>46192</v>
      </c>
      <c r="C2073" t="n">
        <v>106956</v>
      </c>
      <c r="D2073" t="n">
        <v>742410</v>
      </c>
      <c r="E2073">
        <f>IF(A2073="","",COUNTIFS($A$2:$A$20000,A2073,$B$2:$B$20000,"&gt;"&amp;B2073)+1)</f>
        <v/>
      </c>
    </row>
    <row r="2074">
      <c r="A2074" t="inlineStr">
        <is>
          <t>샘플종목19</t>
        </is>
      </c>
      <c r="B2074" s="3" t="n">
        <v>46199</v>
      </c>
      <c r="C2074" t="n">
        <v>107603</v>
      </c>
      <c r="D2074" t="n">
        <v>3457671</v>
      </c>
      <c r="E2074">
        <f>IF(A2074="","",COUNTIFS($A$2:$A$20000,A2074,$B$2:$B$20000,"&gt;"&amp;B2074)+1)</f>
        <v/>
      </c>
    </row>
    <row r="2075">
      <c r="A2075" t="inlineStr">
        <is>
          <t>샘플종목19</t>
        </is>
      </c>
      <c r="B2075" s="3" t="n">
        <v>46206</v>
      </c>
      <c r="C2075" t="n">
        <v>117210</v>
      </c>
      <c r="D2075" t="n">
        <v>115862</v>
      </c>
      <c r="E2075">
        <f>IF(A2075="","",COUNTIFS($A$2:$A$20000,A2075,$B$2:$B$20000,"&gt;"&amp;B2075)+1)</f>
        <v/>
      </c>
    </row>
    <row r="2076">
      <c r="A2076" t="inlineStr">
        <is>
          <t>샘플종목19</t>
        </is>
      </c>
      <c r="B2076" s="3" t="n">
        <v>46213</v>
      </c>
      <c r="C2076" t="n">
        <v>118883</v>
      </c>
      <c r="D2076" t="n">
        <v>4134095</v>
      </c>
      <c r="E2076">
        <f>IF(A2076="","",COUNTIFS($A$2:$A$20000,A2076,$B$2:$B$20000,"&gt;"&amp;B2076)+1)</f>
        <v/>
      </c>
    </row>
    <row r="2077">
      <c r="A2077" t="inlineStr">
        <is>
          <t>샘플종목19</t>
        </is>
      </c>
      <c r="B2077" s="3" t="n">
        <v>46220</v>
      </c>
      <c r="C2077" t="n">
        <v>119477</v>
      </c>
      <c r="D2077" t="n">
        <v>3784103</v>
      </c>
      <c r="E2077">
        <f>IF(A2077="","",COUNTIFS($A$2:$A$20000,A2077,$B$2:$B$20000,"&gt;"&amp;B2077)+1)</f>
        <v/>
      </c>
    </row>
    <row r="2078">
      <c r="A2078" t="inlineStr">
        <is>
          <t>샘플종목19</t>
        </is>
      </c>
      <c r="B2078" s="3" t="n">
        <v>46227</v>
      </c>
      <c r="C2078" t="n">
        <v>119944</v>
      </c>
      <c r="D2078" t="n">
        <v>9431250</v>
      </c>
      <c r="E2078">
        <f>IF(A2078="","",COUNTIFS($A$2:$A$20000,A2078,$B$2:$B$20000,"&gt;"&amp;B2078)+1)</f>
        <v/>
      </c>
    </row>
    <row r="2079">
      <c r="A2079" t="inlineStr">
        <is>
          <t>샘플종목19</t>
        </is>
      </c>
      <c r="B2079" s="3" t="n">
        <v>46234</v>
      </c>
      <c r="C2079" t="n">
        <v>118759</v>
      </c>
      <c r="D2079" t="n">
        <v>9798236</v>
      </c>
      <c r="E2079">
        <f>IF(A2079="","",COUNTIFS($A$2:$A$20000,A2079,$B$2:$B$20000,"&gt;"&amp;B2079)+1)</f>
        <v/>
      </c>
    </row>
    <row r="2080">
      <c r="A2080" t="inlineStr">
        <is>
          <t>샘플종목19</t>
        </is>
      </c>
      <c r="B2080" s="3" t="n">
        <v>46241</v>
      </c>
      <c r="C2080" t="n">
        <v>122240</v>
      </c>
      <c r="D2080" t="n">
        <v>2673832</v>
      </c>
      <c r="E2080">
        <f>IF(A2080="","",COUNTIFS($A$2:$A$20000,A2080,$B$2:$B$20000,"&gt;"&amp;B2080)+1)</f>
        <v/>
      </c>
    </row>
    <row r="2081">
      <c r="A2081" t="inlineStr">
        <is>
          <t>샘플종목19</t>
        </is>
      </c>
      <c r="B2081" s="3" t="n">
        <v>46248</v>
      </c>
      <c r="C2081" t="n">
        <v>120629</v>
      </c>
      <c r="D2081" t="n">
        <v>7950314</v>
      </c>
      <c r="E2081">
        <f>IF(A2081="","",COUNTIFS($A$2:$A$20000,A2081,$B$2:$B$20000,"&gt;"&amp;B2081)+1)</f>
        <v/>
      </c>
    </row>
    <row r="2082">
      <c r="A2082" t="inlineStr">
        <is>
          <t>샘플종목19</t>
        </is>
      </c>
      <c r="B2082" s="3" t="n">
        <v>46255</v>
      </c>
      <c r="C2082" t="n">
        <v>128935</v>
      </c>
      <c r="D2082" t="n">
        <v>1841742</v>
      </c>
      <c r="E2082">
        <f>IF(A2082="","",COUNTIFS($A$2:$A$20000,A2082,$B$2:$B$20000,"&gt;"&amp;B2082)+1)</f>
        <v/>
      </c>
    </row>
    <row r="2083">
      <c r="A2083" t="inlineStr">
        <is>
          <t>샘플종목19</t>
        </is>
      </c>
      <c r="B2083" s="3" t="n">
        <v>46262</v>
      </c>
      <c r="C2083" t="n">
        <v>130184</v>
      </c>
      <c r="D2083" t="n">
        <v>1720263</v>
      </c>
      <c r="E2083">
        <f>IF(A2083="","",COUNTIFS($A$2:$A$20000,A2083,$B$2:$B$20000,"&gt;"&amp;B2083)+1)</f>
        <v/>
      </c>
    </row>
    <row r="2084">
      <c r="A2084" t="inlineStr">
        <is>
          <t>샘플종목19</t>
        </is>
      </c>
      <c r="B2084" s="3" t="n">
        <v>46269</v>
      </c>
      <c r="C2084" t="n">
        <v>134090</v>
      </c>
      <c r="D2084" t="n">
        <v>2831621</v>
      </c>
      <c r="E2084">
        <f>IF(A2084="","",COUNTIFS($A$2:$A$20000,A2084,$B$2:$B$20000,"&gt;"&amp;B2084)+1)</f>
        <v/>
      </c>
    </row>
    <row r="2085">
      <c r="A2085" t="inlineStr">
        <is>
          <t>샘플종목19</t>
        </is>
      </c>
      <c r="B2085" s="3" t="n">
        <v>46276</v>
      </c>
      <c r="C2085" t="n">
        <v>143335</v>
      </c>
      <c r="D2085" t="n">
        <v>8692056</v>
      </c>
      <c r="E2085">
        <f>IF(A2085="","",COUNTIFS($A$2:$A$20000,A2085,$B$2:$B$20000,"&gt;"&amp;B2085)+1)</f>
        <v/>
      </c>
    </row>
    <row r="2086">
      <c r="A2086" t="inlineStr">
        <is>
          <t>샘플종목19</t>
        </is>
      </c>
      <c r="B2086" s="3" t="n">
        <v>46283</v>
      </c>
      <c r="C2086" t="n">
        <v>140579</v>
      </c>
      <c r="D2086" t="n">
        <v>6502530</v>
      </c>
      <c r="E2086">
        <f>IF(A2086="","",COUNTIFS($A$2:$A$20000,A2086,$B$2:$B$20000,"&gt;"&amp;B2086)+1)</f>
        <v/>
      </c>
    </row>
    <row r="2087">
      <c r="A2087" t="inlineStr">
        <is>
          <t>샘플종목19</t>
        </is>
      </c>
      <c r="B2087" s="3" t="n">
        <v>46290</v>
      </c>
      <c r="C2087" t="n">
        <v>146876</v>
      </c>
      <c r="D2087" t="n">
        <v>137958</v>
      </c>
      <c r="E2087">
        <f>IF(A2087="","",COUNTIFS($A$2:$A$20000,A2087,$B$2:$B$20000,"&gt;"&amp;B2087)+1)</f>
        <v/>
      </c>
    </row>
    <row r="2088">
      <c r="A2088" t="inlineStr">
        <is>
          <t>샘플종목19</t>
        </is>
      </c>
      <c r="B2088" s="3" t="n">
        <v>46297</v>
      </c>
      <c r="C2088" t="n">
        <v>148467</v>
      </c>
      <c r="D2088" t="n">
        <v>1536442</v>
      </c>
      <c r="E2088">
        <f>IF(A2088="","",COUNTIFS($A$2:$A$20000,A2088,$B$2:$B$20000,"&gt;"&amp;B2088)+1)</f>
        <v/>
      </c>
    </row>
    <row r="2089">
      <c r="A2089" t="inlineStr">
        <is>
          <t>샘플종목19</t>
        </is>
      </c>
      <c r="B2089" s="3" t="n">
        <v>46304</v>
      </c>
      <c r="C2089" t="n">
        <v>149403</v>
      </c>
      <c r="D2089" t="n">
        <v>8530134</v>
      </c>
      <c r="E2089">
        <f>IF(A2089="","",COUNTIFS($A$2:$A$20000,A2089,$B$2:$B$20000,"&gt;"&amp;B2089)+1)</f>
        <v/>
      </c>
    </row>
    <row r="2090">
      <c r="A2090" t="inlineStr">
        <is>
          <t>샘플종목19</t>
        </is>
      </c>
      <c r="B2090" s="3" t="n">
        <v>46311</v>
      </c>
      <c r="C2090" t="n">
        <v>142079</v>
      </c>
      <c r="D2090" t="n">
        <v>9117682</v>
      </c>
      <c r="E2090">
        <f>IF(A2090="","",COUNTIFS($A$2:$A$20000,A2090,$B$2:$B$20000,"&gt;"&amp;B2090)+1)</f>
        <v/>
      </c>
    </row>
    <row r="2091">
      <c r="A2091" t="inlineStr">
        <is>
          <t>샘플종목19</t>
        </is>
      </c>
      <c r="B2091" s="3" t="n">
        <v>46318</v>
      </c>
      <c r="C2091" t="n">
        <v>139407</v>
      </c>
      <c r="D2091" t="n">
        <v>1402273</v>
      </c>
      <c r="E2091">
        <f>IF(A2091="","",COUNTIFS($A$2:$A$20000,A2091,$B$2:$B$20000,"&gt;"&amp;B2091)+1)</f>
        <v/>
      </c>
    </row>
    <row r="2092">
      <c r="A2092" t="inlineStr">
        <is>
          <t>샘플종목20</t>
        </is>
      </c>
      <c r="B2092" s="3" t="n">
        <v>45555</v>
      </c>
      <c r="C2092" t="n">
        <v>138777</v>
      </c>
      <c r="D2092" t="n">
        <v>7768555</v>
      </c>
      <c r="E2092">
        <f>IF(A2092="","",COUNTIFS($A$2:$A$20000,A2092,$B$2:$B$20000,"&gt;"&amp;B2092)+1)</f>
        <v/>
      </c>
    </row>
    <row r="2093">
      <c r="A2093" t="inlineStr">
        <is>
          <t>샘플종목20</t>
        </is>
      </c>
      <c r="B2093" s="3" t="n">
        <v>45562</v>
      </c>
      <c r="C2093" t="n">
        <v>132541</v>
      </c>
      <c r="D2093" t="n">
        <v>6759864</v>
      </c>
      <c r="E2093">
        <f>IF(A2093="","",COUNTIFS($A$2:$A$20000,A2093,$B$2:$B$20000,"&gt;"&amp;B2093)+1)</f>
        <v/>
      </c>
    </row>
    <row r="2094">
      <c r="A2094" t="inlineStr">
        <is>
          <t>샘플종목20</t>
        </is>
      </c>
      <c r="B2094" s="3" t="n">
        <v>45569</v>
      </c>
      <c r="C2094" t="n">
        <v>129560</v>
      </c>
      <c r="D2094" t="n">
        <v>3598615</v>
      </c>
      <c r="E2094">
        <f>IF(A2094="","",COUNTIFS($A$2:$A$20000,A2094,$B$2:$B$20000,"&gt;"&amp;B2094)+1)</f>
        <v/>
      </c>
    </row>
    <row r="2095">
      <c r="A2095" t="inlineStr">
        <is>
          <t>샘플종목20</t>
        </is>
      </c>
      <c r="B2095" s="3" t="n">
        <v>45576</v>
      </c>
      <c r="C2095" t="n">
        <v>123987</v>
      </c>
      <c r="D2095" t="n">
        <v>503858</v>
      </c>
      <c r="E2095">
        <f>IF(A2095="","",COUNTIFS($A$2:$A$20000,A2095,$B$2:$B$20000,"&gt;"&amp;B2095)+1)</f>
        <v/>
      </c>
    </row>
    <row r="2096">
      <c r="A2096" t="inlineStr">
        <is>
          <t>샘플종목20</t>
        </is>
      </c>
      <c r="B2096" s="3" t="n">
        <v>45583</v>
      </c>
      <c r="C2096" t="n">
        <v>126497</v>
      </c>
      <c r="D2096" t="n">
        <v>7783729</v>
      </c>
      <c r="E2096">
        <f>IF(A2096="","",COUNTIFS($A$2:$A$20000,A2096,$B$2:$B$20000,"&gt;"&amp;B2096)+1)</f>
        <v/>
      </c>
    </row>
    <row r="2097">
      <c r="A2097" t="inlineStr">
        <is>
          <t>샘플종목20</t>
        </is>
      </c>
      <c r="B2097" s="3" t="n">
        <v>45590</v>
      </c>
      <c r="C2097" t="n">
        <v>132308</v>
      </c>
      <c r="D2097" t="n">
        <v>3602381</v>
      </c>
      <c r="E2097">
        <f>IF(A2097="","",COUNTIFS($A$2:$A$20000,A2097,$B$2:$B$20000,"&gt;"&amp;B2097)+1)</f>
        <v/>
      </c>
    </row>
    <row r="2098">
      <c r="A2098" t="inlineStr">
        <is>
          <t>샘플종목20</t>
        </is>
      </c>
      <c r="B2098" s="3" t="n">
        <v>45597</v>
      </c>
      <c r="C2098" t="n">
        <v>138091</v>
      </c>
      <c r="D2098" t="n">
        <v>3575150</v>
      </c>
      <c r="E2098">
        <f>IF(A2098="","",COUNTIFS($A$2:$A$20000,A2098,$B$2:$B$20000,"&gt;"&amp;B2098)+1)</f>
        <v/>
      </c>
    </row>
    <row r="2099">
      <c r="A2099" t="inlineStr">
        <is>
          <t>샘플종목20</t>
        </is>
      </c>
      <c r="B2099" s="3" t="n">
        <v>45604</v>
      </c>
      <c r="C2099" t="n">
        <v>143925</v>
      </c>
      <c r="D2099" t="n">
        <v>7298228</v>
      </c>
      <c r="E2099">
        <f>IF(A2099="","",COUNTIFS($A$2:$A$20000,A2099,$B$2:$B$20000,"&gt;"&amp;B2099)+1)</f>
        <v/>
      </c>
    </row>
    <row r="2100">
      <c r="A2100" t="inlineStr">
        <is>
          <t>샘플종목20</t>
        </is>
      </c>
      <c r="B2100" s="3" t="n">
        <v>45611</v>
      </c>
      <c r="C2100" t="n">
        <v>152099</v>
      </c>
      <c r="D2100" t="n">
        <v>1548758</v>
      </c>
      <c r="E2100">
        <f>IF(A2100="","",COUNTIFS($A$2:$A$20000,A2100,$B$2:$B$20000,"&gt;"&amp;B2100)+1)</f>
        <v/>
      </c>
    </row>
    <row r="2101">
      <c r="A2101" t="inlineStr">
        <is>
          <t>샘플종목20</t>
        </is>
      </c>
      <c r="B2101" s="3" t="n">
        <v>45618</v>
      </c>
      <c r="C2101" t="n">
        <v>151526</v>
      </c>
      <c r="D2101" t="n">
        <v>9262305</v>
      </c>
      <c r="E2101">
        <f>IF(A2101="","",COUNTIFS($A$2:$A$20000,A2101,$B$2:$B$20000,"&gt;"&amp;B2101)+1)</f>
        <v/>
      </c>
    </row>
    <row r="2102">
      <c r="A2102" t="inlineStr">
        <is>
          <t>샘플종목20</t>
        </is>
      </c>
      <c r="B2102" s="3" t="n">
        <v>45625</v>
      </c>
      <c r="C2102" t="n">
        <v>142778</v>
      </c>
      <c r="D2102" t="n">
        <v>1573738</v>
      </c>
      <c r="E2102">
        <f>IF(A2102="","",COUNTIFS($A$2:$A$20000,A2102,$B$2:$B$20000,"&gt;"&amp;B2102)+1)</f>
        <v/>
      </c>
    </row>
    <row r="2103">
      <c r="A2103" t="inlineStr">
        <is>
          <t>샘플종목20</t>
        </is>
      </c>
      <c r="B2103" s="3" t="n">
        <v>45632</v>
      </c>
      <c r="C2103" t="n">
        <v>142004</v>
      </c>
      <c r="D2103" t="n">
        <v>4108595</v>
      </c>
      <c r="E2103">
        <f>IF(A2103="","",COUNTIFS($A$2:$A$20000,A2103,$B$2:$B$20000,"&gt;"&amp;B2103)+1)</f>
        <v/>
      </c>
    </row>
    <row r="2104">
      <c r="A2104" t="inlineStr">
        <is>
          <t>샘플종목20</t>
        </is>
      </c>
      <c r="B2104" s="3" t="n">
        <v>45639</v>
      </c>
      <c r="C2104" t="n">
        <v>148757</v>
      </c>
      <c r="D2104" t="n">
        <v>1801487</v>
      </c>
      <c r="E2104">
        <f>IF(A2104="","",COUNTIFS($A$2:$A$20000,A2104,$B$2:$B$20000,"&gt;"&amp;B2104)+1)</f>
        <v/>
      </c>
    </row>
    <row r="2105">
      <c r="A2105" t="inlineStr">
        <is>
          <t>샘플종목20</t>
        </is>
      </c>
      <c r="B2105" s="3" t="n">
        <v>45646</v>
      </c>
      <c r="C2105" t="n">
        <v>139694</v>
      </c>
      <c r="D2105" t="n">
        <v>1606312</v>
      </c>
      <c r="E2105">
        <f>IF(A2105="","",COUNTIFS($A$2:$A$20000,A2105,$B$2:$B$20000,"&gt;"&amp;B2105)+1)</f>
        <v/>
      </c>
    </row>
    <row r="2106">
      <c r="A2106" t="inlineStr">
        <is>
          <t>샘플종목20</t>
        </is>
      </c>
      <c r="B2106" s="3" t="n">
        <v>45653</v>
      </c>
      <c r="C2106" t="n">
        <v>136778</v>
      </c>
      <c r="D2106" t="n">
        <v>5061350</v>
      </c>
      <c r="E2106">
        <f>IF(A2106="","",COUNTIFS($A$2:$A$20000,A2106,$B$2:$B$20000,"&gt;"&amp;B2106)+1)</f>
        <v/>
      </c>
    </row>
    <row r="2107">
      <c r="A2107" t="inlineStr">
        <is>
          <t>샘플종목20</t>
        </is>
      </c>
      <c r="B2107" s="3" t="n">
        <v>45660</v>
      </c>
      <c r="C2107" t="n">
        <v>140486</v>
      </c>
      <c r="D2107" t="n">
        <v>2580058</v>
      </c>
      <c r="E2107">
        <f>IF(A2107="","",COUNTIFS($A$2:$A$20000,A2107,$B$2:$B$20000,"&gt;"&amp;B2107)+1)</f>
        <v/>
      </c>
    </row>
    <row r="2108">
      <c r="A2108" t="inlineStr">
        <is>
          <t>샘플종목20</t>
        </is>
      </c>
      <c r="B2108" s="3" t="n">
        <v>45667</v>
      </c>
      <c r="C2108" t="n">
        <v>133408</v>
      </c>
      <c r="D2108" t="n">
        <v>5717915</v>
      </c>
      <c r="E2108">
        <f>IF(A2108="","",COUNTIFS($A$2:$A$20000,A2108,$B$2:$B$20000,"&gt;"&amp;B2108)+1)</f>
        <v/>
      </c>
    </row>
    <row r="2109">
      <c r="A2109" t="inlineStr">
        <is>
          <t>샘플종목20</t>
        </is>
      </c>
      <c r="B2109" s="3" t="n">
        <v>45674</v>
      </c>
      <c r="C2109" t="n">
        <v>133933</v>
      </c>
      <c r="D2109" t="n">
        <v>3321693</v>
      </c>
      <c r="E2109">
        <f>IF(A2109="","",COUNTIFS($A$2:$A$20000,A2109,$B$2:$B$20000,"&gt;"&amp;B2109)+1)</f>
        <v/>
      </c>
    </row>
    <row r="2110">
      <c r="A2110" t="inlineStr">
        <is>
          <t>샘플종목20</t>
        </is>
      </c>
      <c r="B2110" s="3" t="n">
        <v>45681</v>
      </c>
      <c r="C2110" t="n">
        <v>136314</v>
      </c>
      <c r="D2110" t="n">
        <v>2007058</v>
      </c>
      <c r="E2110">
        <f>IF(A2110="","",COUNTIFS($A$2:$A$20000,A2110,$B$2:$B$20000,"&gt;"&amp;B2110)+1)</f>
        <v/>
      </c>
    </row>
    <row r="2111">
      <c r="A2111" t="inlineStr">
        <is>
          <t>샘플종목20</t>
        </is>
      </c>
      <c r="B2111" s="3" t="n">
        <v>45688</v>
      </c>
      <c r="C2111" t="n">
        <v>136681</v>
      </c>
      <c r="D2111" t="n">
        <v>3688346</v>
      </c>
      <c r="E2111">
        <f>IF(A2111="","",COUNTIFS($A$2:$A$20000,A2111,$B$2:$B$20000,"&gt;"&amp;B2111)+1)</f>
        <v/>
      </c>
    </row>
    <row r="2112">
      <c r="A2112" t="inlineStr">
        <is>
          <t>샘플종목20</t>
        </is>
      </c>
      <c r="B2112" s="3" t="n">
        <v>45695</v>
      </c>
      <c r="C2112" t="n">
        <v>130973</v>
      </c>
      <c r="D2112" t="n">
        <v>6934921</v>
      </c>
      <c r="E2112">
        <f>IF(A2112="","",COUNTIFS($A$2:$A$20000,A2112,$B$2:$B$20000,"&gt;"&amp;B2112)+1)</f>
        <v/>
      </c>
    </row>
    <row r="2113">
      <c r="A2113" t="inlineStr">
        <is>
          <t>샘플종목20</t>
        </is>
      </c>
      <c r="B2113" s="3" t="n">
        <v>45702</v>
      </c>
      <c r="C2113" t="n">
        <v>130506</v>
      </c>
      <c r="D2113" t="n">
        <v>9738709</v>
      </c>
      <c r="E2113">
        <f>IF(A2113="","",COUNTIFS($A$2:$A$20000,A2113,$B$2:$B$20000,"&gt;"&amp;B2113)+1)</f>
        <v/>
      </c>
    </row>
    <row r="2114">
      <c r="A2114" t="inlineStr">
        <is>
          <t>샘플종목20</t>
        </is>
      </c>
      <c r="B2114" s="3" t="n">
        <v>45709</v>
      </c>
      <c r="C2114" t="n">
        <v>123847</v>
      </c>
      <c r="D2114" t="n">
        <v>1438984</v>
      </c>
      <c r="E2114">
        <f>IF(A2114="","",COUNTIFS($A$2:$A$20000,A2114,$B$2:$B$20000,"&gt;"&amp;B2114)+1)</f>
        <v/>
      </c>
    </row>
    <row r="2115">
      <c r="A2115" t="inlineStr">
        <is>
          <t>샘플종목20</t>
        </is>
      </c>
      <c r="B2115" s="3" t="n">
        <v>45716</v>
      </c>
      <c r="C2115" t="n">
        <v>115224</v>
      </c>
      <c r="D2115" t="n">
        <v>461845</v>
      </c>
      <c r="E2115">
        <f>IF(A2115="","",COUNTIFS($A$2:$A$20000,A2115,$B$2:$B$20000,"&gt;"&amp;B2115)+1)</f>
        <v/>
      </c>
    </row>
    <row r="2116">
      <c r="A2116" t="inlineStr">
        <is>
          <t>샘플종목20</t>
        </is>
      </c>
      <c r="B2116" s="3" t="n">
        <v>45723</v>
      </c>
      <c r="C2116" t="n">
        <v>119267</v>
      </c>
      <c r="D2116" t="n">
        <v>613743</v>
      </c>
      <c r="E2116">
        <f>IF(A2116="","",COUNTIFS($A$2:$A$20000,A2116,$B$2:$B$20000,"&gt;"&amp;B2116)+1)</f>
        <v/>
      </c>
    </row>
    <row r="2117">
      <c r="A2117" t="inlineStr">
        <is>
          <t>샘플종목20</t>
        </is>
      </c>
      <c r="B2117" s="3" t="n">
        <v>45730</v>
      </c>
      <c r="C2117" t="n">
        <v>113038</v>
      </c>
      <c r="D2117" t="n">
        <v>2365581</v>
      </c>
      <c r="E2117">
        <f>IF(A2117="","",COUNTIFS($A$2:$A$20000,A2117,$B$2:$B$20000,"&gt;"&amp;B2117)+1)</f>
        <v/>
      </c>
    </row>
    <row r="2118">
      <c r="A2118" t="inlineStr">
        <is>
          <t>샘플종목20</t>
        </is>
      </c>
      <c r="B2118" s="3" t="n">
        <v>45737</v>
      </c>
      <c r="C2118" t="n">
        <v>116085</v>
      </c>
      <c r="D2118" t="n">
        <v>1019649</v>
      </c>
      <c r="E2118">
        <f>IF(A2118="","",COUNTIFS($A$2:$A$20000,A2118,$B$2:$B$20000,"&gt;"&amp;B2118)+1)</f>
        <v/>
      </c>
    </row>
    <row r="2119">
      <c r="A2119" t="inlineStr">
        <is>
          <t>샘플종목20</t>
        </is>
      </c>
      <c r="B2119" s="3" t="n">
        <v>45744</v>
      </c>
      <c r="C2119" t="n">
        <v>112328</v>
      </c>
      <c r="D2119" t="n">
        <v>3116736</v>
      </c>
      <c r="E2119">
        <f>IF(A2119="","",COUNTIFS($A$2:$A$20000,A2119,$B$2:$B$20000,"&gt;"&amp;B2119)+1)</f>
        <v/>
      </c>
    </row>
    <row r="2120">
      <c r="A2120" t="inlineStr">
        <is>
          <t>샘플종목20</t>
        </is>
      </c>
      <c r="B2120" s="3" t="n">
        <v>45751</v>
      </c>
      <c r="C2120" t="n">
        <v>109803</v>
      </c>
      <c r="D2120" t="n">
        <v>4385950</v>
      </c>
      <c r="E2120">
        <f>IF(A2120="","",COUNTIFS($A$2:$A$20000,A2120,$B$2:$B$20000,"&gt;"&amp;B2120)+1)</f>
        <v/>
      </c>
    </row>
    <row r="2121">
      <c r="A2121" t="inlineStr">
        <is>
          <t>샘플종목20</t>
        </is>
      </c>
      <c r="B2121" s="3" t="n">
        <v>45758</v>
      </c>
      <c r="C2121" t="n">
        <v>107539</v>
      </c>
      <c r="D2121" t="n">
        <v>2350491</v>
      </c>
      <c r="E2121">
        <f>IF(A2121="","",COUNTIFS($A$2:$A$20000,A2121,$B$2:$B$20000,"&gt;"&amp;B2121)+1)</f>
        <v/>
      </c>
    </row>
    <row r="2122">
      <c r="A2122" t="inlineStr">
        <is>
          <t>샘플종목20</t>
        </is>
      </c>
      <c r="B2122" s="3" t="n">
        <v>45765</v>
      </c>
      <c r="C2122" t="n">
        <v>107693</v>
      </c>
      <c r="D2122" t="n">
        <v>5946586</v>
      </c>
      <c r="E2122">
        <f>IF(A2122="","",COUNTIFS($A$2:$A$20000,A2122,$B$2:$B$20000,"&gt;"&amp;B2122)+1)</f>
        <v/>
      </c>
    </row>
    <row r="2123">
      <c r="A2123" t="inlineStr">
        <is>
          <t>샘플종목20</t>
        </is>
      </c>
      <c r="B2123" s="3" t="n">
        <v>45772</v>
      </c>
      <c r="C2123" t="n">
        <v>111550</v>
      </c>
      <c r="D2123" t="n">
        <v>575690</v>
      </c>
      <c r="E2123">
        <f>IF(A2123="","",COUNTIFS($A$2:$A$20000,A2123,$B$2:$B$20000,"&gt;"&amp;B2123)+1)</f>
        <v/>
      </c>
    </row>
    <row r="2124">
      <c r="A2124" t="inlineStr">
        <is>
          <t>샘플종목20</t>
        </is>
      </c>
      <c r="B2124" s="3" t="n">
        <v>45779</v>
      </c>
      <c r="C2124" t="n">
        <v>110876</v>
      </c>
      <c r="D2124" t="n">
        <v>7530286</v>
      </c>
      <c r="E2124">
        <f>IF(A2124="","",COUNTIFS($A$2:$A$20000,A2124,$B$2:$B$20000,"&gt;"&amp;B2124)+1)</f>
        <v/>
      </c>
    </row>
    <row r="2125">
      <c r="A2125" t="inlineStr">
        <is>
          <t>샘플종목20</t>
        </is>
      </c>
      <c r="B2125" s="3" t="n">
        <v>45786</v>
      </c>
      <c r="C2125" t="n">
        <v>112864</v>
      </c>
      <c r="D2125" t="n">
        <v>2833594</v>
      </c>
      <c r="E2125">
        <f>IF(A2125="","",COUNTIFS($A$2:$A$20000,A2125,$B$2:$B$20000,"&gt;"&amp;B2125)+1)</f>
        <v/>
      </c>
    </row>
    <row r="2126">
      <c r="A2126" t="inlineStr">
        <is>
          <t>샘플종목20</t>
        </is>
      </c>
      <c r="B2126" s="3" t="n">
        <v>45793</v>
      </c>
      <c r="C2126" t="n">
        <v>119620</v>
      </c>
      <c r="D2126" t="n">
        <v>8040887</v>
      </c>
      <c r="E2126">
        <f>IF(A2126="","",COUNTIFS($A$2:$A$20000,A2126,$B$2:$B$20000,"&gt;"&amp;B2126)+1)</f>
        <v/>
      </c>
    </row>
    <row r="2127">
      <c r="A2127" t="inlineStr">
        <is>
          <t>샘플종목20</t>
        </is>
      </c>
      <c r="B2127" s="3" t="n">
        <v>45800</v>
      </c>
      <c r="C2127" t="n">
        <v>119024</v>
      </c>
      <c r="D2127" t="n">
        <v>5568772</v>
      </c>
      <c r="E2127">
        <f>IF(A2127="","",COUNTIFS($A$2:$A$20000,A2127,$B$2:$B$20000,"&gt;"&amp;B2127)+1)</f>
        <v/>
      </c>
    </row>
    <row r="2128">
      <c r="A2128" t="inlineStr">
        <is>
          <t>샘플종목20</t>
        </is>
      </c>
      <c r="B2128" s="3" t="n">
        <v>45807</v>
      </c>
      <c r="C2128" t="n">
        <v>118715</v>
      </c>
      <c r="D2128" t="n">
        <v>7019189</v>
      </c>
      <c r="E2128">
        <f>IF(A2128="","",COUNTIFS($A$2:$A$20000,A2128,$B$2:$B$20000,"&gt;"&amp;B2128)+1)</f>
        <v/>
      </c>
    </row>
    <row r="2129">
      <c r="A2129" t="inlineStr">
        <is>
          <t>샘플종목20</t>
        </is>
      </c>
      <c r="B2129" s="3" t="n">
        <v>45814</v>
      </c>
      <c r="C2129" t="n">
        <v>122511</v>
      </c>
      <c r="D2129" t="n">
        <v>9123442</v>
      </c>
      <c r="E2129">
        <f>IF(A2129="","",COUNTIFS($A$2:$A$20000,A2129,$B$2:$B$20000,"&gt;"&amp;B2129)+1)</f>
        <v/>
      </c>
    </row>
    <row r="2130">
      <c r="A2130" t="inlineStr">
        <is>
          <t>샘플종목20</t>
        </is>
      </c>
      <c r="B2130" s="3" t="n">
        <v>45821</v>
      </c>
      <c r="C2130" t="n">
        <v>126275</v>
      </c>
      <c r="D2130" t="n">
        <v>6085932</v>
      </c>
      <c r="E2130">
        <f>IF(A2130="","",COUNTIFS($A$2:$A$20000,A2130,$B$2:$B$20000,"&gt;"&amp;B2130)+1)</f>
        <v/>
      </c>
    </row>
    <row r="2131">
      <c r="A2131" t="inlineStr">
        <is>
          <t>샘플종목20</t>
        </is>
      </c>
      <c r="B2131" s="3" t="n">
        <v>45828</v>
      </c>
      <c r="C2131" t="n">
        <v>127007</v>
      </c>
      <c r="D2131" t="n">
        <v>5614805</v>
      </c>
      <c r="E2131">
        <f>IF(A2131="","",COUNTIFS($A$2:$A$20000,A2131,$B$2:$B$20000,"&gt;"&amp;B2131)+1)</f>
        <v/>
      </c>
    </row>
    <row r="2132">
      <c r="A2132" t="inlineStr">
        <is>
          <t>샘플종목20</t>
        </is>
      </c>
      <c r="B2132" s="3" t="n">
        <v>45835</v>
      </c>
      <c r="C2132" t="n">
        <v>135984</v>
      </c>
      <c r="D2132" t="n">
        <v>4106125</v>
      </c>
      <c r="E2132">
        <f>IF(A2132="","",COUNTIFS($A$2:$A$20000,A2132,$B$2:$B$20000,"&gt;"&amp;B2132)+1)</f>
        <v/>
      </c>
    </row>
    <row r="2133">
      <c r="A2133" t="inlineStr">
        <is>
          <t>샘플종목20</t>
        </is>
      </c>
      <c r="B2133" s="3" t="n">
        <v>45842</v>
      </c>
      <c r="C2133" t="n">
        <v>136357</v>
      </c>
      <c r="D2133" t="n">
        <v>5848263</v>
      </c>
      <c r="E2133">
        <f>IF(A2133="","",COUNTIFS($A$2:$A$20000,A2133,$B$2:$B$20000,"&gt;"&amp;B2133)+1)</f>
        <v/>
      </c>
    </row>
    <row r="2134">
      <c r="A2134" t="inlineStr">
        <is>
          <t>샘플종목20</t>
        </is>
      </c>
      <c r="B2134" s="3" t="n">
        <v>45849</v>
      </c>
      <c r="C2134" t="n">
        <v>138489</v>
      </c>
      <c r="D2134" t="n">
        <v>1859158</v>
      </c>
      <c r="E2134">
        <f>IF(A2134="","",COUNTIFS($A$2:$A$20000,A2134,$B$2:$B$20000,"&gt;"&amp;B2134)+1)</f>
        <v/>
      </c>
    </row>
    <row r="2135">
      <c r="A2135" t="inlineStr">
        <is>
          <t>샘플종목20</t>
        </is>
      </c>
      <c r="B2135" s="3" t="n">
        <v>45856</v>
      </c>
      <c r="C2135" t="n">
        <v>132206</v>
      </c>
      <c r="D2135" t="n">
        <v>693629</v>
      </c>
      <c r="E2135">
        <f>IF(A2135="","",COUNTIFS($A$2:$A$20000,A2135,$B$2:$B$20000,"&gt;"&amp;B2135)+1)</f>
        <v/>
      </c>
    </row>
    <row r="2136">
      <c r="A2136" t="inlineStr">
        <is>
          <t>샘플종목20</t>
        </is>
      </c>
      <c r="B2136" s="3" t="n">
        <v>45863</v>
      </c>
      <c r="C2136" t="n">
        <v>134564</v>
      </c>
      <c r="D2136" t="n">
        <v>5753140</v>
      </c>
      <c r="E2136">
        <f>IF(A2136="","",COUNTIFS($A$2:$A$20000,A2136,$B$2:$B$20000,"&gt;"&amp;B2136)+1)</f>
        <v/>
      </c>
    </row>
    <row r="2137">
      <c r="A2137" t="inlineStr">
        <is>
          <t>샘플종목20</t>
        </is>
      </c>
      <c r="B2137" s="3" t="n">
        <v>45870</v>
      </c>
      <c r="C2137" t="n">
        <v>130678</v>
      </c>
      <c r="D2137" t="n">
        <v>6259345</v>
      </c>
      <c r="E2137">
        <f>IF(A2137="","",COUNTIFS($A$2:$A$20000,A2137,$B$2:$B$20000,"&gt;"&amp;B2137)+1)</f>
        <v/>
      </c>
    </row>
    <row r="2138">
      <c r="A2138" t="inlineStr">
        <is>
          <t>샘플종목20</t>
        </is>
      </c>
      <c r="B2138" s="3" t="n">
        <v>45877</v>
      </c>
      <c r="C2138" t="n">
        <v>133390</v>
      </c>
      <c r="D2138" t="n">
        <v>7784525</v>
      </c>
      <c r="E2138">
        <f>IF(A2138="","",COUNTIFS($A$2:$A$20000,A2138,$B$2:$B$20000,"&gt;"&amp;B2138)+1)</f>
        <v/>
      </c>
    </row>
    <row r="2139">
      <c r="A2139" t="inlineStr">
        <is>
          <t>샘플종목20</t>
        </is>
      </c>
      <c r="B2139" s="3" t="n">
        <v>45884</v>
      </c>
      <c r="C2139" t="n">
        <v>134725</v>
      </c>
      <c r="D2139" t="n">
        <v>2803043</v>
      </c>
      <c r="E2139">
        <f>IF(A2139="","",COUNTIFS($A$2:$A$20000,A2139,$B$2:$B$20000,"&gt;"&amp;B2139)+1)</f>
        <v/>
      </c>
    </row>
    <row r="2140">
      <c r="A2140" t="inlineStr">
        <is>
          <t>샘플종목20</t>
        </is>
      </c>
      <c r="B2140" s="3" t="n">
        <v>45891</v>
      </c>
      <c r="C2140" t="n">
        <v>135423</v>
      </c>
      <c r="D2140" t="n">
        <v>9132964</v>
      </c>
      <c r="E2140">
        <f>IF(A2140="","",COUNTIFS($A$2:$A$20000,A2140,$B$2:$B$20000,"&gt;"&amp;B2140)+1)</f>
        <v/>
      </c>
    </row>
    <row r="2141">
      <c r="A2141" t="inlineStr">
        <is>
          <t>샘플종목20</t>
        </is>
      </c>
      <c r="B2141" s="3" t="n">
        <v>45898</v>
      </c>
      <c r="C2141" t="n">
        <v>137436</v>
      </c>
      <c r="D2141" t="n">
        <v>4209685</v>
      </c>
      <c r="E2141">
        <f>IF(A2141="","",COUNTIFS($A$2:$A$20000,A2141,$B$2:$B$20000,"&gt;"&amp;B2141)+1)</f>
        <v/>
      </c>
    </row>
    <row r="2142">
      <c r="A2142" t="inlineStr">
        <is>
          <t>샘플종목20</t>
        </is>
      </c>
      <c r="B2142" s="3" t="n">
        <v>45905</v>
      </c>
      <c r="C2142" t="n">
        <v>142913</v>
      </c>
      <c r="D2142" t="n">
        <v>8804500</v>
      </c>
      <c r="E2142">
        <f>IF(A2142="","",COUNTIFS($A$2:$A$20000,A2142,$B$2:$B$20000,"&gt;"&amp;B2142)+1)</f>
        <v/>
      </c>
    </row>
    <row r="2143">
      <c r="A2143" t="inlineStr">
        <is>
          <t>샘플종목20</t>
        </is>
      </c>
      <c r="B2143" s="3" t="n">
        <v>45912</v>
      </c>
      <c r="C2143" t="n">
        <v>140976</v>
      </c>
      <c r="D2143" t="n">
        <v>1603910</v>
      </c>
      <c r="E2143">
        <f>IF(A2143="","",COUNTIFS($A$2:$A$20000,A2143,$B$2:$B$20000,"&gt;"&amp;B2143)+1)</f>
        <v/>
      </c>
    </row>
    <row r="2144">
      <c r="A2144" t="inlineStr">
        <is>
          <t>샘플종목20</t>
        </is>
      </c>
      <c r="B2144" s="3" t="n">
        <v>45919</v>
      </c>
      <c r="C2144" t="n">
        <v>138889</v>
      </c>
      <c r="D2144" t="n">
        <v>328706</v>
      </c>
      <c r="E2144">
        <f>IF(A2144="","",COUNTIFS($A$2:$A$20000,A2144,$B$2:$B$20000,"&gt;"&amp;B2144)+1)</f>
        <v/>
      </c>
    </row>
    <row r="2145">
      <c r="A2145" t="inlineStr">
        <is>
          <t>샘플종목20</t>
        </is>
      </c>
      <c r="B2145" s="3" t="n">
        <v>45926</v>
      </c>
      <c r="C2145" t="n">
        <v>136046</v>
      </c>
      <c r="D2145" t="n">
        <v>4465258</v>
      </c>
      <c r="E2145">
        <f>IF(A2145="","",COUNTIFS($A$2:$A$20000,A2145,$B$2:$B$20000,"&gt;"&amp;B2145)+1)</f>
        <v/>
      </c>
    </row>
    <row r="2146">
      <c r="A2146" t="inlineStr">
        <is>
          <t>샘플종목20</t>
        </is>
      </c>
      <c r="B2146" s="3" t="n">
        <v>45933</v>
      </c>
      <c r="C2146" t="n">
        <v>133837</v>
      </c>
      <c r="D2146" t="n">
        <v>3057463</v>
      </c>
      <c r="E2146">
        <f>IF(A2146="","",COUNTIFS($A$2:$A$20000,A2146,$B$2:$B$20000,"&gt;"&amp;B2146)+1)</f>
        <v/>
      </c>
    </row>
    <row r="2147">
      <c r="A2147" t="inlineStr">
        <is>
          <t>샘플종목20</t>
        </is>
      </c>
      <c r="B2147" s="3" t="n">
        <v>45940</v>
      </c>
      <c r="C2147" t="n">
        <v>135228</v>
      </c>
      <c r="D2147" t="n">
        <v>7448287</v>
      </c>
      <c r="E2147">
        <f>IF(A2147="","",COUNTIFS($A$2:$A$20000,A2147,$B$2:$B$20000,"&gt;"&amp;B2147)+1)</f>
        <v/>
      </c>
    </row>
    <row r="2148">
      <c r="A2148" t="inlineStr">
        <is>
          <t>샘플종목20</t>
        </is>
      </c>
      <c r="B2148" s="3" t="n">
        <v>45947</v>
      </c>
      <c r="C2148" t="n">
        <v>133040</v>
      </c>
      <c r="D2148" t="n">
        <v>4869865</v>
      </c>
      <c r="E2148">
        <f>IF(A2148="","",COUNTIFS($A$2:$A$20000,A2148,$B$2:$B$20000,"&gt;"&amp;B2148)+1)</f>
        <v/>
      </c>
    </row>
    <row r="2149">
      <c r="A2149" t="inlineStr">
        <is>
          <t>샘플종목20</t>
        </is>
      </c>
      <c r="B2149" s="3" t="n">
        <v>45954</v>
      </c>
      <c r="C2149" t="n">
        <v>131194</v>
      </c>
      <c r="D2149" t="n">
        <v>6658493</v>
      </c>
      <c r="E2149">
        <f>IF(A2149="","",COUNTIFS($A$2:$A$20000,A2149,$B$2:$B$20000,"&gt;"&amp;B2149)+1)</f>
        <v/>
      </c>
    </row>
    <row r="2150">
      <c r="A2150" t="inlineStr">
        <is>
          <t>샘플종목20</t>
        </is>
      </c>
      <c r="B2150" s="3" t="n">
        <v>45961</v>
      </c>
      <c r="C2150" t="n">
        <v>131494</v>
      </c>
      <c r="D2150" t="n">
        <v>564335</v>
      </c>
      <c r="E2150">
        <f>IF(A2150="","",COUNTIFS($A$2:$A$20000,A2150,$B$2:$B$20000,"&gt;"&amp;B2150)+1)</f>
        <v/>
      </c>
    </row>
    <row r="2151">
      <c r="A2151" t="inlineStr">
        <is>
          <t>샘플종목20</t>
        </is>
      </c>
      <c r="B2151" s="3" t="n">
        <v>45968</v>
      </c>
      <c r="C2151" t="n">
        <v>135813</v>
      </c>
      <c r="D2151" t="n">
        <v>1639524</v>
      </c>
      <c r="E2151">
        <f>IF(A2151="","",COUNTIFS($A$2:$A$20000,A2151,$B$2:$B$20000,"&gt;"&amp;B2151)+1)</f>
        <v/>
      </c>
    </row>
    <row r="2152">
      <c r="A2152" t="inlineStr">
        <is>
          <t>샘플종목20</t>
        </is>
      </c>
      <c r="B2152" s="3" t="n">
        <v>45975</v>
      </c>
      <c r="C2152" t="n">
        <v>134739</v>
      </c>
      <c r="D2152" t="n">
        <v>4454022</v>
      </c>
      <c r="E2152">
        <f>IF(A2152="","",COUNTIFS($A$2:$A$20000,A2152,$B$2:$B$20000,"&gt;"&amp;B2152)+1)</f>
        <v/>
      </c>
    </row>
    <row r="2153">
      <c r="A2153" t="inlineStr">
        <is>
          <t>샘플종목20</t>
        </is>
      </c>
      <c r="B2153" s="3" t="n">
        <v>45982</v>
      </c>
      <c r="C2153" t="n">
        <v>131565</v>
      </c>
      <c r="D2153" t="n">
        <v>2482722</v>
      </c>
      <c r="E2153">
        <f>IF(A2153="","",COUNTIFS($A$2:$A$20000,A2153,$B$2:$B$20000,"&gt;"&amp;B2153)+1)</f>
        <v/>
      </c>
    </row>
    <row r="2154">
      <c r="A2154" t="inlineStr">
        <is>
          <t>샘플종목20</t>
        </is>
      </c>
      <c r="B2154" s="3" t="n">
        <v>45989</v>
      </c>
      <c r="C2154" t="n">
        <v>127877</v>
      </c>
      <c r="D2154" t="n">
        <v>6662082</v>
      </c>
      <c r="E2154">
        <f>IF(A2154="","",COUNTIFS($A$2:$A$20000,A2154,$B$2:$B$20000,"&gt;"&amp;B2154)+1)</f>
        <v/>
      </c>
    </row>
    <row r="2155">
      <c r="A2155" t="inlineStr">
        <is>
          <t>샘플종목20</t>
        </is>
      </c>
      <c r="B2155" s="3" t="n">
        <v>45996</v>
      </c>
      <c r="C2155" t="n">
        <v>122395</v>
      </c>
      <c r="D2155" t="n">
        <v>5198599</v>
      </c>
      <c r="E2155">
        <f>IF(A2155="","",COUNTIFS($A$2:$A$20000,A2155,$B$2:$B$20000,"&gt;"&amp;B2155)+1)</f>
        <v/>
      </c>
    </row>
    <row r="2156">
      <c r="A2156" t="inlineStr">
        <is>
          <t>샘플종목20</t>
        </is>
      </c>
      <c r="B2156" s="3" t="n">
        <v>46003</v>
      </c>
      <c r="C2156" t="n">
        <v>129627</v>
      </c>
      <c r="D2156" t="n">
        <v>9087193</v>
      </c>
      <c r="E2156">
        <f>IF(A2156="","",COUNTIFS($A$2:$A$20000,A2156,$B$2:$B$20000,"&gt;"&amp;B2156)+1)</f>
        <v/>
      </c>
    </row>
    <row r="2157">
      <c r="A2157" t="inlineStr">
        <is>
          <t>샘플종목20</t>
        </is>
      </c>
      <c r="B2157" s="3" t="n">
        <v>46010</v>
      </c>
      <c r="C2157" t="n">
        <v>133831</v>
      </c>
      <c r="D2157" t="n">
        <v>343895</v>
      </c>
      <c r="E2157">
        <f>IF(A2157="","",COUNTIFS($A$2:$A$20000,A2157,$B$2:$B$20000,"&gt;"&amp;B2157)+1)</f>
        <v/>
      </c>
    </row>
    <row r="2158">
      <c r="A2158" t="inlineStr">
        <is>
          <t>샘플종목20</t>
        </is>
      </c>
      <c r="B2158" s="3" t="n">
        <v>46017</v>
      </c>
      <c r="C2158" t="n">
        <v>135985</v>
      </c>
      <c r="D2158" t="n">
        <v>9449927</v>
      </c>
      <c r="E2158">
        <f>IF(A2158="","",COUNTIFS($A$2:$A$20000,A2158,$B$2:$B$20000,"&gt;"&amp;B2158)+1)</f>
        <v/>
      </c>
    </row>
    <row r="2159">
      <c r="A2159" t="inlineStr">
        <is>
          <t>샘플종목20</t>
        </is>
      </c>
      <c r="B2159" s="3" t="n">
        <v>46024</v>
      </c>
      <c r="C2159" t="n">
        <v>137210</v>
      </c>
      <c r="D2159" t="n">
        <v>1993521</v>
      </c>
      <c r="E2159">
        <f>IF(A2159="","",COUNTIFS($A$2:$A$20000,A2159,$B$2:$B$20000,"&gt;"&amp;B2159)+1)</f>
        <v/>
      </c>
    </row>
    <row r="2160">
      <c r="A2160" t="inlineStr">
        <is>
          <t>샘플종목20</t>
        </is>
      </c>
      <c r="B2160" s="3" t="n">
        <v>46031</v>
      </c>
      <c r="C2160" t="n">
        <v>136117</v>
      </c>
      <c r="D2160" t="n">
        <v>8660985</v>
      </c>
      <c r="E2160">
        <f>IF(A2160="","",COUNTIFS($A$2:$A$20000,A2160,$B$2:$B$20000,"&gt;"&amp;B2160)+1)</f>
        <v/>
      </c>
    </row>
    <row r="2161">
      <c r="A2161" t="inlineStr">
        <is>
          <t>샘플종목20</t>
        </is>
      </c>
      <c r="B2161" s="3" t="n">
        <v>46038</v>
      </c>
      <c r="C2161" t="n">
        <v>128635</v>
      </c>
      <c r="D2161" t="n">
        <v>4687801</v>
      </c>
      <c r="E2161">
        <f>IF(A2161="","",COUNTIFS($A$2:$A$20000,A2161,$B$2:$B$20000,"&gt;"&amp;B2161)+1)</f>
        <v/>
      </c>
    </row>
    <row r="2162">
      <c r="A2162" t="inlineStr">
        <is>
          <t>샘플종목20</t>
        </is>
      </c>
      <c r="B2162" s="3" t="n">
        <v>46045</v>
      </c>
      <c r="C2162" t="n">
        <v>133835</v>
      </c>
      <c r="D2162" t="n">
        <v>1779212</v>
      </c>
      <c r="E2162">
        <f>IF(A2162="","",COUNTIFS($A$2:$A$20000,A2162,$B$2:$B$20000,"&gt;"&amp;B2162)+1)</f>
        <v/>
      </c>
    </row>
    <row r="2163">
      <c r="A2163" t="inlineStr">
        <is>
          <t>샘플종목20</t>
        </is>
      </c>
      <c r="B2163" s="3" t="n">
        <v>46052</v>
      </c>
      <c r="C2163" t="n">
        <v>131305</v>
      </c>
      <c r="D2163" t="n">
        <v>4377160</v>
      </c>
      <c r="E2163">
        <f>IF(A2163="","",COUNTIFS($A$2:$A$20000,A2163,$B$2:$B$20000,"&gt;"&amp;B2163)+1)</f>
        <v/>
      </c>
    </row>
    <row r="2164">
      <c r="A2164" t="inlineStr">
        <is>
          <t>샘플종목20</t>
        </is>
      </c>
      <c r="B2164" s="3" t="n">
        <v>46059</v>
      </c>
      <c r="C2164" t="n">
        <v>129802</v>
      </c>
      <c r="D2164" t="n">
        <v>3006120</v>
      </c>
      <c r="E2164">
        <f>IF(A2164="","",COUNTIFS($A$2:$A$20000,A2164,$B$2:$B$20000,"&gt;"&amp;B2164)+1)</f>
        <v/>
      </c>
    </row>
    <row r="2165">
      <c r="A2165" t="inlineStr">
        <is>
          <t>샘플종목20</t>
        </is>
      </c>
      <c r="B2165" s="3" t="n">
        <v>46066</v>
      </c>
      <c r="C2165" t="n">
        <v>135092</v>
      </c>
      <c r="D2165" t="n">
        <v>7564651</v>
      </c>
      <c r="E2165">
        <f>IF(A2165="","",COUNTIFS($A$2:$A$20000,A2165,$B$2:$B$20000,"&gt;"&amp;B2165)+1)</f>
        <v/>
      </c>
    </row>
    <row r="2166">
      <c r="A2166" t="inlineStr">
        <is>
          <t>샘플종목20</t>
        </is>
      </c>
      <c r="B2166" s="3" t="n">
        <v>46073</v>
      </c>
      <c r="C2166" t="n">
        <v>146422</v>
      </c>
      <c r="D2166" t="n">
        <v>7828124</v>
      </c>
      <c r="E2166">
        <f>IF(A2166="","",COUNTIFS($A$2:$A$20000,A2166,$B$2:$B$20000,"&gt;"&amp;B2166)+1)</f>
        <v/>
      </c>
    </row>
    <row r="2167">
      <c r="A2167" t="inlineStr">
        <is>
          <t>샘플종목20</t>
        </is>
      </c>
      <c r="B2167" s="3" t="n">
        <v>46080</v>
      </c>
      <c r="C2167" t="n">
        <v>145908</v>
      </c>
      <c r="D2167" t="n">
        <v>5843614</v>
      </c>
      <c r="E2167">
        <f>IF(A2167="","",COUNTIFS($A$2:$A$20000,A2167,$B$2:$B$20000,"&gt;"&amp;B2167)+1)</f>
        <v/>
      </c>
    </row>
    <row r="2168">
      <c r="A2168" t="inlineStr">
        <is>
          <t>샘플종목20</t>
        </is>
      </c>
      <c r="B2168" s="3" t="n">
        <v>46087</v>
      </c>
      <c r="C2168" t="n">
        <v>144452</v>
      </c>
      <c r="D2168" t="n">
        <v>6609271</v>
      </c>
      <c r="E2168">
        <f>IF(A2168="","",COUNTIFS($A$2:$A$20000,A2168,$B$2:$B$20000,"&gt;"&amp;B2168)+1)</f>
        <v/>
      </c>
    </row>
    <row r="2169">
      <c r="A2169" t="inlineStr">
        <is>
          <t>샘플종목20</t>
        </is>
      </c>
      <c r="B2169" s="3" t="n">
        <v>46094</v>
      </c>
      <c r="C2169" t="n">
        <v>148263</v>
      </c>
      <c r="D2169" t="n">
        <v>3895943</v>
      </c>
      <c r="E2169">
        <f>IF(A2169="","",COUNTIFS($A$2:$A$20000,A2169,$B$2:$B$20000,"&gt;"&amp;B2169)+1)</f>
        <v/>
      </c>
    </row>
    <row r="2170">
      <c r="A2170" t="inlineStr">
        <is>
          <t>샘플종목20</t>
        </is>
      </c>
      <c r="B2170" s="3" t="n">
        <v>46101</v>
      </c>
      <c r="C2170" t="n">
        <v>151743</v>
      </c>
      <c r="D2170" t="n">
        <v>5984658</v>
      </c>
      <c r="E2170">
        <f>IF(A2170="","",COUNTIFS($A$2:$A$20000,A2170,$B$2:$B$20000,"&gt;"&amp;B2170)+1)</f>
        <v/>
      </c>
    </row>
    <row r="2171">
      <c r="A2171" t="inlineStr">
        <is>
          <t>샘플종목20</t>
        </is>
      </c>
      <c r="B2171" s="3" t="n">
        <v>46108</v>
      </c>
      <c r="C2171" t="n">
        <v>154625</v>
      </c>
      <c r="D2171" t="n">
        <v>5729503</v>
      </c>
      <c r="E2171">
        <f>IF(A2171="","",COUNTIFS($A$2:$A$20000,A2171,$B$2:$B$20000,"&gt;"&amp;B2171)+1)</f>
        <v/>
      </c>
    </row>
    <row r="2172">
      <c r="A2172" t="inlineStr">
        <is>
          <t>샘플종목20</t>
        </is>
      </c>
      <c r="B2172" s="3" t="n">
        <v>46115</v>
      </c>
      <c r="C2172" t="n">
        <v>154784</v>
      </c>
      <c r="D2172" t="n">
        <v>3286801</v>
      </c>
      <c r="E2172">
        <f>IF(A2172="","",COUNTIFS($A$2:$A$20000,A2172,$B$2:$B$20000,"&gt;"&amp;B2172)+1)</f>
        <v/>
      </c>
    </row>
    <row r="2173">
      <c r="A2173" t="inlineStr">
        <is>
          <t>샘플종목20</t>
        </is>
      </c>
      <c r="B2173" s="3" t="n">
        <v>46122</v>
      </c>
      <c r="C2173" t="n">
        <v>155950</v>
      </c>
      <c r="D2173" t="n">
        <v>1318837</v>
      </c>
      <c r="E2173">
        <f>IF(A2173="","",COUNTIFS($A$2:$A$20000,A2173,$B$2:$B$20000,"&gt;"&amp;B2173)+1)</f>
        <v/>
      </c>
    </row>
    <row r="2174">
      <c r="A2174" t="inlineStr">
        <is>
          <t>샘플종목20</t>
        </is>
      </c>
      <c r="B2174" s="3" t="n">
        <v>46129</v>
      </c>
      <c r="C2174" t="n">
        <v>159287</v>
      </c>
      <c r="D2174" t="n">
        <v>9947923</v>
      </c>
      <c r="E2174">
        <f>IF(A2174="","",COUNTIFS($A$2:$A$20000,A2174,$B$2:$B$20000,"&gt;"&amp;B2174)+1)</f>
        <v/>
      </c>
    </row>
    <row r="2175">
      <c r="A2175" t="inlineStr">
        <is>
          <t>샘플종목20</t>
        </is>
      </c>
      <c r="B2175" s="3" t="n">
        <v>46136</v>
      </c>
      <c r="C2175" t="n">
        <v>157503</v>
      </c>
      <c r="D2175" t="n">
        <v>5334011</v>
      </c>
      <c r="E2175">
        <f>IF(A2175="","",COUNTIFS($A$2:$A$20000,A2175,$B$2:$B$20000,"&gt;"&amp;B2175)+1)</f>
        <v/>
      </c>
    </row>
    <row r="2176">
      <c r="A2176" t="inlineStr">
        <is>
          <t>샘플종목20</t>
        </is>
      </c>
      <c r="B2176" s="3" t="n">
        <v>46143</v>
      </c>
      <c r="C2176" t="n">
        <v>155713</v>
      </c>
      <c r="D2176" t="n">
        <v>2510204</v>
      </c>
      <c r="E2176">
        <f>IF(A2176="","",COUNTIFS($A$2:$A$20000,A2176,$B$2:$B$20000,"&gt;"&amp;B2176)+1)</f>
        <v/>
      </c>
    </row>
    <row r="2177">
      <c r="A2177" t="inlineStr">
        <is>
          <t>샘플종목20</t>
        </is>
      </c>
      <c r="B2177" s="3" t="n">
        <v>46150</v>
      </c>
      <c r="C2177" t="n">
        <v>152689</v>
      </c>
      <c r="D2177" t="n">
        <v>8176407</v>
      </c>
      <c r="E2177">
        <f>IF(A2177="","",COUNTIFS($A$2:$A$20000,A2177,$B$2:$B$20000,"&gt;"&amp;B2177)+1)</f>
        <v/>
      </c>
    </row>
    <row r="2178">
      <c r="A2178" t="inlineStr">
        <is>
          <t>샘플종목20</t>
        </is>
      </c>
      <c r="B2178" s="3" t="n">
        <v>46157</v>
      </c>
      <c r="C2178" t="n">
        <v>167253</v>
      </c>
      <c r="D2178" t="n">
        <v>6525871</v>
      </c>
      <c r="E2178">
        <f>IF(A2178="","",COUNTIFS($A$2:$A$20000,A2178,$B$2:$B$20000,"&gt;"&amp;B2178)+1)</f>
        <v/>
      </c>
    </row>
    <row r="2179">
      <c r="A2179" t="inlineStr">
        <is>
          <t>샘플종목20</t>
        </is>
      </c>
      <c r="B2179" s="3" t="n">
        <v>46164</v>
      </c>
      <c r="C2179" t="n">
        <v>178506</v>
      </c>
      <c r="D2179" t="n">
        <v>4360405</v>
      </c>
      <c r="E2179">
        <f>IF(A2179="","",COUNTIFS($A$2:$A$20000,A2179,$B$2:$B$20000,"&gt;"&amp;B2179)+1)</f>
        <v/>
      </c>
    </row>
    <row r="2180">
      <c r="A2180" t="inlineStr">
        <is>
          <t>샘플종목20</t>
        </is>
      </c>
      <c r="B2180" s="3" t="n">
        <v>46171</v>
      </c>
      <c r="C2180" t="n">
        <v>173519</v>
      </c>
      <c r="D2180" t="n">
        <v>3845661</v>
      </c>
      <c r="E2180">
        <f>IF(A2180="","",COUNTIFS($A$2:$A$20000,A2180,$B$2:$B$20000,"&gt;"&amp;B2180)+1)</f>
        <v/>
      </c>
    </row>
    <row r="2181">
      <c r="A2181" t="inlineStr">
        <is>
          <t>샘플종목20</t>
        </is>
      </c>
      <c r="B2181" s="3" t="n">
        <v>46178</v>
      </c>
      <c r="C2181" t="n">
        <v>166501</v>
      </c>
      <c r="D2181" t="n">
        <v>1141100</v>
      </c>
      <c r="E2181">
        <f>IF(A2181="","",COUNTIFS($A$2:$A$20000,A2181,$B$2:$B$20000,"&gt;"&amp;B2181)+1)</f>
        <v/>
      </c>
    </row>
    <row r="2182">
      <c r="A2182" t="inlineStr">
        <is>
          <t>샘플종목20</t>
        </is>
      </c>
      <c r="B2182" s="3" t="n">
        <v>46185</v>
      </c>
      <c r="C2182" t="n">
        <v>167891</v>
      </c>
      <c r="D2182" t="n">
        <v>2282209</v>
      </c>
      <c r="E2182">
        <f>IF(A2182="","",COUNTIFS($A$2:$A$20000,A2182,$B$2:$B$20000,"&gt;"&amp;B2182)+1)</f>
        <v/>
      </c>
    </row>
    <row r="2183">
      <c r="A2183" t="inlineStr">
        <is>
          <t>샘플종목20</t>
        </is>
      </c>
      <c r="B2183" s="3" t="n">
        <v>46192</v>
      </c>
      <c r="C2183" t="n">
        <v>168686</v>
      </c>
      <c r="D2183" t="n">
        <v>6062112</v>
      </c>
      <c r="E2183">
        <f>IF(A2183="","",COUNTIFS($A$2:$A$20000,A2183,$B$2:$B$20000,"&gt;"&amp;B2183)+1)</f>
        <v/>
      </c>
    </row>
    <row r="2184">
      <c r="A2184" t="inlineStr">
        <is>
          <t>샘플종목20</t>
        </is>
      </c>
      <c r="B2184" s="3" t="n">
        <v>46199</v>
      </c>
      <c r="C2184" t="n">
        <v>161947</v>
      </c>
      <c r="D2184" t="n">
        <v>2421293</v>
      </c>
      <c r="E2184">
        <f>IF(A2184="","",COUNTIFS($A$2:$A$20000,A2184,$B$2:$B$20000,"&gt;"&amp;B2184)+1)</f>
        <v/>
      </c>
    </row>
    <row r="2185">
      <c r="A2185" t="inlineStr">
        <is>
          <t>샘플종목20</t>
        </is>
      </c>
      <c r="B2185" s="3" t="n">
        <v>46206</v>
      </c>
      <c r="C2185" t="n">
        <v>170112</v>
      </c>
      <c r="D2185" t="n">
        <v>6297121</v>
      </c>
      <c r="E2185">
        <f>IF(A2185="","",COUNTIFS($A$2:$A$20000,A2185,$B$2:$B$20000,"&gt;"&amp;B2185)+1)</f>
        <v/>
      </c>
    </row>
    <row r="2186">
      <c r="A2186" t="inlineStr">
        <is>
          <t>샘플종목20</t>
        </is>
      </c>
      <c r="B2186" s="3" t="n">
        <v>46213</v>
      </c>
      <c r="C2186" t="n">
        <v>171677</v>
      </c>
      <c r="D2186" t="n">
        <v>6244321</v>
      </c>
      <c r="E2186">
        <f>IF(A2186="","",COUNTIFS($A$2:$A$20000,A2186,$B$2:$B$20000,"&gt;"&amp;B2186)+1)</f>
        <v/>
      </c>
    </row>
    <row r="2187">
      <c r="A2187" t="inlineStr">
        <is>
          <t>샘플종목20</t>
        </is>
      </c>
      <c r="B2187" s="3" t="n">
        <v>46220</v>
      </c>
      <c r="C2187" t="n">
        <v>166940</v>
      </c>
      <c r="D2187" t="n">
        <v>2888885</v>
      </c>
      <c r="E2187">
        <f>IF(A2187="","",COUNTIFS($A$2:$A$20000,A2187,$B$2:$B$20000,"&gt;"&amp;B2187)+1)</f>
        <v/>
      </c>
    </row>
    <row r="2188">
      <c r="A2188" t="inlineStr">
        <is>
          <t>샘플종목20</t>
        </is>
      </c>
      <c r="B2188" s="3" t="n">
        <v>46227</v>
      </c>
      <c r="C2188" t="n">
        <v>164061</v>
      </c>
      <c r="D2188" t="n">
        <v>4265652</v>
      </c>
      <c r="E2188">
        <f>IF(A2188="","",COUNTIFS($A$2:$A$20000,A2188,$B$2:$B$20000,"&gt;"&amp;B2188)+1)</f>
        <v/>
      </c>
    </row>
    <row r="2189">
      <c r="A2189" t="inlineStr">
        <is>
          <t>샘플종목20</t>
        </is>
      </c>
      <c r="B2189" s="3" t="n">
        <v>46234</v>
      </c>
      <c r="C2189" t="n">
        <v>163929</v>
      </c>
      <c r="D2189" t="n">
        <v>2882072</v>
      </c>
      <c r="E2189">
        <f>IF(A2189="","",COUNTIFS($A$2:$A$20000,A2189,$B$2:$B$20000,"&gt;"&amp;B2189)+1)</f>
        <v/>
      </c>
    </row>
    <row r="2190">
      <c r="A2190" t="inlineStr">
        <is>
          <t>샘플종목20</t>
        </is>
      </c>
      <c r="B2190" s="3" t="n">
        <v>46241</v>
      </c>
      <c r="C2190" t="n">
        <v>162845</v>
      </c>
      <c r="D2190" t="n">
        <v>604824</v>
      </c>
      <c r="E2190">
        <f>IF(A2190="","",COUNTIFS($A$2:$A$20000,A2190,$B$2:$B$20000,"&gt;"&amp;B2190)+1)</f>
        <v/>
      </c>
    </row>
    <row r="2191">
      <c r="A2191" t="inlineStr">
        <is>
          <t>샘플종목20</t>
        </is>
      </c>
      <c r="B2191" s="3" t="n">
        <v>46248</v>
      </c>
      <c r="C2191" t="n">
        <v>169392</v>
      </c>
      <c r="D2191" t="n">
        <v>3857785</v>
      </c>
      <c r="E2191">
        <f>IF(A2191="","",COUNTIFS($A$2:$A$20000,A2191,$B$2:$B$20000,"&gt;"&amp;B2191)+1)</f>
        <v/>
      </c>
    </row>
    <row r="2192">
      <c r="A2192" t="inlineStr">
        <is>
          <t>샘플종목20</t>
        </is>
      </c>
      <c r="B2192" s="3" t="n">
        <v>46255</v>
      </c>
      <c r="C2192" t="n">
        <v>161321</v>
      </c>
      <c r="D2192" t="n">
        <v>6545475</v>
      </c>
      <c r="E2192">
        <f>IF(A2192="","",COUNTIFS($A$2:$A$20000,A2192,$B$2:$B$20000,"&gt;"&amp;B2192)+1)</f>
        <v/>
      </c>
    </row>
    <row r="2193">
      <c r="A2193" t="inlineStr">
        <is>
          <t>샘플종목20</t>
        </is>
      </c>
      <c r="B2193" s="3" t="n">
        <v>46262</v>
      </c>
      <c r="C2193" t="n">
        <v>150820</v>
      </c>
      <c r="D2193" t="n">
        <v>6229547</v>
      </c>
      <c r="E2193">
        <f>IF(A2193="","",COUNTIFS($A$2:$A$20000,A2193,$B$2:$B$20000,"&gt;"&amp;B2193)+1)</f>
        <v/>
      </c>
    </row>
    <row r="2194">
      <c r="A2194" t="inlineStr">
        <is>
          <t>샘플종목20</t>
        </is>
      </c>
      <c r="B2194" s="3" t="n">
        <v>46269</v>
      </c>
      <c r="C2194" t="n">
        <v>151852</v>
      </c>
      <c r="D2194" t="n">
        <v>4511084</v>
      </c>
      <c r="E2194">
        <f>IF(A2194="","",COUNTIFS($A$2:$A$20000,A2194,$B$2:$B$20000,"&gt;"&amp;B2194)+1)</f>
        <v/>
      </c>
    </row>
    <row r="2195">
      <c r="A2195" t="inlineStr">
        <is>
          <t>샘플종목20</t>
        </is>
      </c>
      <c r="B2195" s="3" t="n">
        <v>46276</v>
      </c>
      <c r="C2195" t="n">
        <v>164973</v>
      </c>
      <c r="D2195" t="n">
        <v>226489</v>
      </c>
      <c r="E2195">
        <f>IF(A2195="","",COUNTIFS($A$2:$A$20000,A2195,$B$2:$B$20000,"&gt;"&amp;B2195)+1)</f>
        <v/>
      </c>
    </row>
    <row r="2196">
      <c r="A2196" t="inlineStr">
        <is>
          <t>샘플종목20</t>
        </is>
      </c>
      <c r="B2196" s="3" t="n">
        <v>46283</v>
      </c>
      <c r="C2196" t="n">
        <v>174557</v>
      </c>
      <c r="D2196" t="n">
        <v>6296622</v>
      </c>
      <c r="E2196">
        <f>IF(A2196="","",COUNTIFS($A$2:$A$20000,A2196,$B$2:$B$20000,"&gt;"&amp;B2196)+1)</f>
        <v/>
      </c>
    </row>
    <row r="2197">
      <c r="A2197" t="inlineStr">
        <is>
          <t>샘플종목20</t>
        </is>
      </c>
      <c r="B2197" s="3" t="n">
        <v>46290</v>
      </c>
      <c r="C2197" t="n">
        <v>178126</v>
      </c>
      <c r="D2197" t="n">
        <v>4039510</v>
      </c>
      <c r="E2197">
        <f>IF(A2197="","",COUNTIFS($A$2:$A$20000,A2197,$B$2:$B$20000,"&gt;"&amp;B2197)+1)</f>
        <v/>
      </c>
    </row>
    <row r="2198">
      <c r="A2198" t="inlineStr">
        <is>
          <t>샘플종목20</t>
        </is>
      </c>
      <c r="B2198" s="3" t="n">
        <v>46297</v>
      </c>
      <c r="C2198" t="n">
        <v>176881</v>
      </c>
      <c r="D2198" t="n">
        <v>8277681</v>
      </c>
      <c r="E2198">
        <f>IF(A2198="","",COUNTIFS($A$2:$A$20000,A2198,$B$2:$B$20000,"&gt;"&amp;B2198)+1)</f>
        <v/>
      </c>
    </row>
    <row r="2199">
      <c r="A2199" t="inlineStr">
        <is>
          <t>샘플종목20</t>
        </is>
      </c>
      <c r="B2199" s="3" t="n">
        <v>46304</v>
      </c>
      <c r="C2199" t="n">
        <v>185078</v>
      </c>
      <c r="D2199" t="n">
        <v>2043541</v>
      </c>
      <c r="E2199">
        <f>IF(A2199="","",COUNTIFS($A$2:$A$20000,A2199,$B$2:$B$20000,"&gt;"&amp;B2199)+1)</f>
        <v/>
      </c>
    </row>
    <row r="2200">
      <c r="A2200" t="inlineStr">
        <is>
          <t>샘플종목20</t>
        </is>
      </c>
      <c r="B2200" s="3" t="n">
        <v>46311</v>
      </c>
      <c r="C2200" t="n">
        <v>192715</v>
      </c>
      <c r="D2200" t="n">
        <v>8357022</v>
      </c>
      <c r="E2200">
        <f>IF(A2200="","",COUNTIFS($A$2:$A$20000,A2200,$B$2:$B$20000,"&gt;"&amp;B2200)+1)</f>
        <v/>
      </c>
    </row>
    <row r="2201">
      <c r="A2201" t="inlineStr">
        <is>
          <t>샘플종목20</t>
        </is>
      </c>
      <c r="B2201" s="3" t="n">
        <v>46318</v>
      </c>
      <c r="C2201" t="n">
        <v>199350</v>
      </c>
      <c r="D2201" t="n">
        <v>1672590</v>
      </c>
      <c r="E2201">
        <f>IF(A2201="","",COUNTIFS($A$2:$A$20000,A2201,$B$2:$B$20000,"&gt;"&amp;B2201)+1)</f>
        <v/>
      </c>
    </row>
    <row r="2202">
      <c r="A2202" t="inlineStr">
        <is>
          <t>샘플종목21</t>
        </is>
      </c>
      <c r="B2202" s="3" t="n">
        <v>45555</v>
      </c>
      <c r="C2202" t="n">
        <v>76514</v>
      </c>
      <c r="D2202" t="n">
        <v>3971285</v>
      </c>
      <c r="E2202">
        <f>IF(A2202="","",COUNTIFS($A$2:$A$20000,A2202,$B$2:$B$20000,"&gt;"&amp;B2202)+1)</f>
        <v/>
      </c>
    </row>
    <row r="2203">
      <c r="A2203" t="inlineStr">
        <is>
          <t>샘플종목21</t>
        </is>
      </c>
      <c r="B2203" s="3" t="n">
        <v>45562</v>
      </c>
      <c r="C2203" t="n">
        <v>77321</v>
      </c>
      <c r="D2203" t="n">
        <v>7244215</v>
      </c>
      <c r="E2203">
        <f>IF(A2203="","",COUNTIFS($A$2:$A$20000,A2203,$B$2:$B$20000,"&gt;"&amp;B2203)+1)</f>
        <v/>
      </c>
    </row>
    <row r="2204">
      <c r="A2204" t="inlineStr">
        <is>
          <t>샘플종목21</t>
        </is>
      </c>
      <c r="B2204" s="3" t="n">
        <v>45569</v>
      </c>
      <c r="C2204" t="n">
        <v>76032</v>
      </c>
      <c r="D2204" t="n">
        <v>1239262</v>
      </c>
      <c r="E2204">
        <f>IF(A2204="","",COUNTIFS($A$2:$A$20000,A2204,$B$2:$B$20000,"&gt;"&amp;B2204)+1)</f>
        <v/>
      </c>
    </row>
    <row r="2205">
      <c r="A2205" t="inlineStr">
        <is>
          <t>샘플종목21</t>
        </is>
      </c>
      <c r="B2205" s="3" t="n">
        <v>45576</v>
      </c>
      <c r="C2205" t="n">
        <v>76743</v>
      </c>
      <c r="D2205" t="n">
        <v>4564250</v>
      </c>
      <c r="E2205">
        <f>IF(A2205="","",COUNTIFS($A$2:$A$20000,A2205,$B$2:$B$20000,"&gt;"&amp;B2205)+1)</f>
        <v/>
      </c>
    </row>
    <row r="2206">
      <c r="A2206" t="inlineStr">
        <is>
          <t>샘플종목21</t>
        </is>
      </c>
      <c r="B2206" s="3" t="n">
        <v>45583</v>
      </c>
      <c r="C2206" t="n">
        <v>74676</v>
      </c>
      <c r="D2206" t="n">
        <v>5779880</v>
      </c>
      <c r="E2206">
        <f>IF(A2206="","",COUNTIFS($A$2:$A$20000,A2206,$B$2:$B$20000,"&gt;"&amp;B2206)+1)</f>
        <v/>
      </c>
    </row>
    <row r="2207">
      <c r="A2207" t="inlineStr">
        <is>
          <t>샘플종목21</t>
        </is>
      </c>
      <c r="B2207" s="3" t="n">
        <v>45590</v>
      </c>
      <c r="C2207" t="n">
        <v>77400</v>
      </c>
      <c r="D2207" t="n">
        <v>9407796</v>
      </c>
      <c r="E2207">
        <f>IF(A2207="","",COUNTIFS($A$2:$A$20000,A2207,$B$2:$B$20000,"&gt;"&amp;B2207)+1)</f>
        <v/>
      </c>
    </row>
    <row r="2208">
      <c r="A2208" t="inlineStr">
        <is>
          <t>샘플종목21</t>
        </is>
      </c>
      <c r="B2208" s="3" t="n">
        <v>45597</v>
      </c>
      <c r="C2208" t="n">
        <v>81012</v>
      </c>
      <c r="D2208" t="n">
        <v>8219615</v>
      </c>
      <c r="E2208">
        <f>IF(A2208="","",COUNTIFS($A$2:$A$20000,A2208,$B$2:$B$20000,"&gt;"&amp;B2208)+1)</f>
        <v/>
      </c>
    </row>
    <row r="2209">
      <c r="A2209" t="inlineStr">
        <is>
          <t>샘플종목21</t>
        </is>
      </c>
      <c r="B2209" s="3" t="n">
        <v>45604</v>
      </c>
      <c r="C2209" t="n">
        <v>82536</v>
      </c>
      <c r="D2209" t="n">
        <v>3721639</v>
      </c>
      <c r="E2209">
        <f>IF(A2209="","",COUNTIFS($A$2:$A$20000,A2209,$B$2:$B$20000,"&gt;"&amp;B2209)+1)</f>
        <v/>
      </c>
    </row>
    <row r="2210">
      <c r="A2210" t="inlineStr">
        <is>
          <t>샘플종목21</t>
        </is>
      </c>
      <c r="B2210" s="3" t="n">
        <v>45611</v>
      </c>
      <c r="C2210" t="n">
        <v>76544</v>
      </c>
      <c r="D2210" t="n">
        <v>6411923</v>
      </c>
      <c r="E2210">
        <f>IF(A2210="","",COUNTIFS($A$2:$A$20000,A2210,$B$2:$B$20000,"&gt;"&amp;B2210)+1)</f>
        <v/>
      </c>
    </row>
    <row r="2211">
      <c r="A2211" t="inlineStr">
        <is>
          <t>샘플종목21</t>
        </is>
      </c>
      <c r="B2211" s="3" t="n">
        <v>45618</v>
      </c>
      <c r="C2211" t="n">
        <v>74316</v>
      </c>
      <c r="D2211" t="n">
        <v>1946290</v>
      </c>
      <c r="E2211">
        <f>IF(A2211="","",COUNTIFS($A$2:$A$20000,A2211,$B$2:$B$20000,"&gt;"&amp;B2211)+1)</f>
        <v/>
      </c>
    </row>
    <row r="2212">
      <c r="A2212" t="inlineStr">
        <is>
          <t>샘플종목21</t>
        </is>
      </c>
      <c r="B2212" s="3" t="n">
        <v>45625</v>
      </c>
      <c r="C2212" t="n">
        <v>77404</v>
      </c>
      <c r="D2212" t="n">
        <v>1039019</v>
      </c>
      <c r="E2212">
        <f>IF(A2212="","",COUNTIFS($A$2:$A$20000,A2212,$B$2:$B$20000,"&gt;"&amp;B2212)+1)</f>
        <v/>
      </c>
    </row>
    <row r="2213">
      <c r="A2213" t="inlineStr">
        <is>
          <t>샘플종목21</t>
        </is>
      </c>
      <c r="B2213" s="3" t="n">
        <v>45632</v>
      </c>
      <c r="C2213" t="n">
        <v>78769</v>
      </c>
      <c r="D2213" t="n">
        <v>4122125</v>
      </c>
      <c r="E2213">
        <f>IF(A2213="","",COUNTIFS($A$2:$A$20000,A2213,$B$2:$B$20000,"&gt;"&amp;B2213)+1)</f>
        <v/>
      </c>
    </row>
    <row r="2214">
      <c r="A2214" t="inlineStr">
        <is>
          <t>샘플종목21</t>
        </is>
      </c>
      <c r="B2214" s="3" t="n">
        <v>45639</v>
      </c>
      <c r="C2214" t="n">
        <v>75195</v>
      </c>
      <c r="D2214" t="n">
        <v>5406167</v>
      </c>
      <c r="E2214">
        <f>IF(A2214="","",COUNTIFS($A$2:$A$20000,A2214,$B$2:$B$20000,"&gt;"&amp;B2214)+1)</f>
        <v/>
      </c>
    </row>
    <row r="2215">
      <c r="A2215" t="inlineStr">
        <is>
          <t>샘플종목21</t>
        </is>
      </c>
      <c r="B2215" s="3" t="n">
        <v>45646</v>
      </c>
      <c r="C2215" t="n">
        <v>74860</v>
      </c>
      <c r="D2215" t="n">
        <v>3663220</v>
      </c>
      <c r="E2215">
        <f>IF(A2215="","",COUNTIFS($A$2:$A$20000,A2215,$B$2:$B$20000,"&gt;"&amp;B2215)+1)</f>
        <v/>
      </c>
    </row>
    <row r="2216">
      <c r="A2216" t="inlineStr">
        <is>
          <t>샘플종목21</t>
        </is>
      </c>
      <c r="B2216" s="3" t="n">
        <v>45653</v>
      </c>
      <c r="C2216" t="n">
        <v>77750</v>
      </c>
      <c r="D2216" t="n">
        <v>7959763</v>
      </c>
      <c r="E2216">
        <f>IF(A2216="","",COUNTIFS($A$2:$A$20000,A2216,$B$2:$B$20000,"&gt;"&amp;B2216)+1)</f>
        <v/>
      </c>
    </row>
    <row r="2217">
      <c r="A2217" t="inlineStr">
        <is>
          <t>샘플종목21</t>
        </is>
      </c>
      <c r="B2217" s="3" t="n">
        <v>45660</v>
      </c>
      <c r="C2217" t="n">
        <v>80015</v>
      </c>
      <c r="D2217" t="n">
        <v>7833198</v>
      </c>
      <c r="E2217">
        <f>IF(A2217="","",COUNTIFS($A$2:$A$20000,A2217,$B$2:$B$20000,"&gt;"&amp;B2217)+1)</f>
        <v/>
      </c>
    </row>
    <row r="2218">
      <c r="A2218" t="inlineStr">
        <is>
          <t>샘플종목21</t>
        </is>
      </c>
      <c r="B2218" s="3" t="n">
        <v>45667</v>
      </c>
      <c r="C2218" t="n">
        <v>80547</v>
      </c>
      <c r="D2218" t="n">
        <v>7700321</v>
      </c>
      <c r="E2218">
        <f>IF(A2218="","",COUNTIFS($A$2:$A$20000,A2218,$B$2:$B$20000,"&gt;"&amp;B2218)+1)</f>
        <v/>
      </c>
    </row>
    <row r="2219">
      <c r="A2219" t="inlineStr">
        <is>
          <t>샘플종목21</t>
        </is>
      </c>
      <c r="B2219" s="3" t="n">
        <v>45674</v>
      </c>
      <c r="C2219" t="n">
        <v>79037</v>
      </c>
      <c r="D2219" t="n">
        <v>5432122</v>
      </c>
      <c r="E2219">
        <f>IF(A2219="","",COUNTIFS($A$2:$A$20000,A2219,$B$2:$B$20000,"&gt;"&amp;B2219)+1)</f>
        <v/>
      </c>
    </row>
    <row r="2220">
      <c r="A2220" t="inlineStr">
        <is>
          <t>샘플종목21</t>
        </is>
      </c>
      <c r="B2220" s="3" t="n">
        <v>45681</v>
      </c>
      <c r="C2220" t="n">
        <v>81290</v>
      </c>
      <c r="D2220" t="n">
        <v>6160525</v>
      </c>
      <c r="E2220">
        <f>IF(A2220="","",COUNTIFS($A$2:$A$20000,A2220,$B$2:$B$20000,"&gt;"&amp;B2220)+1)</f>
        <v/>
      </c>
    </row>
    <row r="2221">
      <c r="A2221" t="inlineStr">
        <is>
          <t>샘플종목21</t>
        </is>
      </c>
      <c r="B2221" s="3" t="n">
        <v>45688</v>
      </c>
      <c r="C2221" t="n">
        <v>82976</v>
      </c>
      <c r="D2221" t="n">
        <v>1243297</v>
      </c>
      <c r="E2221">
        <f>IF(A2221="","",COUNTIFS($A$2:$A$20000,A2221,$B$2:$B$20000,"&gt;"&amp;B2221)+1)</f>
        <v/>
      </c>
    </row>
    <row r="2222">
      <c r="A2222" t="inlineStr">
        <is>
          <t>샘플종목21</t>
        </is>
      </c>
      <c r="B2222" s="3" t="n">
        <v>45695</v>
      </c>
      <c r="C2222" t="n">
        <v>90122</v>
      </c>
      <c r="D2222" t="n">
        <v>8179579</v>
      </c>
      <c r="E2222">
        <f>IF(A2222="","",COUNTIFS($A$2:$A$20000,A2222,$B$2:$B$20000,"&gt;"&amp;B2222)+1)</f>
        <v/>
      </c>
    </row>
    <row r="2223">
      <c r="A2223" t="inlineStr">
        <is>
          <t>샘플종목21</t>
        </is>
      </c>
      <c r="B2223" s="3" t="n">
        <v>45702</v>
      </c>
      <c r="C2223" t="n">
        <v>97395</v>
      </c>
      <c r="D2223" t="n">
        <v>4417123</v>
      </c>
      <c r="E2223">
        <f>IF(A2223="","",COUNTIFS($A$2:$A$20000,A2223,$B$2:$B$20000,"&gt;"&amp;B2223)+1)</f>
        <v/>
      </c>
    </row>
    <row r="2224">
      <c r="A2224" t="inlineStr">
        <is>
          <t>샘플종목21</t>
        </is>
      </c>
      <c r="B2224" s="3" t="n">
        <v>45709</v>
      </c>
      <c r="C2224" t="n">
        <v>97835</v>
      </c>
      <c r="D2224" t="n">
        <v>8734538</v>
      </c>
      <c r="E2224">
        <f>IF(A2224="","",COUNTIFS($A$2:$A$20000,A2224,$B$2:$B$20000,"&gt;"&amp;B2224)+1)</f>
        <v/>
      </c>
    </row>
    <row r="2225">
      <c r="A2225" t="inlineStr">
        <is>
          <t>샘플종목21</t>
        </is>
      </c>
      <c r="B2225" s="3" t="n">
        <v>45716</v>
      </c>
      <c r="C2225" t="n">
        <v>98554</v>
      </c>
      <c r="D2225" t="n">
        <v>510582</v>
      </c>
      <c r="E2225">
        <f>IF(A2225="","",COUNTIFS($A$2:$A$20000,A2225,$B$2:$B$20000,"&gt;"&amp;B2225)+1)</f>
        <v/>
      </c>
    </row>
    <row r="2226">
      <c r="A2226" t="inlineStr">
        <is>
          <t>샘플종목21</t>
        </is>
      </c>
      <c r="B2226" s="3" t="n">
        <v>45723</v>
      </c>
      <c r="C2226" t="n">
        <v>95027</v>
      </c>
      <c r="D2226" t="n">
        <v>640533</v>
      </c>
      <c r="E2226">
        <f>IF(A2226="","",COUNTIFS($A$2:$A$20000,A2226,$B$2:$B$20000,"&gt;"&amp;B2226)+1)</f>
        <v/>
      </c>
    </row>
    <row r="2227">
      <c r="A2227" t="inlineStr">
        <is>
          <t>샘플종목21</t>
        </is>
      </c>
      <c r="B2227" s="3" t="n">
        <v>45730</v>
      </c>
      <c r="C2227" t="n">
        <v>90672</v>
      </c>
      <c r="D2227" t="n">
        <v>9111500</v>
      </c>
      <c r="E2227">
        <f>IF(A2227="","",COUNTIFS($A$2:$A$20000,A2227,$B$2:$B$20000,"&gt;"&amp;B2227)+1)</f>
        <v/>
      </c>
    </row>
    <row r="2228">
      <c r="A2228" t="inlineStr">
        <is>
          <t>샘플종목21</t>
        </is>
      </c>
      <c r="B2228" s="3" t="n">
        <v>45737</v>
      </c>
      <c r="C2228" t="n">
        <v>87135</v>
      </c>
      <c r="D2228" t="n">
        <v>2437044</v>
      </c>
      <c r="E2228">
        <f>IF(A2228="","",COUNTIFS($A$2:$A$20000,A2228,$B$2:$B$20000,"&gt;"&amp;B2228)+1)</f>
        <v/>
      </c>
    </row>
    <row r="2229">
      <c r="A2229" t="inlineStr">
        <is>
          <t>샘플종목21</t>
        </is>
      </c>
      <c r="B2229" s="3" t="n">
        <v>45744</v>
      </c>
      <c r="C2229" t="n">
        <v>82491</v>
      </c>
      <c r="D2229" t="n">
        <v>6215097</v>
      </c>
      <c r="E2229">
        <f>IF(A2229="","",COUNTIFS($A$2:$A$20000,A2229,$B$2:$B$20000,"&gt;"&amp;B2229)+1)</f>
        <v/>
      </c>
    </row>
    <row r="2230">
      <c r="A2230" t="inlineStr">
        <is>
          <t>샘플종목21</t>
        </is>
      </c>
      <c r="B2230" s="3" t="n">
        <v>45751</v>
      </c>
      <c r="C2230" t="n">
        <v>86304</v>
      </c>
      <c r="D2230" t="n">
        <v>5502380</v>
      </c>
      <c r="E2230">
        <f>IF(A2230="","",COUNTIFS($A$2:$A$20000,A2230,$B$2:$B$20000,"&gt;"&amp;B2230)+1)</f>
        <v/>
      </c>
    </row>
    <row r="2231">
      <c r="A2231" t="inlineStr">
        <is>
          <t>샘플종목21</t>
        </is>
      </c>
      <c r="B2231" s="3" t="n">
        <v>45758</v>
      </c>
      <c r="C2231" t="n">
        <v>91399</v>
      </c>
      <c r="D2231" t="n">
        <v>800486</v>
      </c>
      <c r="E2231">
        <f>IF(A2231="","",COUNTIFS($A$2:$A$20000,A2231,$B$2:$B$20000,"&gt;"&amp;B2231)+1)</f>
        <v/>
      </c>
    </row>
    <row r="2232">
      <c r="A2232" t="inlineStr">
        <is>
          <t>샘플종목21</t>
        </is>
      </c>
      <c r="B2232" s="3" t="n">
        <v>45765</v>
      </c>
      <c r="C2232" t="n">
        <v>93768</v>
      </c>
      <c r="D2232" t="n">
        <v>3148885</v>
      </c>
      <c r="E2232">
        <f>IF(A2232="","",COUNTIFS($A$2:$A$20000,A2232,$B$2:$B$20000,"&gt;"&amp;B2232)+1)</f>
        <v/>
      </c>
    </row>
    <row r="2233">
      <c r="A2233" t="inlineStr">
        <is>
          <t>샘플종목21</t>
        </is>
      </c>
      <c r="B2233" s="3" t="n">
        <v>45772</v>
      </c>
      <c r="C2233" t="n">
        <v>91150</v>
      </c>
      <c r="D2233" t="n">
        <v>3906577</v>
      </c>
      <c r="E2233">
        <f>IF(A2233="","",COUNTIFS($A$2:$A$20000,A2233,$B$2:$B$20000,"&gt;"&amp;B2233)+1)</f>
        <v/>
      </c>
    </row>
    <row r="2234">
      <c r="A2234" t="inlineStr">
        <is>
          <t>샘플종목21</t>
        </is>
      </c>
      <c r="B2234" s="3" t="n">
        <v>45779</v>
      </c>
      <c r="C2234" t="n">
        <v>95351</v>
      </c>
      <c r="D2234" t="n">
        <v>1475168</v>
      </c>
      <c r="E2234">
        <f>IF(A2234="","",COUNTIFS($A$2:$A$20000,A2234,$B$2:$B$20000,"&gt;"&amp;B2234)+1)</f>
        <v/>
      </c>
    </row>
    <row r="2235">
      <c r="A2235" t="inlineStr">
        <is>
          <t>샘플종목21</t>
        </is>
      </c>
      <c r="B2235" s="3" t="n">
        <v>45786</v>
      </c>
      <c r="C2235" t="n">
        <v>95956</v>
      </c>
      <c r="D2235" t="n">
        <v>7639355</v>
      </c>
      <c r="E2235">
        <f>IF(A2235="","",COUNTIFS($A$2:$A$20000,A2235,$B$2:$B$20000,"&gt;"&amp;B2235)+1)</f>
        <v/>
      </c>
    </row>
    <row r="2236">
      <c r="A2236" t="inlineStr">
        <is>
          <t>샘플종목21</t>
        </is>
      </c>
      <c r="B2236" s="3" t="n">
        <v>45793</v>
      </c>
      <c r="C2236" t="n">
        <v>96362</v>
      </c>
      <c r="D2236" t="n">
        <v>7465457</v>
      </c>
      <c r="E2236">
        <f>IF(A2236="","",COUNTIFS($A$2:$A$20000,A2236,$B$2:$B$20000,"&gt;"&amp;B2236)+1)</f>
        <v/>
      </c>
    </row>
    <row r="2237">
      <c r="A2237" t="inlineStr">
        <is>
          <t>샘플종목21</t>
        </is>
      </c>
      <c r="B2237" s="3" t="n">
        <v>45800</v>
      </c>
      <c r="C2237" t="n">
        <v>97575</v>
      </c>
      <c r="D2237" t="n">
        <v>2456942</v>
      </c>
      <c r="E2237">
        <f>IF(A2237="","",COUNTIFS($A$2:$A$20000,A2237,$B$2:$B$20000,"&gt;"&amp;B2237)+1)</f>
        <v/>
      </c>
    </row>
    <row r="2238">
      <c r="A2238" t="inlineStr">
        <is>
          <t>샘플종목21</t>
        </is>
      </c>
      <c r="B2238" s="3" t="n">
        <v>45807</v>
      </c>
      <c r="C2238" t="n">
        <v>99539</v>
      </c>
      <c r="D2238" t="n">
        <v>5368476</v>
      </c>
      <c r="E2238">
        <f>IF(A2238="","",COUNTIFS($A$2:$A$20000,A2238,$B$2:$B$20000,"&gt;"&amp;B2238)+1)</f>
        <v/>
      </c>
    </row>
    <row r="2239">
      <c r="A2239" t="inlineStr">
        <is>
          <t>샘플종목21</t>
        </is>
      </c>
      <c r="B2239" s="3" t="n">
        <v>45814</v>
      </c>
      <c r="C2239" t="n">
        <v>96865</v>
      </c>
      <c r="D2239" t="n">
        <v>9886199</v>
      </c>
      <c r="E2239">
        <f>IF(A2239="","",COUNTIFS($A$2:$A$20000,A2239,$B$2:$B$20000,"&gt;"&amp;B2239)+1)</f>
        <v/>
      </c>
    </row>
    <row r="2240">
      <c r="A2240" t="inlineStr">
        <is>
          <t>샘플종목21</t>
        </is>
      </c>
      <c r="B2240" s="3" t="n">
        <v>45821</v>
      </c>
      <c r="C2240" t="n">
        <v>97508</v>
      </c>
      <c r="D2240" t="n">
        <v>519866</v>
      </c>
      <c r="E2240">
        <f>IF(A2240="","",COUNTIFS($A$2:$A$20000,A2240,$B$2:$B$20000,"&gt;"&amp;B2240)+1)</f>
        <v/>
      </c>
    </row>
    <row r="2241">
      <c r="A2241" t="inlineStr">
        <is>
          <t>샘플종목21</t>
        </is>
      </c>
      <c r="B2241" s="3" t="n">
        <v>45828</v>
      </c>
      <c r="C2241" t="n">
        <v>99074</v>
      </c>
      <c r="D2241" t="n">
        <v>2871312</v>
      </c>
      <c r="E2241">
        <f>IF(A2241="","",COUNTIFS($A$2:$A$20000,A2241,$B$2:$B$20000,"&gt;"&amp;B2241)+1)</f>
        <v/>
      </c>
    </row>
    <row r="2242">
      <c r="A2242" t="inlineStr">
        <is>
          <t>샘플종목21</t>
        </is>
      </c>
      <c r="B2242" s="3" t="n">
        <v>45835</v>
      </c>
      <c r="C2242" t="n">
        <v>108891</v>
      </c>
      <c r="D2242" t="n">
        <v>4010782</v>
      </c>
      <c r="E2242">
        <f>IF(A2242="","",COUNTIFS($A$2:$A$20000,A2242,$B$2:$B$20000,"&gt;"&amp;B2242)+1)</f>
        <v/>
      </c>
    </row>
    <row r="2243">
      <c r="A2243" t="inlineStr">
        <is>
          <t>샘플종목21</t>
        </is>
      </c>
      <c r="B2243" s="3" t="n">
        <v>45842</v>
      </c>
      <c r="C2243" t="n">
        <v>109948</v>
      </c>
      <c r="D2243" t="n">
        <v>1204343</v>
      </c>
      <c r="E2243">
        <f>IF(A2243="","",COUNTIFS($A$2:$A$20000,A2243,$B$2:$B$20000,"&gt;"&amp;B2243)+1)</f>
        <v/>
      </c>
    </row>
    <row r="2244">
      <c r="A2244" t="inlineStr">
        <is>
          <t>샘플종목21</t>
        </is>
      </c>
      <c r="B2244" s="3" t="n">
        <v>45849</v>
      </c>
      <c r="C2244" t="n">
        <v>104957</v>
      </c>
      <c r="D2244" t="n">
        <v>8356125</v>
      </c>
      <c r="E2244">
        <f>IF(A2244="","",COUNTIFS($A$2:$A$20000,A2244,$B$2:$B$20000,"&gt;"&amp;B2244)+1)</f>
        <v/>
      </c>
    </row>
    <row r="2245">
      <c r="A2245" t="inlineStr">
        <is>
          <t>샘플종목21</t>
        </is>
      </c>
      <c r="B2245" s="3" t="n">
        <v>45856</v>
      </c>
      <c r="C2245" t="n">
        <v>105890</v>
      </c>
      <c r="D2245" t="n">
        <v>3661313</v>
      </c>
      <c r="E2245">
        <f>IF(A2245="","",COUNTIFS($A$2:$A$20000,A2245,$B$2:$B$20000,"&gt;"&amp;B2245)+1)</f>
        <v/>
      </c>
    </row>
    <row r="2246">
      <c r="A2246" t="inlineStr">
        <is>
          <t>샘플종목21</t>
        </is>
      </c>
      <c r="B2246" s="3" t="n">
        <v>45863</v>
      </c>
      <c r="C2246" t="n">
        <v>103961</v>
      </c>
      <c r="D2246" t="n">
        <v>7992692</v>
      </c>
      <c r="E2246">
        <f>IF(A2246="","",COUNTIFS($A$2:$A$20000,A2246,$B$2:$B$20000,"&gt;"&amp;B2246)+1)</f>
        <v/>
      </c>
    </row>
    <row r="2247">
      <c r="A2247" t="inlineStr">
        <is>
          <t>샘플종목21</t>
        </is>
      </c>
      <c r="B2247" s="3" t="n">
        <v>45870</v>
      </c>
      <c r="C2247" t="n">
        <v>102165</v>
      </c>
      <c r="D2247" t="n">
        <v>3487457</v>
      </c>
      <c r="E2247">
        <f>IF(A2247="","",COUNTIFS($A$2:$A$20000,A2247,$B$2:$B$20000,"&gt;"&amp;B2247)+1)</f>
        <v/>
      </c>
    </row>
    <row r="2248">
      <c r="A2248" t="inlineStr">
        <is>
          <t>샘플종목21</t>
        </is>
      </c>
      <c r="B2248" s="3" t="n">
        <v>45877</v>
      </c>
      <c r="C2248" t="n">
        <v>99739</v>
      </c>
      <c r="D2248" t="n">
        <v>4646288</v>
      </c>
      <c r="E2248">
        <f>IF(A2248="","",COUNTIFS($A$2:$A$20000,A2248,$B$2:$B$20000,"&gt;"&amp;B2248)+1)</f>
        <v/>
      </c>
    </row>
    <row r="2249">
      <c r="A2249" t="inlineStr">
        <is>
          <t>샘플종목21</t>
        </is>
      </c>
      <c r="B2249" s="3" t="n">
        <v>45884</v>
      </c>
      <c r="C2249" t="n">
        <v>106437</v>
      </c>
      <c r="D2249" t="n">
        <v>3896387</v>
      </c>
      <c r="E2249">
        <f>IF(A2249="","",COUNTIFS($A$2:$A$20000,A2249,$B$2:$B$20000,"&gt;"&amp;B2249)+1)</f>
        <v/>
      </c>
    </row>
    <row r="2250">
      <c r="A2250" t="inlineStr">
        <is>
          <t>샘플종목21</t>
        </is>
      </c>
      <c r="B2250" s="3" t="n">
        <v>45891</v>
      </c>
      <c r="C2250" t="n">
        <v>113711</v>
      </c>
      <c r="D2250" t="n">
        <v>632969</v>
      </c>
      <c r="E2250">
        <f>IF(A2250="","",COUNTIFS($A$2:$A$20000,A2250,$B$2:$B$20000,"&gt;"&amp;B2250)+1)</f>
        <v/>
      </c>
    </row>
    <row r="2251">
      <c r="A2251" t="inlineStr">
        <is>
          <t>샘플종목21</t>
        </is>
      </c>
      <c r="B2251" s="3" t="n">
        <v>45898</v>
      </c>
      <c r="C2251" t="n">
        <v>112740</v>
      </c>
      <c r="D2251" t="n">
        <v>6927980</v>
      </c>
      <c r="E2251">
        <f>IF(A2251="","",COUNTIFS($A$2:$A$20000,A2251,$B$2:$B$20000,"&gt;"&amp;B2251)+1)</f>
        <v/>
      </c>
    </row>
    <row r="2252">
      <c r="A2252" t="inlineStr">
        <is>
          <t>샘플종목21</t>
        </is>
      </c>
      <c r="B2252" s="3" t="n">
        <v>45905</v>
      </c>
      <c r="C2252" t="n">
        <v>115013</v>
      </c>
      <c r="D2252" t="n">
        <v>485116</v>
      </c>
      <c r="E2252">
        <f>IF(A2252="","",COUNTIFS($A$2:$A$20000,A2252,$B$2:$B$20000,"&gt;"&amp;B2252)+1)</f>
        <v/>
      </c>
    </row>
    <row r="2253">
      <c r="A2253" t="inlineStr">
        <is>
          <t>샘플종목21</t>
        </is>
      </c>
      <c r="B2253" s="3" t="n">
        <v>45912</v>
      </c>
      <c r="C2253" t="n">
        <v>119508</v>
      </c>
      <c r="D2253" t="n">
        <v>9639300</v>
      </c>
      <c r="E2253">
        <f>IF(A2253="","",COUNTIFS($A$2:$A$20000,A2253,$B$2:$B$20000,"&gt;"&amp;B2253)+1)</f>
        <v/>
      </c>
    </row>
    <row r="2254">
      <c r="A2254" t="inlineStr">
        <is>
          <t>샘플종목21</t>
        </is>
      </c>
      <c r="B2254" s="3" t="n">
        <v>45919</v>
      </c>
      <c r="C2254" t="n">
        <v>117751</v>
      </c>
      <c r="D2254" t="n">
        <v>102648</v>
      </c>
      <c r="E2254">
        <f>IF(A2254="","",COUNTIFS($A$2:$A$20000,A2254,$B$2:$B$20000,"&gt;"&amp;B2254)+1)</f>
        <v/>
      </c>
    </row>
    <row r="2255">
      <c r="A2255" t="inlineStr">
        <is>
          <t>샘플종목21</t>
        </is>
      </c>
      <c r="B2255" s="3" t="n">
        <v>45926</v>
      </c>
      <c r="C2255" t="n">
        <v>119980</v>
      </c>
      <c r="D2255" t="n">
        <v>2697296</v>
      </c>
      <c r="E2255">
        <f>IF(A2255="","",COUNTIFS($A$2:$A$20000,A2255,$B$2:$B$20000,"&gt;"&amp;B2255)+1)</f>
        <v/>
      </c>
    </row>
    <row r="2256">
      <c r="A2256" t="inlineStr">
        <is>
          <t>샘플종목21</t>
        </is>
      </c>
      <c r="B2256" s="3" t="n">
        <v>45933</v>
      </c>
      <c r="C2256" t="n">
        <v>117328</v>
      </c>
      <c r="D2256" t="n">
        <v>7719537</v>
      </c>
      <c r="E2256">
        <f>IF(A2256="","",COUNTIFS($A$2:$A$20000,A2256,$B$2:$B$20000,"&gt;"&amp;B2256)+1)</f>
        <v/>
      </c>
    </row>
    <row r="2257">
      <c r="A2257" t="inlineStr">
        <is>
          <t>샘플종목21</t>
        </is>
      </c>
      <c r="B2257" s="3" t="n">
        <v>45940</v>
      </c>
      <c r="C2257" t="n">
        <v>115296</v>
      </c>
      <c r="D2257" t="n">
        <v>8070270</v>
      </c>
      <c r="E2257">
        <f>IF(A2257="","",COUNTIFS($A$2:$A$20000,A2257,$B$2:$B$20000,"&gt;"&amp;B2257)+1)</f>
        <v/>
      </c>
    </row>
    <row r="2258">
      <c r="A2258" t="inlineStr">
        <is>
          <t>샘플종목21</t>
        </is>
      </c>
      <c r="B2258" s="3" t="n">
        <v>45947</v>
      </c>
      <c r="C2258" t="n">
        <v>108795</v>
      </c>
      <c r="D2258" t="n">
        <v>2410033</v>
      </c>
      <c r="E2258">
        <f>IF(A2258="","",COUNTIFS($A$2:$A$20000,A2258,$B$2:$B$20000,"&gt;"&amp;B2258)+1)</f>
        <v/>
      </c>
    </row>
    <row r="2259">
      <c r="A2259" t="inlineStr">
        <is>
          <t>샘플종목21</t>
        </is>
      </c>
      <c r="B2259" s="3" t="n">
        <v>45954</v>
      </c>
      <c r="C2259" t="n">
        <v>106411</v>
      </c>
      <c r="D2259" t="n">
        <v>4480080</v>
      </c>
      <c r="E2259">
        <f>IF(A2259="","",COUNTIFS($A$2:$A$20000,A2259,$B$2:$B$20000,"&gt;"&amp;B2259)+1)</f>
        <v/>
      </c>
    </row>
    <row r="2260">
      <c r="A2260" t="inlineStr">
        <is>
          <t>샘플종목21</t>
        </is>
      </c>
      <c r="B2260" s="3" t="n">
        <v>45961</v>
      </c>
      <c r="C2260" t="n">
        <v>106753</v>
      </c>
      <c r="D2260" t="n">
        <v>7079760</v>
      </c>
      <c r="E2260">
        <f>IF(A2260="","",COUNTIFS($A$2:$A$20000,A2260,$B$2:$B$20000,"&gt;"&amp;B2260)+1)</f>
        <v/>
      </c>
    </row>
    <row r="2261">
      <c r="A2261" t="inlineStr">
        <is>
          <t>샘플종목21</t>
        </is>
      </c>
      <c r="B2261" s="3" t="n">
        <v>45968</v>
      </c>
      <c r="C2261" t="n">
        <v>109127</v>
      </c>
      <c r="D2261" t="n">
        <v>2602308</v>
      </c>
      <c r="E2261">
        <f>IF(A2261="","",COUNTIFS($A$2:$A$20000,A2261,$B$2:$B$20000,"&gt;"&amp;B2261)+1)</f>
        <v/>
      </c>
    </row>
    <row r="2262">
      <c r="A2262" t="inlineStr">
        <is>
          <t>샘플종목21</t>
        </is>
      </c>
      <c r="B2262" s="3" t="n">
        <v>45975</v>
      </c>
      <c r="C2262" t="n">
        <v>122640</v>
      </c>
      <c r="D2262" t="n">
        <v>2369322</v>
      </c>
      <c r="E2262">
        <f>IF(A2262="","",COUNTIFS($A$2:$A$20000,A2262,$B$2:$B$20000,"&gt;"&amp;B2262)+1)</f>
        <v/>
      </c>
    </row>
    <row r="2263">
      <c r="A2263" t="inlineStr">
        <is>
          <t>샘플종목21</t>
        </is>
      </c>
      <c r="B2263" s="3" t="n">
        <v>45982</v>
      </c>
      <c r="C2263" t="n">
        <v>113452</v>
      </c>
      <c r="D2263" t="n">
        <v>9854490</v>
      </c>
      <c r="E2263">
        <f>IF(A2263="","",COUNTIFS($A$2:$A$20000,A2263,$B$2:$B$20000,"&gt;"&amp;B2263)+1)</f>
        <v/>
      </c>
    </row>
    <row r="2264">
      <c r="A2264" t="inlineStr">
        <is>
          <t>샘플종목21</t>
        </is>
      </c>
      <c r="B2264" s="3" t="n">
        <v>45989</v>
      </c>
      <c r="C2264" t="n">
        <v>110394</v>
      </c>
      <c r="D2264" t="n">
        <v>2914341</v>
      </c>
      <c r="E2264">
        <f>IF(A2264="","",COUNTIFS($A$2:$A$20000,A2264,$B$2:$B$20000,"&gt;"&amp;B2264)+1)</f>
        <v/>
      </c>
    </row>
    <row r="2265">
      <c r="A2265" t="inlineStr">
        <is>
          <t>샘플종목21</t>
        </is>
      </c>
      <c r="B2265" s="3" t="n">
        <v>45996</v>
      </c>
      <c r="C2265" t="n">
        <v>117275</v>
      </c>
      <c r="D2265" t="n">
        <v>4031072</v>
      </c>
      <c r="E2265">
        <f>IF(A2265="","",COUNTIFS($A$2:$A$20000,A2265,$B$2:$B$20000,"&gt;"&amp;B2265)+1)</f>
        <v/>
      </c>
    </row>
    <row r="2266">
      <c r="A2266" t="inlineStr">
        <is>
          <t>샘플종목21</t>
        </is>
      </c>
      <c r="B2266" s="3" t="n">
        <v>46003</v>
      </c>
      <c r="C2266" t="n">
        <v>115812</v>
      </c>
      <c r="D2266" t="n">
        <v>7690325</v>
      </c>
      <c r="E2266">
        <f>IF(A2266="","",COUNTIFS($A$2:$A$20000,A2266,$B$2:$B$20000,"&gt;"&amp;B2266)+1)</f>
        <v/>
      </c>
    </row>
    <row r="2267">
      <c r="A2267" t="inlineStr">
        <is>
          <t>샘플종목21</t>
        </is>
      </c>
      <c r="B2267" s="3" t="n">
        <v>46010</v>
      </c>
      <c r="C2267" t="n">
        <v>116926</v>
      </c>
      <c r="D2267" t="n">
        <v>6960706</v>
      </c>
      <c r="E2267">
        <f>IF(A2267="","",COUNTIFS($A$2:$A$20000,A2267,$B$2:$B$20000,"&gt;"&amp;B2267)+1)</f>
        <v/>
      </c>
    </row>
    <row r="2268">
      <c r="A2268" t="inlineStr">
        <is>
          <t>샘플종목21</t>
        </is>
      </c>
      <c r="B2268" s="3" t="n">
        <v>46017</v>
      </c>
      <c r="C2268" t="n">
        <v>117039</v>
      </c>
      <c r="D2268" t="n">
        <v>3840688</v>
      </c>
      <c r="E2268">
        <f>IF(A2268="","",COUNTIFS($A$2:$A$20000,A2268,$B$2:$B$20000,"&gt;"&amp;B2268)+1)</f>
        <v/>
      </c>
    </row>
    <row r="2269">
      <c r="A2269" t="inlineStr">
        <is>
          <t>샘플종목21</t>
        </is>
      </c>
      <c r="B2269" s="3" t="n">
        <v>46024</v>
      </c>
      <c r="C2269" t="n">
        <v>123356</v>
      </c>
      <c r="D2269" t="n">
        <v>2629386</v>
      </c>
      <c r="E2269">
        <f>IF(A2269="","",COUNTIFS($A$2:$A$20000,A2269,$B$2:$B$20000,"&gt;"&amp;B2269)+1)</f>
        <v/>
      </c>
    </row>
    <row r="2270">
      <c r="A2270" t="inlineStr">
        <is>
          <t>샘플종목21</t>
        </is>
      </c>
      <c r="B2270" s="3" t="n">
        <v>46031</v>
      </c>
      <c r="C2270" t="n">
        <v>127366</v>
      </c>
      <c r="D2270" t="n">
        <v>6940913</v>
      </c>
      <c r="E2270">
        <f>IF(A2270="","",COUNTIFS($A$2:$A$20000,A2270,$B$2:$B$20000,"&gt;"&amp;B2270)+1)</f>
        <v/>
      </c>
    </row>
    <row r="2271">
      <c r="A2271" t="inlineStr">
        <is>
          <t>샘플종목21</t>
        </is>
      </c>
      <c r="B2271" s="3" t="n">
        <v>46038</v>
      </c>
      <c r="C2271" t="n">
        <v>126543</v>
      </c>
      <c r="D2271" t="n">
        <v>1691201</v>
      </c>
      <c r="E2271">
        <f>IF(A2271="","",COUNTIFS($A$2:$A$20000,A2271,$B$2:$B$20000,"&gt;"&amp;B2271)+1)</f>
        <v/>
      </c>
    </row>
    <row r="2272">
      <c r="A2272" t="inlineStr">
        <is>
          <t>샘플종목21</t>
        </is>
      </c>
      <c r="B2272" s="3" t="n">
        <v>46045</v>
      </c>
      <c r="C2272" t="n">
        <v>137444</v>
      </c>
      <c r="D2272" t="n">
        <v>1846570</v>
      </c>
      <c r="E2272">
        <f>IF(A2272="","",COUNTIFS($A$2:$A$20000,A2272,$B$2:$B$20000,"&gt;"&amp;B2272)+1)</f>
        <v/>
      </c>
    </row>
    <row r="2273">
      <c r="A2273" t="inlineStr">
        <is>
          <t>샘플종목21</t>
        </is>
      </c>
      <c r="B2273" s="3" t="n">
        <v>46052</v>
      </c>
      <c r="C2273" t="n">
        <v>141605</v>
      </c>
      <c r="D2273" t="n">
        <v>393728</v>
      </c>
      <c r="E2273">
        <f>IF(A2273="","",COUNTIFS($A$2:$A$20000,A2273,$B$2:$B$20000,"&gt;"&amp;B2273)+1)</f>
        <v/>
      </c>
    </row>
    <row r="2274">
      <c r="A2274" t="inlineStr">
        <is>
          <t>샘플종목21</t>
        </is>
      </c>
      <c r="B2274" s="3" t="n">
        <v>46059</v>
      </c>
      <c r="C2274" t="n">
        <v>143672</v>
      </c>
      <c r="D2274" t="n">
        <v>3038943</v>
      </c>
      <c r="E2274">
        <f>IF(A2274="","",COUNTIFS($A$2:$A$20000,A2274,$B$2:$B$20000,"&gt;"&amp;B2274)+1)</f>
        <v/>
      </c>
    </row>
    <row r="2275">
      <c r="A2275" t="inlineStr">
        <is>
          <t>샘플종목21</t>
        </is>
      </c>
      <c r="B2275" s="3" t="n">
        <v>46066</v>
      </c>
      <c r="C2275" t="n">
        <v>142712</v>
      </c>
      <c r="D2275" t="n">
        <v>2421494</v>
      </c>
      <c r="E2275">
        <f>IF(A2275="","",COUNTIFS($A$2:$A$20000,A2275,$B$2:$B$20000,"&gt;"&amp;B2275)+1)</f>
        <v/>
      </c>
    </row>
    <row r="2276">
      <c r="A2276" t="inlineStr">
        <is>
          <t>샘플종목21</t>
        </is>
      </c>
      <c r="B2276" s="3" t="n">
        <v>46073</v>
      </c>
      <c r="C2276" t="n">
        <v>136853</v>
      </c>
      <c r="D2276" t="n">
        <v>5137793</v>
      </c>
      <c r="E2276">
        <f>IF(A2276="","",COUNTIFS($A$2:$A$20000,A2276,$B$2:$B$20000,"&gt;"&amp;B2276)+1)</f>
        <v/>
      </c>
    </row>
    <row r="2277">
      <c r="A2277" t="inlineStr">
        <is>
          <t>샘플종목21</t>
        </is>
      </c>
      <c r="B2277" s="3" t="n">
        <v>46080</v>
      </c>
      <c r="C2277" t="n">
        <v>140362</v>
      </c>
      <c r="D2277" t="n">
        <v>8703402</v>
      </c>
      <c r="E2277">
        <f>IF(A2277="","",COUNTIFS($A$2:$A$20000,A2277,$B$2:$B$20000,"&gt;"&amp;B2277)+1)</f>
        <v/>
      </c>
    </row>
    <row r="2278">
      <c r="A2278" t="inlineStr">
        <is>
          <t>샘플종목21</t>
        </is>
      </c>
      <c r="B2278" s="3" t="n">
        <v>46087</v>
      </c>
      <c r="C2278" t="n">
        <v>135351</v>
      </c>
      <c r="D2278" t="n">
        <v>8481790</v>
      </c>
      <c r="E2278">
        <f>IF(A2278="","",COUNTIFS($A$2:$A$20000,A2278,$B$2:$B$20000,"&gt;"&amp;B2278)+1)</f>
        <v/>
      </c>
    </row>
    <row r="2279">
      <c r="A2279" t="inlineStr">
        <is>
          <t>샘플종목21</t>
        </is>
      </c>
      <c r="B2279" s="3" t="n">
        <v>46094</v>
      </c>
      <c r="C2279" t="n">
        <v>132687</v>
      </c>
      <c r="D2279" t="n">
        <v>8998913</v>
      </c>
      <c r="E2279">
        <f>IF(A2279="","",COUNTIFS($A$2:$A$20000,A2279,$B$2:$B$20000,"&gt;"&amp;B2279)+1)</f>
        <v/>
      </c>
    </row>
    <row r="2280">
      <c r="A2280" t="inlineStr">
        <is>
          <t>샘플종목21</t>
        </is>
      </c>
      <c r="B2280" s="3" t="n">
        <v>46101</v>
      </c>
      <c r="C2280" t="n">
        <v>124782</v>
      </c>
      <c r="D2280" t="n">
        <v>8855985</v>
      </c>
      <c r="E2280">
        <f>IF(A2280="","",COUNTIFS($A$2:$A$20000,A2280,$B$2:$B$20000,"&gt;"&amp;B2280)+1)</f>
        <v/>
      </c>
    </row>
    <row r="2281">
      <c r="A2281" t="inlineStr">
        <is>
          <t>샘플종목21</t>
        </is>
      </c>
      <c r="B2281" s="3" t="n">
        <v>46108</v>
      </c>
      <c r="C2281" t="n">
        <v>120403</v>
      </c>
      <c r="D2281" t="n">
        <v>9466889</v>
      </c>
      <c r="E2281">
        <f>IF(A2281="","",COUNTIFS($A$2:$A$20000,A2281,$B$2:$B$20000,"&gt;"&amp;B2281)+1)</f>
        <v/>
      </c>
    </row>
    <row r="2282">
      <c r="A2282" t="inlineStr">
        <is>
          <t>샘플종목21</t>
        </is>
      </c>
      <c r="B2282" s="3" t="n">
        <v>46115</v>
      </c>
      <c r="C2282" t="n">
        <v>121319</v>
      </c>
      <c r="D2282" t="n">
        <v>4350477</v>
      </c>
      <c r="E2282">
        <f>IF(A2282="","",COUNTIFS($A$2:$A$20000,A2282,$B$2:$B$20000,"&gt;"&amp;B2282)+1)</f>
        <v/>
      </c>
    </row>
    <row r="2283">
      <c r="A2283" t="inlineStr">
        <is>
          <t>샘플종목21</t>
        </is>
      </c>
      <c r="B2283" s="3" t="n">
        <v>46122</v>
      </c>
      <c r="C2283" t="n">
        <v>123367</v>
      </c>
      <c r="D2283" t="n">
        <v>9668298</v>
      </c>
      <c r="E2283">
        <f>IF(A2283="","",COUNTIFS($A$2:$A$20000,A2283,$B$2:$B$20000,"&gt;"&amp;B2283)+1)</f>
        <v/>
      </c>
    </row>
    <row r="2284">
      <c r="A2284" t="inlineStr">
        <is>
          <t>샘플종목21</t>
        </is>
      </c>
      <c r="B2284" s="3" t="n">
        <v>46129</v>
      </c>
      <c r="C2284" t="n">
        <v>116405</v>
      </c>
      <c r="D2284" t="n">
        <v>4389218</v>
      </c>
      <c r="E2284">
        <f>IF(A2284="","",COUNTIFS($A$2:$A$20000,A2284,$B$2:$B$20000,"&gt;"&amp;B2284)+1)</f>
        <v/>
      </c>
    </row>
    <row r="2285">
      <c r="A2285" t="inlineStr">
        <is>
          <t>샘플종목21</t>
        </is>
      </c>
      <c r="B2285" s="3" t="n">
        <v>46136</v>
      </c>
      <c r="C2285" t="n">
        <v>122867</v>
      </c>
      <c r="D2285" t="n">
        <v>4068759</v>
      </c>
      <c r="E2285">
        <f>IF(A2285="","",COUNTIFS($A$2:$A$20000,A2285,$B$2:$B$20000,"&gt;"&amp;B2285)+1)</f>
        <v/>
      </c>
    </row>
    <row r="2286">
      <c r="A2286" t="inlineStr">
        <is>
          <t>샘플종목21</t>
        </is>
      </c>
      <c r="B2286" s="3" t="n">
        <v>46143</v>
      </c>
      <c r="C2286" t="n">
        <v>112646</v>
      </c>
      <c r="D2286" t="n">
        <v>4419082</v>
      </c>
      <c r="E2286">
        <f>IF(A2286="","",COUNTIFS($A$2:$A$20000,A2286,$B$2:$B$20000,"&gt;"&amp;B2286)+1)</f>
        <v/>
      </c>
    </row>
    <row r="2287">
      <c r="A2287" t="inlineStr">
        <is>
          <t>샘플종목21</t>
        </is>
      </c>
      <c r="B2287" s="3" t="n">
        <v>46150</v>
      </c>
      <c r="C2287" t="n">
        <v>118790</v>
      </c>
      <c r="D2287" t="n">
        <v>1331870</v>
      </c>
      <c r="E2287">
        <f>IF(A2287="","",COUNTIFS($A$2:$A$20000,A2287,$B$2:$B$20000,"&gt;"&amp;B2287)+1)</f>
        <v/>
      </c>
    </row>
    <row r="2288">
      <c r="A2288" t="inlineStr">
        <is>
          <t>샘플종목21</t>
        </is>
      </c>
      <c r="B2288" s="3" t="n">
        <v>46157</v>
      </c>
      <c r="C2288" t="n">
        <v>118534</v>
      </c>
      <c r="D2288" t="n">
        <v>8013507</v>
      </c>
      <c r="E2288">
        <f>IF(A2288="","",COUNTIFS($A$2:$A$20000,A2288,$B$2:$B$20000,"&gt;"&amp;B2288)+1)</f>
        <v/>
      </c>
    </row>
    <row r="2289">
      <c r="A2289" t="inlineStr">
        <is>
          <t>샘플종목21</t>
        </is>
      </c>
      <c r="B2289" s="3" t="n">
        <v>46164</v>
      </c>
      <c r="C2289" t="n">
        <v>117222</v>
      </c>
      <c r="D2289" t="n">
        <v>3662378</v>
      </c>
      <c r="E2289">
        <f>IF(A2289="","",COUNTIFS($A$2:$A$20000,A2289,$B$2:$B$20000,"&gt;"&amp;B2289)+1)</f>
        <v/>
      </c>
    </row>
    <row r="2290">
      <c r="A2290" t="inlineStr">
        <is>
          <t>샘플종목21</t>
        </is>
      </c>
      <c r="B2290" s="3" t="n">
        <v>46171</v>
      </c>
      <c r="C2290" t="n">
        <v>113504</v>
      </c>
      <c r="D2290" t="n">
        <v>261236</v>
      </c>
      <c r="E2290">
        <f>IF(A2290="","",COUNTIFS($A$2:$A$20000,A2290,$B$2:$B$20000,"&gt;"&amp;B2290)+1)</f>
        <v/>
      </c>
    </row>
    <row r="2291">
      <c r="A2291" t="inlineStr">
        <is>
          <t>샘플종목21</t>
        </is>
      </c>
      <c r="B2291" s="3" t="n">
        <v>46178</v>
      </c>
      <c r="C2291" t="n">
        <v>106546</v>
      </c>
      <c r="D2291" t="n">
        <v>7564131</v>
      </c>
      <c r="E2291">
        <f>IF(A2291="","",COUNTIFS($A$2:$A$20000,A2291,$B$2:$B$20000,"&gt;"&amp;B2291)+1)</f>
        <v/>
      </c>
    </row>
    <row r="2292">
      <c r="A2292" t="inlineStr">
        <is>
          <t>샘플종목21</t>
        </is>
      </c>
      <c r="B2292" s="3" t="n">
        <v>46185</v>
      </c>
      <c r="C2292" t="n">
        <v>100421</v>
      </c>
      <c r="D2292" t="n">
        <v>3124034</v>
      </c>
      <c r="E2292">
        <f>IF(A2292="","",COUNTIFS($A$2:$A$20000,A2292,$B$2:$B$20000,"&gt;"&amp;B2292)+1)</f>
        <v/>
      </c>
    </row>
    <row r="2293">
      <c r="A2293" t="inlineStr">
        <is>
          <t>샘플종목21</t>
        </is>
      </c>
      <c r="B2293" s="3" t="n">
        <v>46192</v>
      </c>
      <c r="C2293" t="n">
        <v>101554</v>
      </c>
      <c r="D2293" t="n">
        <v>7909873</v>
      </c>
      <c r="E2293">
        <f>IF(A2293="","",COUNTIFS($A$2:$A$20000,A2293,$B$2:$B$20000,"&gt;"&amp;B2293)+1)</f>
        <v/>
      </c>
    </row>
    <row r="2294">
      <c r="A2294" t="inlineStr">
        <is>
          <t>샘플종목21</t>
        </is>
      </c>
      <c r="B2294" s="3" t="n">
        <v>46199</v>
      </c>
      <c r="C2294" t="n">
        <v>108646</v>
      </c>
      <c r="D2294" t="n">
        <v>4007523</v>
      </c>
      <c r="E2294">
        <f>IF(A2294="","",COUNTIFS($A$2:$A$20000,A2294,$B$2:$B$20000,"&gt;"&amp;B2294)+1)</f>
        <v/>
      </c>
    </row>
    <row r="2295">
      <c r="A2295" t="inlineStr">
        <is>
          <t>샘플종목21</t>
        </is>
      </c>
      <c r="B2295" s="3" t="n">
        <v>46206</v>
      </c>
      <c r="C2295" t="n">
        <v>106896</v>
      </c>
      <c r="D2295" t="n">
        <v>7324938</v>
      </c>
      <c r="E2295">
        <f>IF(A2295="","",COUNTIFS($A$2:$A$20000,A2295,$B$2:$B$20000,"&gt;"&amp;B2295)+1)</f>
        <v/>
      </c>
    </row>
    <row r="2296">
      <c r="A2296" t="inlineStr">
        <is>
          <t>샘플종목21</t>
        </is>
      </c>
      <c r="B2296" s="3" t="n">
        <v>46213</v>
      </c>
      <c r="C2296" t="n">
        <v>116755</v>
      </c>
      <c r="D2296" t="n">
        <v>9202354</v>
      </c>
      <c r="E2296">
        <f>IF(A2296="","",COUNTIFS($A$2:$A$20000,A2296,$B$2:$B$20000,"&gt;"&amp;B2296)+1)</f>
        <v/>
      </c>
    </row>
    <row r="2297">
      <c r="A2297" t="inlineStr">
        <is>
          <t>샘플종목21</t>
        </is>
      </c>
      <c r="B2297" s="3" t="n">
        <v>46220</v>
      </c>
      <c r="C2297" t="n">
        <v>123577</v>
      </c>
      <c r="D2297" t="n">
        <v>6963865</v>
      </c>
      <c r="E2297">
        <f>IF(A2297="","",COUNTIFS($A$2:$A$20000,A2297,$B$2:$B$20000,"&gt;"&amp;B2297)+1)</f>
        <v/>
      </c>
    </row>
    <row r="2298">
      <c r="A2298" t="inlineStr">
        <is>
          <t>샘플종목21</t>
        </is>
      </c>
      <c r="B2298" s="3" t="n">
        <v>46227</v>
      </c>
      <c r="C2298" t="n">
        <v>121670</v>
      </c>
      <c r="D2298" t="n">
        <v>4000643</v>
      </c>
      <c r="E2298">
        <f>IF(A2298="","",COUNTIFS($A$2:$A$20000,A2298,$B$2:$B$20000,"&gt;"&amp;B2298)+1)</f>
        <v/>
      </c>
    </row>
    <row r="2299">
      <c r="A2299" t="inlineStr">
        <is>
          <t>샘플종목21</t>
        </is>
      </c>
      <c r="B2299" s="3" t="n">
        <v>46234</v>
      </c>
      <c r="C2299" t="n">
        <v>123433</v>
      </c>
      <c r="D2299" t="n">
        <v>6321091</v>
      </c>
      <c r="E2299">
        <f>IF(A2299="","",COUNTIFS($A$2:$A$20000,A2299,$B$2:$B$20000,"&gt;"&amp;B2299)+1)</f>
        <v/>
      </c>
    </row>
    <row r="2300">
      <c r="A2300" t="inlineStr">
        <is>
          <t>샘플종목21</t>
        </is>
      </c>
      <c r="B2300" s="3" t="n">
        <v>46241</v>
      </c>
      <c r="C2300" t="n">
        <v>123249</v>
      </c>
      <c r="D2300" t="n">
        <v>8393665</v>
      </c>
      <c r="E2300">
        <f>IF(A2300="","",COUNTIFS($A$2:$A$20000,A2300,$B$2:$B$20000,"&gt;"&amp;B2300)+1)</f>
        <v/>
      </c>
    </row>
    <row r="2301">
      <c r="A2301" t="inlineStr">
        <is>
          <t>샘플종목21</t>
        </is>
      </c>
      <c r="B2301" s="3" t="n">
        <v>46248</v>
      </c>
      <c r="C2301" t="n">
        <v>118860</v>
      </c>
      <c r="D2301" t="n">
        <v>6222125</v>
      </c>
      <c r="E2301">
        <f>IF(A2301="","",COUNTIFS($A$2:$A$20000,A2301,$B$2:$B$20000,"&gt;"&amp;B2301)+1)</f>
        <v/>
      </c>
    </row>
    <row r="2302">
      <c r="A2302" t="inlineStr">
        <is>
          <t>샘플종목21</t>
        </is>
      </c>
      <c r="B2302" s="3" t="n">
        <v>46255</v>
      </c>
      <c r="C2302" t="n">
        <v>121445</v>
      </c>
      <c r="D2302" t="n">
        <v>3706147</v>
      </c>
      <c r="E2302">
        <f>IF(A2302="","",COUNTIFS($A$2:$A$20000,A2302,$B$2:$B$20000,"&gt;"&amp;B2302)+1)</f>
        <v/>
      </c>
    </row>
    <row r="2303">
      <c r="A2303" t="inlineStr">
        <is>
          <t>샘플종목21</t>
        </is>
      </c>
      <c r="B2303" s="3" t="n">
        <v>46262</v>
      </c>
      <c r="C2303" t="n">
        <v>124164</v>
      </c>
      <c r="D2303" t="n">
        <v>4563210</v>
      </c>
      <c r="E2303">
        <f>IF(A2303="","",COUNTIFS($A$2:$A$20000,A2303,$B$2:$B$20000,"&gt;"&amp;B2303)+1)</f>
        <v/>
      </c>
    </row>
    <row r="2304">
      <c r="A2304" t="inlineStr">
        <is>
          <t>샘플종목21</t>
        </is>
      </c>
      <c r="B2304" s="3" t="n">
        <v>46269</v>
      </c>
      <c r="C2304" t="n">
        <v>128908</v>
      </c>
      <c r="D2304" t="n">
        <v>6913889</v>
      </c>
      <c r="E2304">
        <f>IF(A2304="","",COUNTIFS($A$2:$A$20000,A2304,$B$2:$B$20000,"&gt;"&amp;B2304)+1)</f>
        <v/>
      </c>
    </row>
    <row r="2305">
      <c r="A2305" t="inlineStr">
        <is>
          <t>샘플종목21</t>
        </is>
      </c>
      <c r="B2305" s="3" t="n">
        <v>46276</v>
      </c>
      <c r="C2305" t="n">
        <v>133183</v>
      </c>
      <c r="D2305" t="n">
        <v>7159623</v>
      </c>
      <c r="E2305">
        <f>IF(A2305="","",COUNTIFS($A$2:$A$20000,A2305,$B$2:$B$20000,"&gt;"&amp;B2305)+1)</f>
        <v/>
      </c>
    </row>
    <row r="2306">
      <c r="A2306" t="inlineStr">
        <is>
          <t>샘플종목21</t>
        </is>
      </c>
      <c r="B2306" s="3" t="n">
        <v>46283</v>
      </c>
      <c r="C2306" t="n">
        <v>129813</v>
      </c>
      <c r="D2306" t="n">
        <v>7718896</v>
      </c>
      <c r="E2306">
        <f>IF(A2306="","",COUNTIFS($A$2:$A$20000,A2306,$B$2:$B$20000,"&gt;"&amp;B2306)+1)</f>
        <v/>
      </c>
    </row>
    <row r="2307">
      <c r="A2307" t="inlineStr">
        <is>
          <t>샘플종목21</t>
        </is>
      </c>
      <c r="B2307" s="3" t="n">
        <v>46290</v>
      </c>
      <c r="C2307" t="n">
        <v>125422</v>
      </c>
      <c r="D2307" t="n">
        <v>5670642</v>
      </c>
      <c r="E2307">
        <f>IF(A2307="","",COUNTIFS($A$2:$A$20000,A2307,$B$2:$B$20000,"&gt;"&amp;B2307)+1)</f>
        <v/>
      </c>
    </row>
    <row r="2308">
      <c r="A2308" t="inlineStr">
        <is>
          <t>샘플종목21</t>
        </is>
      </c>
      <c r="B2308" s="3" t="n">
        <v>46297</v>
      </c>
      <c r="C2308" t="n">
        <v>121508</v>
      </c>
      <c r="D2308" t="n">
        <v>7435319</v>
      </c>
      <c r="E2308">
        <f>IF(A2308="","",COUNTIFS($A$2:$A$20000,A2308,$B$2:$B$20000,"&gt;"&amp;B2308)+1)</f>
        <v/>
      </c>
    </row>
    <row r="2309">
      <c r="A2309" t="inlineStr">
        <is>
          <t>샘플종목21</t>
        </is>
      </c>
      <c r="B2309" s="3" t="n">
        <v>46304</v>
      </c>
      <c r="C2309" t="n">
        <v>119632</v>
      </c>
      <c r="D2309" t="n">
        <v>5376346</v>
      </c>
      <c r="E2309">
        <f>IF(A2309="","",COUNTIFS($A$2:$A$20000,A2309,$B$2:$B$20000,"&gt;"&amp;B2309)+1)</f>
        <v/>
      </c>
    </row>
    <row r="2310">
      <c r="A2310" t="inlineStr">
        <is>
          <t>샘플종목21</t>
        </is>
      </c>
      <c r="B2310" s="3" t="n">
        <v>46311</v>
      </c>
      <c r="C2310" t="n">
        <v>122350</v>
      </c>
      <c r="D2310" t="n">
        <v>395503</v>
      </c>
      <c r="E2310">
        <f>IF(A2310="","",COUNTIFS($A$2:$A$20000,A2310,$B$2:$B$20000,"&gt;"&amp;B2310)+1)</f>
        <v/>
      </c>
    </row>
    <row r="2311">
      <c r="A2311" t="inlineStr">
        <is>
          <t>샘플종목21</t>
        </is>
      </c>
      <c r="B2311" s="3" t="n">
        <v>46318</v>
      </c>
      <c r="C2311" t="n">
        <v>127600</v>
      </c>
      <c r="D2311" t="n">
        <v>2800093</v>
      </c>
      <c r="E2311">
        <f>IF(A2311="","",COUNTIFS($A$2:$A$20000,A2311,$B$2:$B$20000,"&gt;"&amp;B2311)+1)</f>
        <v/>
      </c>
    </row>
    <row r="2312">
      <c r="A2312" t="inlineStr">
        <is>
          <t>샘플종목22</t>
        </is>
      </c>
      <c r="B2312" s="3" t="n">
        <v>45555</v>
      </c>
      <c r="C2312" t="n">
        <v>85417</v>
      </c>
      <c r="D2312" t="n">
        <v>5002074</v>
      </c>
      <c r="E2312">
        <f>IF(A2312="","",COUNTIFS($A$2:$A$20000,A2312,$B$2:$B$20000,"&gt;"&amp;B2312)+1)</f>
        <v/>
      </c>
    </row>
    <row r="2313">
      <c r="A2313" t="inlineStr">
        <is>
          <t>샘플종목22</t>
        </is>
      </c>
      <c r="B2313" s="3" t="n">
        <v>45562</v>
      </c>
      <c r="C2313" t="n">
        <v>88820</v>
      </c>
      <c r="D2313" t="n">
        <v>9331360</v>
      </c>
      <c r="E2313">
        <f>IF(A2313="","",COUNTIFS($A$2:$A$20000,A2313,$B$2:$B$20000,"&gt;"&amp;B2313)+1)</f>
        <v/>
      </c>
    </row>
    <row r="2314">
      <c r="A2314" t="inlineStr">
        <is>
          <t>샘플종목22</t>
        </is>
      </c>
      <c r="B2314" s="3" t="n">
        <v>45569</v>
      </c>
      <c r="C2314" t="n">
        <v>85835</v>
      </c>
      <c r="D2314" t="n">
        <v>3393417</v>
      </c>
      <c r="E2314">
        <f>IF(A2314="","",COUNTIFS($A$2:$A$20000,A2314,$B$2:$B$20000,"&gt;"&amp;B2314)+1)</f>
        <v/>
      </c>
    </row>
    <row r="2315">
      <c r="A2315" t="inlineStr">
        <is>
          <t>샘플종목22</t>
        </is>
      </c>
      <c r="B2315" s="3" t="n">
        <v>45576</v>
      </c>
      <c r="C2315" t="n">
        <v>82213</v>
      </c>
      <c r="D2315" t="n">
        <v>6294389</v>
      </c>
      <c r="E2315">
        <f>IF(A2315="","",COUNTIFS($A$2:$A$20000,A2315,$B$2:$B$20000,"&gt;"&amp;B2315)+1)</f>
        <v/>
      </c>
    </row>
    <row r="2316">
      <c r="A2316" t="inlineStr">
        <is>
          <t>샘플종목22</t>
        </is>
      </c>
      <c r="B2316" s="3" t="n">
        <v>45583</v>
      </c>
      <c r="C2316" t="n">
        <v>82660</v>
      </c>
      <c r="D2316" t="n">
        <v>4391029</v>
      </c>
      <c r="E2316">
        <f>IF(A2316="","",COUNTIFS($A$2:$A$20000,A2316,$B$2:$B$20000,"&gt;"&amp;B2316)+1)</f>
        <v/>
      </c>
    </row>
    <row r="2317">
      <c r="A2317" t="inlineStr">
        <is>
          <t>샘플종목22</t>
        </is>
      </c>
      <c r="B2317" s="3" t="n">
        <v>45590</v>
      </c>
      <c r="C2317" t="n">
        <v>80042</v>
      </c>
      <c r="D2317" t="n">
        <v>2841526</v>
      </c>
      <c r="E2317">
        <f>IF(A2317="","",COUNTIFS($A$2:$A$20000,A2317,$B$2:$B$20000,"&gt;"&amp;B2317)+1)</f>
        <v/>
      </c>
    </row>
    <row r="2318">
      <c r="A2318" t="inlineStr">
        <is>
          <t>샘플종목22</t>
        </is>
      </c>
      <c r="B2318" s="3" t="n">
        <v>45597</v>
      </c>
      <c r="C2318" t="n">
        <v>82089</v>
      </c>
      <c r="D2318" t="n">
        <v>9978524</v>
      </c>
      <c r="E2318">
        <f>IF(A2318="","",COUNTIFS($A$2:$A$20000,A2318,$B$2:$B$20000,"&gt;"&amp;B2318)+1)</f>
        <v/>
      </c>
    </row>
    <row r="2319">
      <c r="A2319" t="inlineStr">
        <is>
          <t>샘플종목22</t>
        </is>
      </c>
      <c r="B2319" s="3" t="n">
        <v>45604</v>
      </c>
      <c r="C2319" t="n">
        <v>78244</v>
      </c>
      <c r="D2319" t="n">
        <v>865564</v>
      </c>
      <c r="E2319">
        <f>IF(A2319="","",COUNTIFS($A$2:$A$20000,A2319,$B$2:$B$20000,"&gt;"&amp;B2319)+1)</f>
        <v/>
      </c>
    </row>
    <row r="2320">
      <c r="A2320" t="inlineStr">
        <is>
          <t>샘플종목22</t>
        </is>
      </c>
      <c r="B2320" s="3" t="n">
        <v>45611</v>
      </c>
      <c r="C2320" t="n">
        <v>78574</v>
      </c>
      <c r="D2320" t="n">
        <v>9073314</v>
      </c>
      <c r="E2320">
        <f>IF(A2320="","",COUNTIFS($A$2:$A$20000,A2320,$B$2:$B$20000,"&gt;"&amp;B2320)+1)</f>
        <v/>
      </c>
    </row>
    <row r="2321">
      <c r="A2321" t="inlineStr">
        <is>
          <t>샘플종목22</t>
        </is>
      </c>
      <c r="B2321" s="3" t="n">
        <v>45618</v>
      </c>
      <c r="C2321" t="n">
        <v>79250</v>
      </c>
      <c r="D2321" t="n">
        <v>7016531</v>
      </c>
      <c r="E2321">
        <f>IF(A2321="","",COUNTIFS($A$2:$A$20000,A2321,$B$2:$B$20000,"&gt;"&amp;B2321)+1)</f>
        <v/>
      </c>
    </row>
    <row r="2322">
      <c r="A2322" t="inlineStr">
        <is>
          <t>샘플종목22</t>
        </is>
      </c>
      <c r="B2322" s="3" t="n">
        <v>45625</v>
      </c>
      <c r="C2322" t="n">
        <v>79022</v>
      </c>
      <c r="D2322" t="n">
        <v>1275262</v>
      </c>
      <c r="E2322">
        <f>IF(A2322="","",COUNTIFS($A$2:$A$20000,A2322,$B$2:$B$20000,"&gt;"&amp;B2322)+1)</f>
        <v/>
      </c>
    </row>
    <row r="2323">
      <c r="A2323" t="inlineStr">
        <is>
          <t>샘플종목22</t>
        </is>
      </c>
      <c r="B2323" s="3" t="n">
        <v>45632</v>
      </c>
      <c r="C2323" t="n">
        <v>76689</v>
      </c>
      <c r="D2323" t="n">
        <v>179687</v>
      </c>
      <c r="E2323">
        <f>IF(A2323="","",COUNTIFS($A$2:$A$20000,A2323,$B$2:$B$20000,"&gt;"&amp;B2323)+1)</f>
        <v/>
      </c>
    </row>
    <row r="2324">
      <c r="A2324" t="inlineStr">
        <is>
          <t>샘플종목22</t>
        </is>
      </c>
      <c r="B2324" s="3" t="n">
        <v>45639</v>
      </c>
      <c r="C2324" t="n">
        <v>77518</v>
      </c>
      <c r="D2324" t="n">
        <v>4276193</v>
      </c>
      <c r="E2324">
        <f>IF(A2324="","",COUNTIFS($A$2:$A$20000,A2324,$B$2:$B$20000,"&gt;"&amp;B2324)+1)</f>
        <v/>
      </c>
    </row>
    <row r="2325">
      <c r="A2325" t="inlineStr">
        <is>
          <t>샘플종목22</t>
        </is>
      </c>
      <c r="B2325" s="3" t="n">
        <v>45646</v>
      </c>
      <c r="C2325" t="n">
        <v>76552</v>
      </c>
      <c r="D2325" t="n">
        <v>166027</v>
      </c>
      <c r="E2325">
        <f>IF(A2325="","",COUNTIFS($A$2:$A$20000,A2325,$B$2:$B$20000,"&gt;"&amp;B2325)+1)</f>
        <v/>
      </c>
    </row>
    <row r="2326">
      <c r="A2326" t="inlineStr">
        <is>
          <t>샘플종목22</t>
        </is>
      </c>
      <c r="B2326" s="3" t="n">
        <v>45653</v>
      </c>
      <c r="C2326" t="n">
        <v>77581</v>
      </c>
      <c r="D2326" t="n">
        <v>4065529</v>
      </c>
      <c r="E2326">
        <f>IF(A2326="","",COUNTIFS($A$2:$A$20000,A2326,$B$2:$B$20000,"&gt;"&amp;B2326)+1)</f>
        <v/>
      </c>
    </row>
    <row r="2327">
      <c r="A2327" t="inlineStr">
        <is>
          <t>샘플종목22</t>
        </is>
      </c>
      <c r="B2327" s="3" t="n">
        <v>45660</v>
      </c>
      <c r="C2327" t="n">
        <v>79441</v>
      </c>
      <c r="D2327" t="n">
        <v>424091</v>
      </c>
      <c r="E2327">
        <f>IF(A2327="","",COUNTIFS($A$2:$A$20000,A2327,$B$2:$B$20000,"&gt;"&amp;B2327)+1)</f>
        <v/>
      </c>
    </row>
    <row r="2328">
      <c r="A2328" t="inlineStr">
        <is>
          <t>샘플종목22</t>
        </is>
      </c>
      <c r="B2328" s="3" t="n">
        <v>45667</v>
      </c>
      <c r="C2328" t="n">
        <v>80903</v>
      </c>
      <c r="D2328" t="n">
        <v>1584627</v>
      </c>
      <c r="E2328">
        <f>IF(A2328="","",COUNTIFS($A$2:$A$20000,A2328,$B$2:$B$20000,"&gt;"&amp;B2328)+1)</f>
        <v/>
      </c>
    </row>
    <row r="2329">
      <c r="A2329" t="inlineStr">
        <is>
          <t>샘플종목22</t>
        </is>
      </c>
      <c r="B2329" s="3" t="n">
        <v>45674</v>
      </c>
      <c r="C2329" t="n">
        <v>81266</v>
      </c>
      <c r="D2329" t="n">
        <v>3427592</v>
      </c>
      <c r="E2329">
        <f>IF(A2329="","",COUNTIFS($A$2:$A$20000,A2329,$B$2:$B$20000,"&gt;"&amp;B2329)+1)</f>
        <v/>
      </c>
    </row>
    <row r="2330">
      <c r="A2330" t="inlineStr">
        <is>
          <t>샘플종목22</t>
        </is>
      </c>
      <c r="B2330" s="3" t="n">
        <v>45681</v>
      </c>
      <c r="C2330" t="n">
        <v>83176</v>
      </c>
      <c r="D2330" t="n">
        <v>8863154</v>
      </c>
      <c r="E2330">
        <f>IF(A2330="","",COUNTIFS($A$2:$A$20000,A2330,$B$2:$B$20000,"&gt;"&amp;B2330)+1)</f>
        <v/>
      </c>
    </row>
    <row r="2331">
      <c r="A2331" t="inlineStr">
        <is>
          <t>샘플종목22</t>
        </is>
      </c>
      <c r="B2331" s="3" t="n">
        <v>45688</v>
      </c>
      <c r="C2331" t="n">
        <v>85760</v>
      </c>
      <c r="D2331" t="n">
        <v>5954163</v>
      </c>
      <c r="E2331">
        <f>IF(A2331="","",COUNTIFS($A$2:$A$20000,A2331,$B$2:$B$20000,"&gt;"&amp;B2331)+1)</f>
        <v/>
      </c>
    </row>
    <row r="2332">
      <c r="A2332" t="inlineStr">
        <is>
          <t>샘플종목22</t>
        </is>
      </c>
      <c r="B2332" s="3" t="n">
        <v>45695</v>
      </c>
      <c r="C2332" t="n">
        <v>84410</v>
      </c>
      <c r="D2332" t="n">
        <v>8133641</v>
      </c>
      <c r="E2332">
        <f>IF(A2332="","",COUNTIFS($A$2:$A$20000,A2332,$B$2:$B$20000,"&gt;"&amp;B2332)+1)</f>
        <v/>
      </c>
    </row>
    <row r="2333">
      <c r="A2333" t="inlineStr">
        <is>
          <t>샘플종목22</t>
        </is>
      </c>
      <c r="B2333" s="3" t="n">
        <v>45702</v>
      </c>
      <c r="C2333" t="n">
        <v>87753</v>
      </c>
      <c r="D2333" t="n">
        <v>4437191</v>
      </c>
      <c r="E2333">
        <f>IF(A2333="","",COUNTIFS($A$2:$A$20000,A2333,$B$2:$B$20000,"&gt;"&amp;B2333)+1)</f>
        <v/>
      </c>
    </row>
    <row r="2334">
      <c r="A2334" t="inlineStr">
        <is>
          <t>샘플종목22</t>
        </is>
      </c>
      <c r="B2334" s="3" t="n">
        <v>45709</v>
      </c>
      <c r="C2334" t="n">
        <v>83925</v>
      </c>
      <c r="D2334" t="n">
        <v>4528969</v>
      </c>
      <c r="E2334">
        <f>IF(A2334="","",COUNTIFS($A$2:$A$20000,A2334,$B$2:$B$20000,"&gt;"&amp;B2334)+1)</f>
        <v/>
      </c>
    </row>
    <row r="2335">
      <c r="A2335" t="inlineStr">
        <is>
          <t>샘플종목22</t>
        </is>
      </c>
      <c r="B2335" s="3" t="n">
        <v>45716</v>
      </c>
      <c r="C2335" t="n">
        <v>90756</v>
      </c>
      <c r="D2335" t="n">
        <v>2825620</v>
      </c>
      <c r="E2335">
        <f>IF(A2335="","",COUNTIFS($A$2:$A$20000,A2335,$B$2:$B$20000,"&gt;"&amp;B2335)+1)</f>
        <v/>
      </c>
    </row>
    <row r="2336">
      <c r="A2336" t="inlineStr">
        <is>
          <t>샘플종목22</t>
        </is>
      </c>
      <c r="B2336" s="3" t="n">
        <v>45723</v>
      </c>
      <c r="C2336" t="n">
        <v>90809</v>
      </c>
      <c r="D2336" t="n">
        <v>977921</v>
      </c>
      <c r="E2336">
        <f>IF(A2336="","",COUNTIFS($A$2:$A$20000,A2336,$B$2:$B$20000,"&gt;"&amp;B2336)+1)</f>
        <v/>
      </c>
    </row>
    <row r="2337">
      <c r="A2337" t="inlineStr">
        <is>
          <t>샘플종목22</t>
        </is>
      </c>
      <c r="B2337" s="3" t="n">
        <v>45730</v>
      </c>
      <c r="C2337" t="n">
        <v>92299</v>
      </c>
      <c r="D2337" t="n">
        <v>4511576</v>
      </c>
      <c r="E2337">
        <f>IF(A2337="","",COUNTIFS($A$2:$A$20000,A2337,$B$2:$B$20000,"&gt;"&amp;B2337)+1)</f>
        <v/>
      </c>
    </row>
    <row r="2338">
      <c r="A2338" t="inlineStr">
        <is>
          <t>샘플종목22</t>
        </is>
      </c>
      <c r="B2338" s="3" t="n">
        <v>45737</v>
      </c>
      <c r="C2338" t="n">
        <v>97510</v>
      </c>
      <c r="D2338" t="n">
        <v>5613886</v>
      </c>
      <c r="E2338">
        <f>IF(A2338="","",COUNTIFS($A$2:$A$20000,A2338,$B$2:$B$20000,"&gt;"&amp;B2338)+1)</f>
        <v/>
      </c>
    </row>
    <row r="2339">
      <c r="A2339" t="inlineStr">
        <is>
          <t>샘플종목22</t>
        </is>
      </c>
      <c r="B2339" s="3" t="n">
        <v>45744</v>
      </c>
      <c r="C2339" t="n">
        <v>103488</v>
      </c>
      <c r="D2339" t="n">
        <v>5832750</v>
      </c>
      <c r="E2339">
        <f>IF(A2339="","",COUNTIFS($A$2:$A$20000,A2339,$B$2:$B$20000,"&gt;"&amp;B2339)+1)</f>
        <v/>
      </c>
    </row>
    <row r="2340">
      <c r="A2340" t="inlineStr">
        <is>
          <t>샘플종목22</t>
        </is>
      </c>
      <c r="B2340" s="3" t="n">
        <v>45751</v>
      </c>
      <c r="C2340" t="n">
        <v>101412</v>
      </c>
      <c r="D2340" t="n">
        <v>9501521</v>
      </c>
      <c r="E2340">
        <f>IF(A2340="","",COUNTIFS($A$2:$A$20000,A2340,$B$2:$B$20000,"&gt;"&amp;B2340)+1)</f>
        <v/>
      </c>
    </row>
    <row r="2341">
      <c r="A2341" t="inlineStr">
        <is>
          <t>샘플종목22</t>
        </is>
      </c>
      <c r="B2341" s="3" t="n">
        <v>45758</v>
      </c>
      <c r="C2341" t="n">
        <v>101590</v>
      </c>
      <c r="D2341" t="n">
        <v>959836</v>
      </c>
      <c r="E2341">
        <f>IF(A2341="","",COUNTIFS($A$2:$A$20000,A2341,$B$2:$B$20000,"&gt;"&amp;B2341)+1)</f>
        <v/>
      </c>
    </row>
    <row r="2342">
      <c r="A2342" t="inlineStr">
        <is>
          <t>샘플종목22</t>
        </is>
      </c>
      <c r="B2342" s="3" t="n">
        <v>45765</v>
      </c>
      <c r="C2342" t="n">
        <v>101855</v>
      </c>
      <c r="D2342" t="n">
        <v>7193715</v>
      </c>
      <c r="E2342">
        <f>IF(A2342="","",COUNTIFS($A$2:$A$20000,A2342,$B$2:$B$20000,"&gt;"&amp;B2342)+1)</f>
        <v/>
      </c>
    </row>
    <row r="2343">
      <c r="A2343" t="inlineStr">
        <is>
          <t>샘플종목22</t>
        </is>
      </c>
      <c r="B2343" s="3" t="n">
        <v>45772</v>
      </c>
      <c r="C2343" t="n">
        <v>94274</v>
      </c>
      <c r="D2343" t="n">
        <v>6563156</v>
      </c>
      <c r="E2343">
        <f>IF(A2343="","",COUNTIFS($A$2:$A$20000,A2343,$B$2:$B$20000,"&gt;"&amp;B2343)+1)</f>
        <v/>
      </c>
    </row>
    <row r="2344">
      <c r="A2344" t="inlineStr">
        <is>
          <t>샘플종목22</t>
        </is>
      </c>
      <c r="B2344" s="3" t="n">
        <v>45779</v>
      </c>
      <c r="C2344" t="n">
        <v>94269</v>
      </c>
      <c r="D2344" t="n">
        <v>5324082</v>
      </c>
      <c r="E2344">
        <f>IF(A2344="","",COUNTIFS($A$2:$A$20000,A2344,$B$2:$B$20000,"&gt;"&amp;B2344)+1)</f>
        <v/>
      </c>
    </row>
    <row r="2345">
      <c r="A2345" t="inlineStr">
        <is>
          <t>샘플종목22</t>
        </is>
      </c>
      <c r="B2345" s="3" t="n">
        <v>45786</v>
      </c>
      <c r="C2345" t="n">
        <v>95120</v>
      </c>
      <c r="D2345" t="n">
        <v>1310565</v>
      </c>
      <c r="E2345">
        <f>IF(A2345="","",COUNTIFS($A$2:$A$20000,A2345,$B$2:$B$20000,"&gt;"&amp;B2345)+1)</f>
        <v/>
      </c>
    </row>
    <row r="2346">
      <c r="A2346" t="inlineStr">
        <is>
          <t>샘플종목22</t>
        </is>
      </c>
      <c r="B2346" s="3" t="n">
        <v>45793</v>
      </c>
      <c r="C2346" t="n">
        <v>95854</v>
      </c>
      <c r="D2346" t="n">
        <v>9935075</v>
      </c>
      <c r="E2346">
        <f>IF(A2346="","",COUNTIFS($A$2:$A$20000,A2346,$B$2:$B$20000,"&gt;"&amp;B2346)+1)</f>
        <v/>
      </c>
    </row>
    <row r="2347">
      <c r="A2347" t="inlineStr">
        <is>
          <t>샘플종목22</t>
        </is>
      </c>
      <c r="B2347" s="3" t="n">
        <v>45800</v>
      </c>
      <c r="C2347" t="n">
        <v>94430</v>
      </c>
      <c r="D2347" t="n">
        <v>2654328</v>
      </c>
      <c r="E2347">
        <f>IF(A2347="","",COUNTIFS($A$2:$A$20000,A2347,$B$2:$B$20000,"&gt;"&amp;B2347)+1)</f>
        <v/>
      </c>
    </row>
    <row r="2348">
      <c r="A2348" t="inlineStr">
        <is>
          <t>샘플종목22</t>
        </is>
      </c>
      <c r="B2348" s="3" t="n">
        <v>45807</v>
      </c>
      <c r="C2348" t="n">
        <v>96755</v>
      </c>
      <c r="D2348" t="n">
        <v>7959051</v>
      </c>
      <c r="E2348">
        <f>IF(A2348="","",COUNTIFS($A$2:$A$20000,A2348,$B$2:$B$20000,"&gt;"&amp;B2348)+1)</f>
        <v/>
      </c>
    </row>
    <row r="2349">
      <c r="A2349" t="inlineStr">
        <is>
          <t>샘플종목22</t>
        </is>
      </c>
      <c r="B2349" s="3" t="n">
        <v>45814</v>
      </c>
      <c r="C2349" t="n">
        <v>102611</v>
      </c>
      <c r="D2349" t="n">
        <v>3979619</v>
      </c>
      <c r="E2349">
        <f>IF(A2349="","",COUNTIFS($A$2:$A$20000,A2349,$B$2:$B$20000,"&gt;"&amp;B2349)+1)</f>
        <v/>
      </c>
    </row>
    <row r="2350">
      <c r="A2350" t="inlineStr">
        <is>
          <t>샘플종목22</t>
        </is>
      </c>
      <c r="B2350" s="3" t="n">
        <v>45821</v>
      </c>
      <c r="C2350" t="n">
        <v>97312</v>
      </c>
      <c r="D2350" t="n">
        <v>8017018</v>
      </c>
      <c r="E2350">
        <f>IF(A2350="","",COUNTIFS($A$2:$A$20000,A2350,$B$2:$B$20000,"&gt;"&amp;B2350)+1)</f>
        <v/>
      </c>
    </row>
    <row r="2351">
      <c r="A2351" t="inlineStr">
        <is>
          <t>샘플종목22</t>
        </is>
      </c>
      <c r="B2351" s="3" t="n">
        <v>45828</v>
      </c>
      <c r="C2351" t="n">
        <v>92452</v>
      </c>
      <c r="D2351" t="n">
        <v>9579596</v>
      </c>
      <c r="E2351">
        <f>IF(A2351="","",COUNTIFS($A$2:$A$20000,A2351,$B$2:$B$20000,"&gt;"&amp;B2351)+1)</f>
        <v/>
      </c>
    </row>
    <row r="2352">
      <c r="A2352" t="inlineStr">
        <is>
          <t>샘플종목22</t>
        </is>
      </c>
      <c r="B2352" s="3" t="n">
        <v>45835</v>
      </c>
      <c r="C2352" t="n">
        <v>92084</v>
      </c>
      <c r="D2352" t="n">
        <v>9872637</v>
      </c>
      <c r="E2352">
        <f>IF(A2352="","",COUNTIFS($A$2:$A$20000,A2352,$B$2:$B$20000,"&gt;"&amp;B2352)+1)</f>
        <v/>
      </c>
    </row>
    <row r="2353">
      <c r="A2353" t="inlineStr">
        <is>
          <t>샘플종목22</t>
        </is>
      </c>
      <c r="B2353" s="3" t="n">
        <v>45842</v>
      </c>
      <c r="C2353" t="n">
        <v>92505</v>
      </c>
      <c r="D2353" t="n">
        <v>3720331</v>
      </c>
      <c r="E2353">
        <f>IF(A2353="","",COUNTIFS($A$2:$A$20000,A2353,$B$2:$B$20000,"&gt;"&amp;B2353)+1)</f>
        <v/>
      </c>
    </row>
    <row r="2354">
      <c r="A2354" t="inlineStr">
        <is>
          <t>샘플종목22</t>
        </is>
      </c>
      <c r="B2354" s="3" t="n">
        <v>45849</v>
      </c>
      <c r="C2354" t="n">
        <v>96776</v>
      </c>
      <c r="D2354" t="n">
        <v>4142014</v>
      </c>
      <c r="E2354">
        <f>IF(A2354="","",COUNTIFS($A$2:$A$20000,A2354,$B$2:$B$20000,"&gt;"&amp;B2354)+1)</f>
        <v/>
      </c>
    </row>
    <row r="2355">
      <c r="A2355" t="inlineStr">
        <is>
          <t>샘플종목22</t>
        </is>
      </c>
      <c r="B2355" s="3" t="n">
        <v>45856</v>
      </c>
      <c r="C2355" t="n">
        <v>100412</v>
      </c>
      <c r="D2355" t="n">
        <v>4437461</v>
      </c>
      <c r="E2355">
        <f>IF(A2355="","",COUNTIFS($A$2:$A$20000,A2355,$B$2:$B$20000,"&gt;"&amp;B2355)+1)</f>
        <v/>
      </c>
    </row>
    <row r="2356">
      <c r="A2356" t="inlineStr">
        <is>
          <t>샘플종목22</t>
        </is>
      </c>
      <c r="B2356" s="3" t="n">
        <v>45863</v>
      </c>
      <c r="C2356" t="n">
        <v>95733</v>
      </c>
      <c r="D2356" t="n">
        <v>5667466</v>
      </c>
      <c r="E2356">
        <f>IF(A2356="","",COUNTIFS($A$2:$A$20000,A2356,$B$2:$B$20000,"&gt;"&amp;B2356)+1)</f>
        <v/>
      </c>
    </row>
    <row r="2357">
      <c r="A2357" t="inlineStr">
        <is>
          <t>샘플종목22</t>
        </is>
      </c>
      <c r="B2357" s="3" t="n">
        <v>45870</v>
      </c>
      <c r="C2357" t="n">
        <v>95887</v>
      </c>
      <c r="D2357" t="n">
        <v>1057670</v>
      </c>
      <c r="E2357">
        <f>IF(A2357="","",COUNTIFS($A$2:$A$20000,A2357,$B$2:$B$20000,"&gt;"&amp;B2357)+1)</f>
        <v/>
      </c>
    </row>
    <row r="2358">
      <c r="A2358" t="inlineStr">
        <is>
          <t>샘플종목22</t>
        </is>
      </c>
      <c r="B2358" s="3" t="n">
        <v>45877</v>
      </c>
      <c r="C2358" t="n">
        <v>102120</v>
      </c>
      <c r="D2358" t="n">
        <v>3807414</v>
      </c>
      <c r="E2358">
        <f>IF(A2358="","",COUNTIFS($A$2:$A$20000,A2358,$B$2:$B$20000,"&gt;"&amp;B2358)+1)</f>
        <v/>
      </c>
    </row>
    <row r="2359">
      <c r="A2359" t="inlineStr">
        <is>
          <t>샘플종목22</t>
        </is>
      </c>
      <c r="B2359" s="3" t="n">
        <v>45884</v>
      </c>
      <c r="C2359" t="n">
        <v>103590</v>
      </c>
      <c r="D2359" t="n">
        <v>8703238</v>
      </c>
      <c r="E2359">
        <f>IF(A2359="","",COUNTIFS($A$2:$A$20000,A2359,$B$2:$B$20000,"&gt;"&amp;B2359)+1)</f>
        <v/>
      </c>
    </row>
    <row r="2360">
      <c r="A2360" t="inlineStr">
        <is>
          <t>샘플종목22</t>
        </is>
      </c>
      <c r="B2360" s="3" t="n">
        <v>45891</v>
      </c>
      <c r="C2360" t="n">
        <v>102296</v>
      </c>
      <c r="D2360" t="n">
        <v>7720890</v>
      </c>
      <c r="E2360">
        <f>IF(A2360="","",COUNTIFS($A$2:$A$20000,A2360,$B$2:$B$20000,"&gt;"&amp;B2360)+1)</f>
        <v/>
      </c>
    </row>
    <row r="2361">
      <c r="A2361" t="inlineStr">
        <is>
          <t>샘플종목22</t>
        </is>
      </c>
      <c r="B2361" s="3" t="n">
        <v>45898</v>
      </c>
      <c r="C2361" t="n">
        <v>108156</v>
      </c>
      <c r="D2361" t="n">
        <v>3326869</v>
      </c>
      <c r="E2361">
        <f>IF(A2361="","",COUNTIFS($A$2:$A$20000,A2361,$B$2:$B$20000,"&gt;"&amp;B2361)+1)</f>
        <v/>
      </c>
    </row>
    <row r="2362">
      <c r="A2362" t="inlineStr">
        <is>
          <t>샘플종목22</t>
        </is>
      </c>
      <c r="B2362" s="3" t="n">
        <v>45905</v>
      </c>
      <c r="C2362" t="n">
        <v>110761</v>
      </c>
      <c r="D2362" t="n">
        <v>5320015</v>
      </c>
      <c r="E2362">
        <f>IF(A2362="","",COUNTIFS($A$2:$A$20000,A2362,$B$2:$B$20000,"&gt;"&amp;B2362)+1)</f>
        <v/>
      </c>
    </row>
    <row r="2363">
      <c r="A2363" t="inlineStr">
        <is>
          <t>샘플종목22</t>
        </is>
      </c>
      <c r="B2363" s="3" t="n">
        <v>45912</v>
      </c>
      <c r="C2363" t="n">
        <v>109248</v>
      </c>
      <c r="D2363" t="n">
        <v>4475272</v>
      </c>
      <c r="E2363">
        <f>IF(A2363="","",COUNTIFS($A$2:$A$20000,A2363,$B$2:$B$20000,"&gt;"&amp;B2363)+1)</f>
        <v/>
      </c>
    </row>
    <row r="2364">
      <c r="A2364" t="inlineStr">
        <is>
          <t>샘플종목22</t>
        </is>
      </c>
      <c r="B2364" s="3" t="n">
        <v>45919</v>
      </c>
      <c r="C2364" t="n">
        <v>110528</v>
      </c>
      <c r="D2364" t="n">
        <v>7866666</v>
      </c>
      <c r="E2364">
        <f>IF(A2364="","",COUNTIFS($A$2:$A$20000,A2364,$B$2:$B$20000,"&gt;"&amp;B2364)+1)</f>
        <v/>
      </c>
    </row>
    <row r="2365">
      <c r="A2365" t="inlineStr">
        <is>
          <t>샘플종목22</t>
        </is>
      </c>
      <c r="B2365" s="3" t="n">
        <v>45926</v>
      </c>
      <c r="C2365" t="n">
        <v>111911</v>
      </c>
      <c r="D2365" t="n">
        <v>5785586</v>
      </c>
      <c r="E2365">
        <f>IF(A2365="","",COUNTIFS($A$2:$A$20000,A2365,$B$2:$B$20000,"&gt;"&amp;B2365)+1)</f>
        <v/>
      </c>
    </row>
    <row r="2366">
      <c r="A2366" t="inlineStr">
        <is>
          <t>샘플종목22</t>
        </is>
      </c>
      <c r="B2366" s="3" t="n">
        <v>45933</v>
      </c>
      <c r="C2366" t="n">
        <v>115439</v>
      </c>
      <c r="D2366" t="n">
        <v>5295550</v>
      </c>
      <c r="E2366">
        <f>IF(A2366="","",COUNTIFS($A$2:$A$20000,A2366,$B$2:$B$20000,"&gt;"&amp;B2366)+1)</f>
        <v/>
      </c>
    </row>
    <row r="2367">
      <c r="A2367" t="inlineStr">
        <is>
          <t>샘플종목22</t>
        </is>
      </c>
      <c r="B2367" s="3" t="n">
        <v>45940</v>
      </c>
      <c r="C2367" t="n">
        <v>109182</v>
      </c>
      <c r="D2367" t="n">
        <v>6752470</v>
      </c>
      <c r="E2367">
        <f>IF(A2367="","",COUNTIFS($A$2:$A$20000,A2367,$B$2:$B$20000,"&gt;"&amp;B2367)+1)</f>
        <v/>
      </c>
    </row>
    <row r="2368">
      <c r="A2368" t="inlineStr">
        <is>
          <t>샘플종목22</t>
        </is>
      </c>
      <c r="B2368" s="3" t="n">
        <v>45947</v>
      </c>
      <c r="C2368" t="n">
        <v>106610</v>
      </c>
      <c r="D2368" t="n">
        <v>1033761</v>
      </c>
      <c r="E2368">
        <f>IF(A2368="","",COUNTIFS($A$2:$A$20000,A2368,$B$2:$B$20000,"&gt;"&amp;B2368)+1)</f>
        <v/>
      </c>
    </row>
    <row r="2369">
      <c r="A2369" t="inlineStr">
        <is>
          <t>샘플종목22</t>
        </is>
      </c>
      <c r="B2369" s="3" t="n">
        <v>45954</v>
      </c>
      <c r="C2369" t="n">
        <v>113070</v>
      </c>
      <c r="D2369" t="n">
        <v>5393241</v>
      </c>
      <c r="E2369">
        <f>IF(A2369="","",COUNTIFS($A$2:$A$20000,A2369,$B$2:$B$20000,"&gt;"&amp;B2369)+1)</f>
        <v/>
      </c>
    </row>
    <row r="2370">
      <c r="A2370" t="inlineStr">
        <is>
          <t>샘플종목22</t>
        </is>
      </c>
      <c r="B2370" s="3" t="n">
        <v>45961</v>
      </c>
      <c r="C2370" t="n">
        <v>114512</v>
      </c>
      <c r="D2370" t="n">
        <v>8719153</v>
      </c>
      <c r="E2370">
        <f>IF(A2370="","",COUNTIFS($A$2:$A$20000,A2370,$B$2:$B$20000,"&gt;"&amp;B2370)+1)</f>
        <v/>
      </c>
    </row>
    <row r="2371">
      <c r="A2371" t="inlineStr">
        <is>
          <t>샘플종목22</t>
        </is>
      </c>
      <c r="B2371" s="3" t="n">
        <v>45968</v>
      </c>
      <c r="C2371" t="n">
        <v>115513</v>
      </c>
      <c r="D2371" t="n">
        <v>4065211</v>
      </c>
      <c r="E2371">
        <f>IF(A2371="","",COUNTIFS($A$2:$A$20000,A2371,$B$2:$B$20000,"&gt;"&amp;B2371)+1)</f>
        <v/>
      </c>
    </row>
    <row r="2372">
      <c r="A2372" t="inlineStr">
        <is>
          <t>샘플종목22</t>
        </is>
      </c>
      <c r="B2372" s="3" t="n">
        <v>45975</v>
      </c>
      <c r="C2372" t="n">
        <v>121967</v>
      </c>
      <c r="D2372" t="n">
        <v>4213305</v>
      </c>
      <c r="E2372">
        <f>IF(A2372="","",COUNTIFS($A$2:$A$20000,A2372,$B$2:$B$20000,"&gt;"&amp;B2372)+1)</f>
        <v/>
      </c>
    </row>
    <row r="2373">
      <c r="A2373" t="inlineStr">
        <is>
          <t>샘플종목22</t>
        </is>
      </c>
      <c r="B2373" s="3" t="n">
        <v>45982</v>
      </c>
      <c r="C2373" t="n">
        <v>131407</v>
      </c>
      <c r="D2373" t="n">
        <v>7846973</v>
      </c>
      <c r="E2373">
        <f>IF(A2373="","",COUNTIFS($A$2:$A$20000,A2373,$B$2:$B$20000,"&gt;"&amp;B2373)+1)</f>
        <v/>
      </c>
    </row>
    <row r="2374">
      <c r="A2374" t="inlineStr">
        <is>
          <t>샘플종목22</t>
        </is>
      </c>
      <c r="B2374" s="3" t="n">
        <v>45989</v>
      </c>
      <c r="C2374" t="n">
        <v>136208</v>
      </c>
      <c r="D2374" t="n">
        <v>8602665</v>
      </c>
      <c r="E2374">
        <f>IF(A2374="","",COUNTIFS($A$2:$A$20000,A2374,$B$2:$B$20000,"&gt;"&amp;B2374)+1)</f>
        <v/>
      </c>
    </row>
    <row r="2375">
      <c r="A2375" t="inlineStr">
        <is>
          <t>샘플종목22</t>
        </is>
      </c>
      <c r="B2375" s="3" t="n">
        <v>45996</v>
      </c>
      <c r="C2375" t="n">
        <v>137385</v>
      </c>
      <c r="D2375" t="n">
        <v>8845866</v>
      </c>
      <c r="E2375">
        <f>IF(A2375="","",COUNTIFS($A$2:$A$20000,A2375,$B$2:$B$20000,"&gt;"&amp;B2375)+1)</f>
        <v/>
      </c>
    </row>
    <row r="2376">
      <c r="A2376" t="inlineStr">
        <is>
          <t>샘플종목22</t>
        </is>
      </c>
      <c r="B2376" s="3" t="n">
        <v>46003</v>
      </c>
      <c r="C2376" t="n">
        <v>143380</v>
      </c>
      <c r="D2376" t="n">
        <v>8093609</v>
      </c>
      <c r="E2376">
        <f>IF(A2376="","",COUNTIFS($A$2:$A$20000,A2376,$B$2:$B$20000,"&gt;"&amp;B2376)+1)</f>
        <v/>
      </c>
    </row>
    <row r="2377">
      <c r="A2377" t="inlineStr">
        <is>
          <t>샘플종목22</t>
        </is>
      </c>
      <c r="B2377" s="3" t="n">
        <v>46010</v>
      </c>
      <c r="C2377" t="n">
        <v>137302</v>
      </c>
      <c r="D2377" t="n">
        <v>8979537</v>
      </c>
      <c r="E2377">
        <f>IF(A2377="","",COUNTIFS($A$2:$A$20000,A2377,$B$2:$B$20000,"&gt;"&amp;B2377)+1)</f>
        <v/>
      </c>
    </row>
    <row r="2378">
      <c r="A2378" t="inlineStr">
        <is>
          <t>샘플종목22</t>
        </is>
      </c>
      <c r="B2378" s="3" t="n">
        <v>46017</v>
      </c>
      <c r="C2378" t="n">
        <v>136769</v>
      </c>
      <c r="D2378" t="n">
        <v>1275307</v>
      </c>
      <c r="E2378">
        <f>IF(A2378="","",COUNTIFS($A$2:$A$20000,A2378,$B$2:$B$20000,"&gt;"&amp;B2378)+1)</f>
        <v/>
      </c>
    </row>
    <row r="2379">
      <c r="A2379" t="inlineStr">
        <is>
          <t>샘플종목22</t>
        </is>
      </c>
      <c r="B2379" s="3" t="n">
        <v>46024</v>
      </c>
      <c r="C2379" t="n">
        <v>139046</v>
      </c>
      <c r="D2379" t="n">
        <v>6593238</v>
      </c>
      <c r="E2379">
        <f>IF(A2379="","",COUNTIFS($A$2:$A$20000,A2379,$B$2:$B$20000,"&gt;"&amp;B2379)+1)</f>
        <v/>
      </c>
    </row>
    <row r="2380">
      <c r="A2380" t="inlineStr">
        <is>
          <t>샘플종목22</t>
        </is>
      </c>
      <c r="B2380" s="3" t="n">
        <v>46031</v>
      </c>
      <c r="C2380" t="n">
        <v>137416</v>
      </c>
      <c r="D2380" t="n">
        <v>8716033</v>
      </c>
      <c r="E2380">
        <f>IF(A2380="","",COUNTIFS($A$2:$A$20000,A2380,$B$2:$B$20000,"&gt;"&amp;B2380)+1)</f>
        <v/>
      </c>
    </row>
    <row r="2381">
      <c r="A2381" t="inlineStr">
        <is>
          <t>샘플종목22</t>
        </is>
      </c>
      <c r="B2381" s="3" t="n">
        <v>46038</v>
      </c>
      <c r="C2381" t="n">
        <v>138475</v>
      </c>
      <c r="D2381" t="n">
        <v>3822536</v>
      </c>
      <c r="E2381">
        <f>IF(A2381="","",COUNTIFS($A$2:$A$20000,A2381,$B$2:$B$20000,"&gt;"&amp;B2381)+1)</f>
        <v/>
      </c>
    </row>
    <row r="2382">
      <c r="A2382" t="inlineStr">
        <is>
          <t>샘플종목22</t>
        </is>
      </c>
      <c r="B2382" s="3" t="n">
        <v>46045</v>
      </c>
      <c r="C2382" t="n">
        <v>128457</v>
      </c>
      <c r="D2382" t="n">
        <v>7119531</v>
      </c>
      <c r="E2382">
        <f>IF(A2382="","",COUNTIFS($A$2:$A$20000,A2382,$B$2:$B$20000,"&gt;"&amp;B2382)+1)</f>
        <v/>
      </c>
    </row>
    <row r="2383">
      <c r="A2383" t="inlineStr">
        <is>
          <t>샘플종목22</t>
        </is>
      </c>
      <c r="B2383" s="3" t="n">
        <v>46052</v>
      </c>
      <c r="C2383" t="n">
        <v>131841</v>
      </c>
      <c r="D2383" t="n">
        <v>6335587</v>
      </c>
      <c r="E2383">
        <f>IF(A2383="","",COUNTIFS($A$2:$A$20000,A2383,$B$2:$B$20000,"&gt;"&amp;B2383)+1)</f>
        <v/>
      </c>
    </row>
    <row r="2384">
      <c r="A2384" t="inlineStr">
        <is>
          <t>샘플종목22</t>
        </is>
      </c>
      <c r="B2384" s="3" t="n">
        <v>46059</v>
      </c>
      <c r="C2384" t="n">
        <v>123152</v>
      </c>
      <c r="D2384" t="n">
        <v>5379392</v>
      </c>
      <c r="E2384">
        <f>IF(A2384="","",COUNTIFS($A$2:$A$20000,A2384,$B$2:$B$20000,"&gt;"&amp;B2384)+1)</f>
        <v/>
      </c>
    </row>
    <row r="2385">
      <c r="A2385" t="inlineStr">
        <is>
          <t>샘플종목22</t>
        </is>
      </c>
      <c r="B2385" s="3" t="n">
        <v>46066</v>
      </c>
      <c r="C2385" t="n">
        <v>121530</v>
      </c>
      <c r="D2385" t="n">
        <v>956531</v>
      </c>
      <c r="E2385">
        <f>IF(A2385="","",COUNTIFS($A$2:$A$20000,A2385,$B$2:$B$20000,"&gt;"&amp;B2385)+1)</f>
        <v/>
      </c>
    </row>
    <row r="2386">
      <c r="A2386" t="inlineStr">
        <is>
          <t>샘플종목22</t>
        </is>
      </c>
      <c r="B2386" s="3" t="n">
        <v>46073</v>
      </c>
      <c r="C2386" t="n">
        <v>126011</v>
      </c>
      <c r="D2386" t="n">
        <v>4773978</v>
      </c>
      <c r="E2386">
        <f>IF(A2386="","",COUNTIFS($A$2:$A$20000,A2386,$B$2:$B$20000,"&gt;"&amp;B2386)+1)</f>
        <v/>
      </c>
    </row>
    <row r="2387">
      <c r="A2387" t="inlineStr">
        <is>
          <t>샘플종목22</t>
        </is>
      </c>
      <c r="B2387" s="3" t="n">
        <v>46080</v>
      </c>
      <c r="C2387" t="n">
        <v>129669</v>
      </c>
      <c r="D2387" t="n">
        <v>2332210</v>
      </c>
      <c r="E2387">
        <f>IF(A2387="","",COUNTIFS($A$2:$A$20000,A2387,$B$2:$B$20000,"&gt;"&amp;B2387)+1)</f>
        <v/>
      </c>
    </row>
    <row r="2388">
      <c r="A2388" t="inlineStr">
        <is>
          <t>샘플종목22</t>
        </is>
      </c>
      <c r="B2388" s="3" t="n">
        <v>46087</v>
      </c>
      <c r="C2388" t="n">
        <v>144145</v>
      </c>
      <c r="D2388" t="n">
        <v>9454096</v>
      </c>
      <c r="E2388">
        <f>IF(A2388="","",COUNTIFS($A$2:$A$20000,A2388,$B$2:$B$20000,"&gt;"&amp;B2388)+1)</f>
        <v/>
      </c>
    </row>
    <row r="2389">
      <c r="A2389" t="inlineStr">
        <is>
          <t>샘플종목22</t>
        </is>
      </c>
      <c r="B2389" s="3" t="n">
        <v>46094</v>
      </c>
      <c r="C2389" t="n">
        <v>148215</v>
      </c>
      <c r="D2389" t="n">
        <v>2263456</v>
      </c>
      <c r="E2389">
        <f>IF(A2389="","",COUNTIFS($A$2:$A$20000,A2389,$B$2:$B$20000,"&gt;"&amp;B2389)+1)</f>
        <v/>
      </c>
    </row>
    <row r="2390">
      <c r="A2390" t="inlineStr">
        <is>
          <t>샘플종목22</t>
        </is>
      </c>
      <c r="B2390" s="3" t="n">
        <v>46101</v>
      </c>
      <c r="C2390" t="n">
        <v>156811</v>
      </c>
      <c r="D2390" t="n">
        <v>689294</v>
      </c>
      <c r="E2390">
        <f>IF(A2390="","",COUNTIFS($A$2:$A$20000,A2390,$B$2:$B$20000,"&gt;"&amp;B2390)+1)</f>
        <v/>
      </c>
    </row>
    <row r="2391">
      <c r="A2391" t="inlineStr">
        <is>
          <t>샘플종목22</t>
        </is>
      </c>
      <c r="B2391" s="3" t="n">
        <v>46108</v>
      </c>
      <c r="C2391" t="n">
        <v>160806</v>
      </c>
      <c r="D2391" t="n">
        <v>5132770</v>
      </c>
      <c r="E2391">
        <f>IF(A2391="","",COUNTIFS($A$2:$A$20000,A2391,$B$2:$B$20000,"&gt;"&amp;B2391)+1)</f>
        <v/>
      </c>
    </row>
    <row r="2392">
      <c r="A2392" t="inlineStr">
        <is>
          <t>샘플종목22</t>
        </is>
      </c>
      <c r="B2392" s="3" t="n">
        <v>46115</v>
      </c>
      <c r="C2392" t="n">
        <v>154228</v>
      </c>
      <c r="D2392" t="n">
        <v>5817662</v>
      </c>
      <c r="E2392">
        <f>IF(A2392="","",COUNTIFS($A$2:$A$20000,A2392,$B$2:$B$20000,"&gt;"&amp;B2392)+1)</f>
        <v/>
      </c>
    </row>
    <row r="2393">
      <c r="A2393" t="inlineStr">
        <is>
          <t>샘플종목22</t>
        </is>
      </c>
      <c r="B2393" s="3" t="n">
        <v>46122</v>
      </c>
      <c r="C2393" t="n">
        <v>144445</v>
      </c>
      <c r="D2393" t="n">
        <v>7437574</v>
      </c>
      <c r="E2393">
        <f>IF(A2393="","",COUNTIFS($A$2:$A$20000,A2393,$B$2:$B$20000,"&gt;"&amp;B2393)+1)</f>
        <v/>
      </c>
    </row>
    <row r="2394">
      <c r="A2394" t="inlineStr">
        <is>
          <t>샘플종목22</t>
        </is>
      </c>
      <c r="B2394" s="3" t="n">
        <v>46129</v>
      </c>
      <c r="C2394" t="n">
        <v>141527</v>
      </c>
      <c r="D2394" t="n">
        <v>1677746</v>
      </c>
      <c r="E2394">
        <f>IF(A2394="","",COUNTIFS($A$2:$A$20000,A2394,$B$2:$B$20000,"&gt;"&amp;B2394)+1)</f>
        <v/>
      </c>
    </row>
    <row r="2395">
      <c r="A2395" t="inlineStr">
        <is>
          <t>샘플종목22</t>
        </is>
      </c>
      <c r="B2395" s="3" t="n">
        <v>46136</v>
      </c>
      <c r="C2395" t="n">
        <v>141417</v>
      </c>
      <c r="D2395" t="n">
        <v>959432</v>
      </c>
      <c r="E2395">
        <f>IF(A2395="","",COUNTIFS($A$2:$A$20000,A2395,$B$2:$B$20000,"&gt;"&amp;B2395)+1)</f>
        <v/>
      </c>
    </row>
    <row r="2396">
      <c r="A2396" t="inlineStr">
        <is>
          <t>샘플종목22</t>
        </is>
      </c>
      <c r="B2396" s="3" t="n">
        <v>46143</v>
      </c>
      <c r="C2396" t="n">
        <v>153859</v>
      </c>
      <c r="D2396" t="n">
        <v>2365616</v>
      </c>
      <c r="E2396">
        <f>IF(A2396="","",COUNTIFS($A$2:$A$20000,A2396,$B$2:$B$20000,"&gt;"&amp;B2396)+1)</f>
        <v/>
      </c>
    </row>
    <row r="2397">
      <c r="A2397" t="inlineStr">
        <is>
          <t>샘플종목22</t>
        </is>
      </c>
      <c r="B2397" s="3" t="n">
        <v>46150</v>
      </c>
      <c r="C2397" t="n">
        <v>156854</v>
      </c>
      <c r="D2397" t="n">
        <v>8992375</v>
      </c>
      <c r="E2397">
        <f>IF(A2397="","",COUNTIFS($A$2:$A$20000,A2397,$B$2:$B$20000,"&gt;"&amp;B2397)+1)</f>
        <v/>
      </c>
    </row>
    <row r="2398">
      <c r="A2398" t="inlineStr">
        <is>
          <t>샘플종목22</t>
        </is>
      </c>
      <c r="B2398" s="3" t="n">
        <v>46157</v>
      </c>
      <c r="C2398" t="n">
        <v>159051</v>
      </c>
      <c r="D2398" t="n">
        <v>2851171</v>
      </c>
      <c r="E2398">
        <f>IF(A2398="","",COUNTIFS($A$2:$A$20000,A2398,$B$2:$B$20000,"&gt;"&amp;B2398)+1)</f>
        <v/>
      </c>
    </row>
    <row r="2399">
      <c r="A2399" t="inlineStr">
        <is>
          <t>샘플종목22</t>
        </is>
      </c>
      <c r="B2399" s="3" t="n">
        <v>46164</v>
      </c>
      <c r="C2399" t="n">
        <v>160880</v>
      </c>
      <c r="D2399" t="n">
        <v>9023054</v>
      </c>
      <c r="E2399">
        <f>IF(A2399="","",COUNTIFS($A$2:$A$20000,A2399,$B$2:$B$20000,"&gt;"&amp;B2399)+1)</f>
        <v/>
      </c>
    </row>
    <row r="2400">
      <c r="A2400" t="inlineStr">
        <is>
          <t>샘플종목22</t>
        </is>
      </c>
      <c r="B2400" s="3" t="n">
        <v>46171</v>
      </c>
      <c r="C2400" t="n">
        <v>155976</v>
      </c>
      <c r="D2400" t="n">
        <v>4120736</v>
      </c>
      <c r="E2400">
        <f>IF(A2400="","",COUNTIFS($A$2:$A$20000,A2400,$B$2:$B$20000,"&gt;"&amp;B2400)+1)</f>
        <v/>
      </c>
    </row>
    <row r="2401">
      <c r="A2401" t="inlineStr">
        <is>
          <t>샘플종목22</t>
        </is>
      </c>
      <c r="B2401" s="3" t="n">
        <v>46178</v>
      </c>
      <c r="C2401" t="n">
        <v>152425</v>
      </c>
      <c r="D2401" t="n">
        <v>3013920</v>
      </c>
      <c r="E2401">
        <f>IF(A2401="","",COUNTIFS($A$2:$A$20000,A2401,$B$2:$B$20000,"&gt;"&amp;B2401)+1)</f>
        <v/>
      </c>
    </row>
    <row r="2402">
      <c r="A2402" t="inlineStr">
        <is>
          <t>샘플종목22</t>
        </is>
      </c>
      <c r="B2402" s="3" t="n">
        <v>46185</v>
      </c>
      <c r="C2402" t="n">
        <v>144350</v>
      </c>
      <c r="D2402" t="n">
        <v>5771241</v>
      </c>
      <c r="E2402">
        <f>IF(A2402="","",COUNTIFS($A$2:$A$20000,A2402,$B$2:$B$20000,"&gt;"&amp;B2402)+1)</f>
        <v/>
      </c>
    </row>
    <row r="2403">
      <c r="A2403" t="inlineStr">
        <is>
          <t>샘플종목22</t>
        </is>
      </c>
      <c r="B2403" s="3" t="n">
        <v>46192</v>
      </c>
      <c r="C2403" t="n">
        <v>151471</v>
      </c>
      <c r="D2403" t="n">
        <v>6180558</v>
      </c>
      <c r="E2403">
        <f>IF(A2403="","",COUNTIFS($A$2:$A$20000,A2403,$B$2:$B$20000,"&gt;"&amp;B2403)+1)</f>
        <v/>
      </c>
    </row>
    <row r="2404">
      <c r="A2404" t="inlineStr">
        <is>
          <t>샘플종목22</t>
        </is>
      </c>
      <c r="B2404" s="3" t="n">
        <v>46199</v>
      </c>
      <c r="C2404" t="n">
        <v>155004</v>
      </c>
      <c r="D2404" t="n">
        <v>9359856</v>
      </c>
      <c r="E2404">
        <f>IF(A2404="","",COUNTIFS($A$2:$A$20000,A2404,$B$2:$B$20000,"&gt;"&amp;B2404)+1)</f>
        <v/>
      </c>
    </row>
    <row r="2405">
      <c r="A2405" t="inlineStr">
        <is>
          <t>샘플종목22</t>
        </is>
      </c>
      <c r="B2405" s="3" t="n">
        <v>46206</v>
      </c>
      <c r="C2405" t="n">
        <v>158548</v>
      </c>
      <c r="D2405" t="n">
        <v>2062617</v>
      </c>
      <c r="E2405">
        <f>IF(A2405="","",COUNTIFS($A$2:$A$20000,A2405,$B$2:$B$20000,"&gt;"&amp;B2405)+1)</f>
        <v/>
      </c>
    </row>
    <row r="2406">
      <c r="A2406" t="inlineStr">
        <is>
          <t>샘플종목22</t>
        </is>
      </c>
      <c r="B2406" s="3" t="n">
        <v>46213</v>
      </c>
      <c r="C2406" t="n">
        <v>171593</v>
      </c>
      <c r="D2406" t="n">
        <v>6588051</v>
      </c>
      <c r="E2406">
        <f>IF(A2406="","",COUNTIFS($A$2:$A$20000,A2406,$B$2:$B$20000,"&gt;"&amp;B2406)+1)</f>
        <v/>
      </c>
    </row>
    <row r="2407">
      <c r="A2407" t="inlineStr">
        <is>
          <t>샘플종목22</t>
        </is>
      </c>
      <c r="B2407" s="3" t="n">
        <v>46220</v>
      </c>
      <c r="C2407" t="n">
        <v>180885</v>
      </c>
      <c r="D2407" t="n">
        <v>8031745</v>
      </c>
      <c r="E2407">
        <f>IF(A2407="","",COUNTIFS($A$2:$A$20000,A2407,$B$2:$B$20000,"&gt;"&amp;B2407)+1)</f>
        <v/>
      </c>
    </row>
    <row r="2408">
      <c r="A2408" t="inlineStr">
        <is>
          <t>샘플종목22</t>
        </is>
      </c>
      <c r="B2408" s="3" t="n">
        <v>46227</v>
      </c>
      <c r="C2408" t="n">
        <v>181928</v>
      </c>
      <c r="D2408" t="n">
        <v>4943688</v>
      </c>
      <c r="E2408">
        <f>IF(A2408="","",COUNTIFS($A$2:$A$20000,A2408,$B$2:$B$20000,"&gt;"&amp;B2408)+1)</f>
        <v/>
      </c>
    </row>
    <row r="2409">
      <c r="A2409" t="inlineStr">
        <is>
          <t>샘플종목22</t>
        </is>
      </c>
      <c r="B2409" s="3" t="n">
        <v>46234</v>
      </c>
      <c r="C2409" t="n">
        <v>186895</v>
      </c>
      <c r="D2409" t="n">
        <v>7905306</v>
      </c>
      <c r="E2409">
        <f>IF(A2409="","",COUNTIFS($A$2:$A$20000,A2409,$B$2:$B$20000,"&gt;"&amp;B2409)+1)</f>
        <v/>
      </c>
    </row>
    <row r="2410">
      <c r="A2410" t="inlineStr">
        <is>
          <t>샘플종목22</t>
        </is>
      </c>
      <c r="B2410" s="3" t="n">
        <v>46241</v>
      </c>
      <c r="C2410" t="n">
        <v>183337</v>
      </c>
      <c r="D2410" t="n">
        <v>2274920</v>
      </c>
      <c r="E2410">
        <f>IF(A2410="","",COUNTIFS($A$2:$A$20000,A2410,$B$2:$B$20000,"&gt;"&amp;B2410)+1)</f>
        <v/>
      </c>
    </row>
    <row r="2411">
      <c r="A2411" t="inlineStr">
        <is>
          <t>샘플종목22</t>
        </is>
      </c>
      <c r="B2411" s="3" t="n">
        <v>46248</v>
      </c>
      <c r="C2411" t="n">
        <v>186766</v>
      </c>
      <c r="D2411" t="n">
        <v>3349045</v>
      </c>
      <c r="E2411">
        <f>IF(A2411="","",COUNTIFS($A$2:$A$20000,A2411,$B$2:$B$20000,"&gt;"&amp;B2411)+1)</f>
        <v/>
      </c>
    </row>
    <row r="2412">
      <c r="A2412" t="inlineStr">
        <is>
          <t>샘플종목22</t>
        </is>
      </c>
      <c r="B2412" s="3" t="n">
        <v>46255</v>
      </c>
      <c r="C2412" t="n">
        <v>194628</v>
      </c>
      <c r="D2412" t="n">
        <v>8707461</v>
      </c>
      <c r="E2412">
        <f>IF(A2412="","",COUNTIFS($A$2:$A$20000,A2412,$B$2:$B$20000,"&gt;"&amp;B2412)+1)</f>
        <v/>
      </c>
    </row>
    <row r="2413">
      <c r="A2413" t="inlineStr">
        <is>
          <t>샘플종목22</t>
        </is>
      </c>
      <c r="B2413" s="3" t="n">
        <v>46262</v>
      </c>
      <c r="C2413" t="n">
        <v>190436</v>
      </c>
      <c r="D2413" t="n">
        <v>5784973</v>
      </c>
      <c r="E2413">
        <f>IF(A2413="","",COUNTIFS($A$2:$A$20000,A2413,$B$2:$B$20000,"&gt;"&amp;B2413)+1)</f>
        <v/>
      </c>
    </row>
    <row r="2414">
      <c r="A2414" t="inlineStr">
        <is>
          <t>샘플종목22</t>
        </is>
      </c>
      <c r="B2414" s="3" t="n">
        <v>46269</v>
      </c>
      <c r="C2414" t="n">
        <v>191398</v>
      </c>
      <c r="D2414" t="n">
        <v>8703725</v>
      </c>
      <c r="E2414">
        <f>IF(A2414="","",COUNTIFS($A$2:$A$20000,A2414,$B$2:$B$20000,"&gt;"&amp;B2414)+1)</f>
        <v/>
      </c>
    </row>
    <row r="2415">
      <c r="A2415" t="inlineStr">
        <is>
          <t>샘플종목22</t>
        </is>
      </c>
      <c r="B2415" s="3" t="n">
        <v>46276</v>
      </c>
      <c r="C2415" t="n">
        <v>190064</v>
      </c>
      <c r="D2415" t="n">
        <v>7972117</v>
      </c>
      <c r="E2415">
        <f>IF(A2415="","",COUNTIFS($A$2:$A$20000,A2415,$B$2:$B$20000,"&gt;"&amp;B2415)+1)</f>
        <v/>
      </c>
    </row>
    <row r="2416">
      <c r="A2416" t="inlineStr">
        <is>
          <t>샘플종목22</t>
        </is>
      </c>
      <c r="B2416" s="3" t="n">
        <v>46283</v>
      </c>
      <c r="C2416" t="n">
        <v>195041</v>
      </c>
      <c r="D2416" t="n">
        <v>5489490</v>
      </c>
      <c r="E2416">
        <f>IF(A2416="","",COUNTIFS($A$2:$A$20000,A2416,$B$2:$B$20000,"&gt;"&amp;B2416)+1)</f>
        <v/>
      </c>
    </row>
    <row r="2417">
      <c r="A2417" t="inlineStr">
        <is>
          <t>샘플종목22</t>
        </is>
      </c>
      <c r="B2417" s="3" t="n">
        <v>46290</v>
      </c>
      <c r="C2417" t="n">
        <v>184367</v>
      </c>
      <c r="D2417" t="n">
        <v>5358696</v>
      </c>
      <c r="E2417">
        <f>IF(A2417="","",COUNTIFS($A$2:$A$20000,A2417,$B$2:$B$20000,"&gt;"&amp;B2417)+1)</f>
        <v/>
      </c>
    </row>
    <row r="2418">
      <c r="A2418" t="inlineStr">
        <is>
          <t>샘플종목22</t>
        </is>
      </c>
      <c r="B2418" s="3" t="n">
        <v>46297</v>
      </c>
      <c r="C2418" t="n">
        <v>190417</v>
      </c>
      <c r="D2418" t="n">
        <v>5831091</v>
      </c>
      <c r="E2418">
        <f>IF(A2418="","",COUNTIFS($A$2:$A$20000,A2418,$B$2:$B$20000,"&gt;"&amp;B2418)+1)</f>
        <v/>
      </c>
    </row>
    <row r="2419">
      <c r="A2419" t="inlineStr">
        <is>
          <t>샘플종목22</t>
        </is>
      </c>
      <c r="B2419" s="3" t="n">
        <v>46304</v>
      </c>
      <c r="C2419" t="n">
        <v>201934</v>
      </c>
      <c r="D2419" t="n">
        <v>3246119</v>
      </c>
      <c r="E2419">
        <f>IF(A2419="","",COUNTIFS($A$2:$A$20000,A2419,$B$2:$B$20000,"&gt;"&amp;B2419)+1)</f>
        <v/>
      </c>
    </row>
    <row r="2420">
      <c r="A2420" t="inlineStr">
        <is>
          <t>샘플종목22</t>
        </is>
      </c>
      <c r="B2420" s="3" t="n">
        <v>46311</v>
      </c>
      <c r="C2420" t="n">
        <v>200858</v>
      </c>
      <c r="D2420" t="n">
        <v>101985</v>
      </c>
      <c r="E2420">
        <f>IF(A2420="","",COUNTIFS($A$2:$A$20000,A2420,$B$2:$B$20000,"&gt;"&amp;B2420)+1)</f>
        <v/>
      </c>
    </row>
    <row r="2421">
      <c r="A2421" t="inlineStr">
        <is>
          <t>샘플종목22</t>
        </is>
      </c>
      <c r="B2421" s="3" t="n">
        <v>46318</v>
      </c>
      <c r="C2421" t="n">
        <v>198952</v>
      </c>
      <c r="D2421" t="n">
        <v>3987531</v>
      </c>
      <c r="E2421">
        <f>IF(A2421="","",COUNTIFS($A$2:$A$20000,A2421,$B$2:$B$20000,"&gt;"&amp;B2421)+1)</f>
        <v/>
      </c>
    </row>
    <row r="2422">
      <c r="A2422" t="inlineStr">
        <is>
          <t>샘플종목23</t>
        </is>
      </c>
      <c r="B2422" s="3" t="n">
        <v>45555</v>
      </c>
      <c r="C2422" t="n">
        <v>125275</v>
      </c>
      <c r="D2422" t="n">
        <v>760345</v>
      </c>
      <c r="E2422">
        <f>IF(A2422="","",COUNTIFS($A$2:$A$20000,A2422,$B$2:$B$20000,"&gt;"&amp;B2422)+1)</f>
        <v/>
      </c>
    </row>
    <row r="2423">
      <c r="A2423" t="inlineStr">
        <is>
          <t>샘플종목23</t>
        </is>
      </c>
      <c r="B2423" s="3" t="n">
        <v>45562</v>
      </c>
      <c r="C2423" t="n">
        <v>126081</v>
      </c>
      <c r="D2423" t="n">
        <v>729527</v>
      </c>
      <c r="E2423">
        <f>IF(A2423="","",COUNTIFS($A$2:$A$20000,A2423,$B$2:$B$20000,"&gt;"&amp;B2423)+1)</f>
        <v/>
      </c>
    </row>
    <row r="2424">
      <c r="A2424" t="inlineStr">
        <is>
          <t>샘플종목23</t>
        </is>
      </c>
      <c r="B2424" s="3" t="n">
        <v>45569</v>
      </c>
      <c r="C2424" t="n">
        <v>130620</v>
      </c>
      <c r="D2424" t="n">
        <v>5431621</v>
      </c>
      <c r="E2424">
        <f>IF(A2424="","",COUNTIFS($A$2:$A$20000,A2424,$B$2:$B$20000,"&gt;"&amp;B2424)+1)</f>
        <v/>
      </c>
    </row>
    <row r="2425">
      <c r="A2425" t="inlineStr">
        <is>
          <t>샘플종목23</t>
        </is>
      </c>
      <c r="B2425" s="3" t="n">
        <v>45576</v>
      </c>
      <c r="C2425" t="n">
        <v>129500</v>
      </c>
      <c r="D2425" t="n">
        <v>4562347</v>
      </c>
      <c r="E2425">
        <f>IF(A2425="","",COUNTIFS($A$2:$A$20000,A2425,$B$2:$B$20000,"&gt;"&amp;B2425)+1)</f>
        <v/>
      </c>
    </row>
    <row r="2426">
      <c r="A2426" t="inlineStr">
        <is>
          <t>샘플종목23</t>
        </is>
      </c>
      <c r="B2426" s="3" t="n">
        <v>45583</v>
      </c>
      <c r="C2426" t="n">
        <v>133930</v>
      </c>
      <c r="D2426" t="n">
        <v>6020357</v>
      </c>
      <c r="E2426">
        <f>IF(A2426="","",COUNTIFS($A$2:$A$20000,A2426,$B$2:$B$20000,"&gt;"&amp;B2426)+1)</f>
        <v/>
      </c>
    </row>
    <row r="2427">
      <c r="A2427" t="inlineStr">
        <is>
          <t>샘플종목23</t>
        </is>
      </c>
      <c r="B2427" s="3" t="n">
        <v>45590</v>
      </c>
      <c r="C2427" t="n">
        <v>132785</v>
      </c>
      <c r="D2427" t="n">
        <v>6717131</v>
      </c>
      <c r="E2427">
        <f>IF(A2427="","",COUNTIFS($A$2:$A$20000,A2427,$B$2:$B$20000,"&gt;"&amp;B2427)+1)</f>
        <v/>
      </c>
    </row>
    <row r="2428">
      <c r="A2428" t="inlineStr">
        <is>
          <t>샘플종목23</t>
        </is>
      </c>
      <c r="B2428" s="3" t="n">
        <v>45597</v>
      </c>
      <c r="C2428" t="n">
        <v>131198</v>
      </c>
      <c r="D2428" t="n">
        <v>3910825</v>
      </c>
      <c r="E2428">
        <f>IF(A2428="","",COUNTIFS($A$2:$A$20000,A2428,$B$2:$B$20000,"&gt;"&amp;B2428)+1)</f>
        <v/>
      </c>
    </row>
    <row r="2429">
      <c r="A2429" t="inlineStr">
        <is>
          <t>샘플종목23</t>
        </is>
      </c>
      <c r="B2429" s="3" t="n">
        <v>45604</v>
      </c>
      <c r="C2429" t="n">
        <v>133217</v>
      </c>
      <c r="D2429" t="n">
        <v>311243</v>
      </c>
      <c r="E2429">
        <f>IF(A2429="","",COUNTIFS($A$2:$A$20000,A2429,$B$2:$B$20000,"&gt;"&amp;B2429)+1)</f>
        <v/>
      </c>
    </row>
    <row r="2430">
      <c r="A2430" t="inlineStr">
        <is>
          <t>샘플종목23</t>
        </is>
      </c>
      <c r="B2430" s="3" t="n">
        <v>45611</v>
      </c>
      <c r="C2430" t="n">
        <v>138101</v>
      </c>
      <c r="D2430" t="n">
        <v>9612230</v>
      </c>
      <c r="E2430">
        <f>IF(A2430="","",COUNTIFS($A$2:$A$20000,A2430,$B$2:$B$20000,"&gt;"&amp;B2430)+1)</f>
        <v/>
      </c>
    </row>
    <row r="2431">
      <c r="A2431" t="inlineStr">
        <is>
          <t>샘플종목23</t>
        </is>
      </c>
      <c r="B2431" s="3" t="n">
        <v>45618</v>
      </c>
      <c r="C2431" t="n">
        <v>135320</v>
      </c>
      <c r="D2431" t="n">
        <v>4199888</v>
      </c>
      <c r="E2431">
        <f>IF(A2431="","",COUNTIFS($A$2:$A$20000,A2431,$B$2:$B$20000,"&gt;"&amp;B2431)+1)</f>
        <v/>
      </c>
    </row>
    <row r="2432">
      <c r="A2432" t="inlineStr">
        <is>
          <t>샘플종목23</t>
        </is>
      </c>
      <c r="B2432" s="3" t="n">
        <v>45625</v>
      </c>
      <c r="C2432" t="n">
        <v>138769</v>
      </c>
      <c r="D2432" t="n">
        <v>976054</v>
      </c>
      <c r="E2432">
        <f>IF(A2432="","",COUNTIFS($A$2:$A$20000,A2432,$B$2:$B$20000,"&gt;"&amp;B2432)+1)</f>
        <v/>
      </c>
    </row>
    <row r="2433">
      <c r="A2433" t="inlineStr">
        <is>
          <t>샘플종목23</t>
        </is>
      </c>
      <c r="B2433" s="3" t="n">
        <v>45632</v>
      </c>
      <c r="C2433" t="n">
        <v>131762</v>
      </c>
      <c r="D2433" t="n">
        <v>2976015</v>
      </c>
      <c r="E2433">
        <f>IF(A2433="","",COUNTIFS($A$2:$A$20000,A2433,$B$2:$B$20000,"&gt;"&amp;B2433)+1)</f>
        <v/>
      </c>
    </row>
    <row r="2434">
      <c r="A2434" t="inlineStr">
        <is>
          <t>샘플종목23</t>
        </is>
      </c>
      <c r="B2434" s="3" t="n">
        <v>45639</v>
      </c>
      <c r="C2434" t="n">
        <v>132319</v>
      </c>
      <c r="D2434" t="n">
        <v>4348278</v>
      </c>
      <c r="E2434">
        <f>IF(A2434="","",COUNTIFS($A$2:$A$20000,A2434,$B$2:$B$20000,"&gt;"&amp;B2434)+1)</f>
        <v/>
      </c>
    </row>
    <row r="2435">
      <c r="A2435" t="inlineStr">
        <is>
          <t>샘플종목23</t>
        </is>
      </c>
      <c r="B2435" s="3" t="n">
        <v>45646</v>
      </c>
      <c r="C2435" t="n">
        <v>122896</v>
      </c>
      <c r="D2435" t="n">
        <v>8564925</v>
      </c>
      <c r="E2435">
        <f>IF(A2435="","",COUNTIFS($A$2:$A$20000,A2435,$B$2:$B$20000,"&gt;"&amp;B2435)+1)</f>
        <v/>
      </c>
    </row>
    <row r="2436">
      <c r="A2436" t="inlineStr">
        <is>
          <t>샘플종목23</t>
        </is>
      </c>
      <c r="B2436" s="3" t="n">
        <v>45653</v>
      </c>
      <c r="C2436" t="n">
        <v>120461</v>
      </c>
      <c r="D2436" t="n">
        <v>5252461</v>
      </c>
      <c r="E2436">
        <f>IF(A2436="","",COUNTIFS($A$2:$A$20000,A2436,$B$2:$B$20000,"&gt;"&amp;B2436)+1)</f>
        <v/>
      </c>
    </row>
    <row r="2437">
      <c r="A2437" t="inlineStr">
        <is>
          <t>샘플종목23</t>
        </is>
      </c>
      <c r="B2437" s="3" t="n">
        <v>45660</v>
      </c>
      <c r="C2437" t="n">
        <v>116785</v>
      </c>
      <c r="D2437" t="n">
        <v>2341308</v>
      </c>
      <c r="E2437">
        <f>IF(A2437="","",COUNTIFS($A$2:$A$20000,A2437,$B$2:$B$20000,"&gt;"&amp;B2437)+1)</f>
        <v/>
      </c>
    </row>
    <row r="2438">
      <c r="A2438" t="inlineStr">
        <is>
          <t>샘플종목23</t>
        </is>
      </c>
      <c r="B2438" s="3" t="n">
        <v>45667</v>
      </c>
      <c r="C2438" t="n">
        <v>117491</v>
      </c>
      <c r="D2438" t="n">
        <v>1020233</v>
      </c>
      <c r="E2438">
        <f>IF(A2438="","",COUNTIFS($A$2:$A$20000,A2438,$B$2:$B$20000,"&gt;"&amp;B2438)+1)</f>
        <v/>
      </c>
    </row>
    <row r="2439">
      <c r="A2439" t="inlineStr">
        <is>
          <t>샘플종목23</t>
        </is>
      </c>
      <c r="B2439" s="3" t="n">
        <v>45674</v>
      </c>
      <c r="C2439" t="n">
        <v>125139</v>
      </c>
      <c r="D2439" t="n">
        <v>5892806</v>
      </c>
      <c r="E2439">
        <f>IF(A2439="","",COUNTIFS($A$2:$A$20000,A2439,$B$2:$B$20000,"&gt;"&amp;B2439)+1)</f>
        <v/>
      </c>
    </row>
    <row r="2440">
      <c r="A2440" t="inlineStr">
        <is>
          <t>샘플종목23</t>
        </is>
      </c>
      <c r="B2440" s="3" t="n">
        <v>45681</v>
      </c>
      <c r="C2440" t="n">
        <v>127835</v>
      </c>
      <c r="D2440" t="n">
        <v>5463835</v>
      </c>
      <c r="E2440">
        <f>IF(A2440="","",COUNTIFS($A$2:$A$20000,A2440,$B$2:$B$20000,"&gt;"&amp;B2440)+1)</f>
        <v/>
      </c>
    </row>
    <row r="2441">
      <c r="A2441" t="inlineStr">
        <is>
          <t>샘플종목23</t>
        </is>
      </c>
      <c r="B2441" s="3" t="n">
        <v>45688</v>
      </c>
      <c r="C2441" t="n">
        <v>126175</v>
      </c>
      <c r="D2441" t="n">
        <v>2433509</v>
      </c>
      <c r="E2441">
        <f>IF(A2441="","",COUNTIFS($A$2:$A$20000,A2441,$B$2:$B$20000,"&gt;"&amp;B2441)+1)</f>
        <v/>
      </c>
    </row>
    <row r="2442">
      <c r="A2442" t="inlineStr">
        <is>
          <t>샘플종목23</t>
        </is>
      </c>
      <c r="B2442" s="3" t="n">
        <v>45695</v>
      </c>
      <c r="C2442" t="n">
        <v>134257</v>
      </c>
      <c r="D2442" t="n">
        <v>9203271</v>
      </c>
      <c r="E2442">
        <f>IF(A2442="","",COUNTIFS($A$2:$A$20000,A2442,$B$2:$B$20000,"&gt;"&amp;B2442)+1)</f>
        <v/>
      </c>
    </row>
    <row r="2443">
      <c r="A2443" t="inlineStr">
        <is>
          <t>샘플종목23</t>
        </is>
      </c>
      <c r="B2443" s="3" t="n">
        <v>45702</v>
      </c>
      <c r="C2443" t="n">
        <v>124083</v>
      </c>
      <c r="D2443" t="n">
        <v>905321</v>
      </c>
      <c r="E2443">
        <f>IF(A2443="","",COUNTIFS($A$2:$A$20000,A2443,$B$2:$B$20000,"&gt;"&amp;B2443)+1)</f>
        <v/>
      </c>
    </row>
    <row r="2444">
      <c r="A2444" t="inlineStr">
        <is>
          <t>샘플종목23</t>
        </is>
      </c>
      <c r="B2444" s="3" t="n">
        <v>45709</v>
      </c>
      <c r="C2444" t="n">
        <v>126913</v>
      </c>
      <c r="D2444" t="n">
        <v>7745332</v>
      </c>
      <c r="E2444">
        <f>IF(A2444="","",COUNTIFS($A$2:$A$20000,A2444,$B$2:$B$20000,"&gt;"&amp;B2444)+1)</f>
        <v/>
      </c>
    </row>
    <row r="2445">
      <c r="A2445" t="inlineStr">
        <is>
          <t>샘플종목23</t>
        </is>
      </c>
      <c r="B2445" s="3" t="n">
        <v>45716</v>
      </c>
      <c r="C2445" t="n">
        <v>117768</v>
      </c>
      <c r="D2445" t="n">
        <v>5792724</v>
      </c>
      <c r="E2445">
        <f>IF(A2445="","",COUNTIFS($A$2:$A$20000,A2445,$B$2:$B$20000,"&gt;"&amp;B2445)+1)</f>
        <v/>
      </c>
    </row>
    <row r="2446">
      <c r="A2446" t="inlineStr">
        <is>
          <t>샘플종목23</t>
        </is>
      </c>
      <c r="B2446" s="3" t="n">
        <v>45723</v>
      </c>
      <c r="C2446" t="n">
        <v>112852</v>
      </c>
      <c r="D2446" t="n">
        <v>3692444</v>
      </c>
      <c r="E2446">
        <f>IF(A2446="","",COUNTIFS($A$2:$A$20000,A2446,$B$2:$B$20000,"&gt;"&amp;B2446)+1)</f>
        <v/>
      </c>
    </row>
    <row r="2447">
      <c r="A2447" t="inlineStr">
        <is>
          <t>샘플종목23</t>
        </is>
      </c>
      <c r="B2447" s="3" t="n">
        <v>45730</v>
      </c>
      <c r="C2447" t="n">
        <v>114012</v>
      </c>
      <c r="D2447" t="n">
        <v>5811619</v>
      </c>
      <c r="E2447">
        <f>IF(A2447="","",COUNTIFS($A$2:$A$20000,A2447,$B$2:$B$20000,"&gt;"&amp;B2447)+1)</f>
        <v/>
      </c>
    </row>
    <row r="2448">
      <c r="A2448" t="inlineStr">
        <is>
          <t>샘플종목23</t>
        </is>
      </c>
      <c r="B2448" s="3" t="n">
        <v>45737</v>
      </c>
      <c r="C2448" t="n">
        <v>113176</v>
      </c>
      <c r="D2448" t="n">
        <v>2085547</v>
      </c>
      <c r="E2448">
        <f>IF(A2448="","",COUNTIFS($A$2:$A$20000,A2448,$B$2:$B$20000,"&gt;"&amp;B2448)+1)</f>
        <v/>
      </c>
    </row>
    <row r="2449">
      <c r="A2449" t="inlineStr">
        <is>
          <t>샘플종목23</t>
        </is>
      </c>
      <c r="B2449" s="3" t="n">
        <v>45744</v>
      </c>
      <c r="C2449" t="n">
        <v>114665</v>
      </c>
      <c r="D2449" t="n">
        <v>5588430</v>
      </c>
      <c r="E2449">
        <f>IF(A2449="","",COUNTIFS($A$2:$A$20000,A2449,$B$2:$B$20000,"&gt;"&amp;B2449)+1)</f>
        <v/>
      </c>
    </row>
    <row r="2450">
      <c r="A2450" t="inlineStr">
        <is>
          <t>샘플종목23</t>
        </is>
      </c>
      <c r="B2450" s="3" t="n">
        <v>45751</v>
      </c>
      <c r="C2450" t="n">
        <v>122393</v>
      </c>
      <c r="D2450" t="n">
        <v>529051</v>
      </c>
      <c r="E2450">
        <f>IF(A2450="","",COUNTIFS($A$2:$A$20000,A2450,$B$2:$B$20000,"&gt;"&amp;B2450)+1)</f>
        <v/>
      </c>
    </row>
    <row r="2451">
      <c r="A2451" t="inlineStr">
        <is>
          <t>샘플종목23</t>
        </is>
      </c>
      <c r="B2451" s="3" t="n">
        <v>45758</v>
      </c>
      <c r="C2451" t="n">
        <v>115724</v>
      </c>
      <c r="D2451" t="n">
        <v>3910021</v>
      </c>
      <c r="E2451">
        <f>IF(A2451="","",COUNTIFS($A$2:$A$20000,A2451,$B$2:$B$20000,"&gt;"&amp;B2451)+1)</f>
        <v/>
      </c>
    </row>
    <row r="2452">
      <c r="A2452" t="inlineStr">
        <is>
          <t>샘플종목23</t>
        </is>
      </c>
      <c r="B2452" s="3" t="n">
        <v>45765</v>
      </c>
      <c r="C2452" t="n">
        <v>111576</v>
      </c>
      <c r="D2452" t="n">
        <v>8452869</v>
      </c>
      <c r="E2452">
        <f>IF(A2452="","",COUNTIFS($A$2:$A$20000,A2452,$B$2:$B$20000,"&gt;"&amp;B2452)+1)</f>
        <v/>
      </c>
    </row>
    <row r="2453">
      <c r="A2453" t="inlineStr">
        <is>
          <t>샘플종목23</t>
        </is>
      </c>
      <c r="B2453" s="3" t="n">
        <v>45772</v>
      </c>
      <c r="C2453" t="n">
        <v>116294</v>
      </c>
      <c r="D2453" t="n">
        <v>981478</v>
      </c>
      <c r="E2453">
        <f>IF(A2453="","",COUNTIFS($A$2:$A$20000,A2453,$B$2:$B$20000,"&gt;"&amp;B2453)+1)</f>
        <v/>
      </c>
    </row>
    <row r="2454">
      <c r="A2454" t="inlineStr">
        <is>
          <t>샘플종목23</t>
        </is>
      </c>
      <c r="B2454" s="3" t="n">
        <v>45779</v>
      </c>
      <c r="C2454" t="n">
        <v>118176</v>
      </c>
      <c r="D2454" t="n">
        <v>6841831</v>
      </c>
      <c r="E2454">
        <f>IF(A2454="","",COUNTIFS($A$2:$A$20000,A2454,$B$2:$B$20000,"&gt;"&amp;B2454)+1)</f>
        <v/>
      </c>
    </row>
    <row r="2455">
      <c r="A2455" t="inlineStr">
        <is>
          <t>샘플종목23</t>
        </is>
      </c>
      <c r="B2455" s="3" t="n">
        <v>45786</v>
      </c>
      <c r="C2455" t="n">
        <v>123402</v>
      </c>
      <c r="D2455" t="n">
        <v>5320084</v>
      </c>
      <c r="E2455">
        <f>IF(A2455="","",COUNTIFS($A$2:$A$20000,A2455,$B$2:$B$20000,"&gt;"&amp;B2455)+1)</f>
        <v/>
      </c>
    </row>
    <row r="2456">
      <c r="A2456" t="inlineStr">
        <is>
          <t>샘플종목23</t>
        </is>
      </c>
      <c r="B2456" s="3" t="n">
        <v>45793</v>
      </c>
      <c r="C2456" t="n">
        <v>127610</v>
      </c>
      <c r="D2456" t="n">
        <v>5298955</v>
      </c>
      <c r="E2456">
        <f>IF(A2456="","",COUNTIFS($A$2:$A$20000,A2456,$B$2:$B$20000,"&gt;"&amp;B2456)+1)</f>
        <v/>
      </c>
    </row>
    <row r="2457">
      <c r="A2457" t="inlineStr">
        <is>
          <t>샘플종목23</t>
        </is>
      </c>
      <c r="B2457" s="3" t="n">
        <v>45800</v>
      </c>
      <c r="C2457" t="n">
        <v>115876</v>
      </c>
      <c r="D2457" t="n">
        <v>9775768</v>
      </c>
      <c r="E2457">
        <f>IF(A2457="","",COUNTIFS($A$2:$A$20000,A2457,$B$2:$B$20000,"&gt;"&amp;B2457)+1)</f>
        <v/>
      </c>
    </row>
    <row r="2458">
      <c r="A2458" t="inlineStr">
        <is>
          <t>샘플종목23</t>
        </is>
      </c>
      <c r="B2458" s="3" t="n">
        <v>45807</v>
      </c>
      <c r="C2458" t="n">
        <v>106339</v>
      </c>
      <c r="D2458" t="n">
        <v>5326507</v>
      </c>
      <c r="E2458">
        <f>IF(A2458="","",COUNTIFS($A$2:$A$20000,A2458,$B$2:$B$20000,"&gt;"&amp;B2458)+1)</f>
        <v/>
      </c>
    </row>
    <row r="2459">
      <c r="A2459" t="inlineStr">
        <is>
          <t>샘플종목23</t>
        </is>
      </c>
      <c r="B2459" s="3" t="n">
        <v>45814</v>
      </c>
      <c r="C2459" t="n">
        <v>108234</v>
      </c>
      <c r="D2459" t="n">
        <v>6010138</v>
      </c>
      <c r="E2459">
        <f>IF(A2459="","",COUNTIFS($A$2:$A$20000,A2459,$B$2:$B$20000,"&gt;"&amp;B2459)+1)</f>
        <v/>
      </c>
    </row>
    <row r="2460">
      <c r="A2460" t="inlineStr">
        <is>
          <t>샘플종목23</t>
        </is>
      </c>
      <c r="B2460" s="3" t="n">
        <v>45821</v>
      </c>
      <c r="C2460" t="n">
        <v>106616</v>
      </c>
      <c r="D2460" t="n">
        <v>9956402</v>
      </c>
      <c r="E2460">
        <f>IF(A2460="","",COUNTIFS($A$2:$A$20000,A2460,$B$2:$B$20000,"&gt;"&amp;B2460)+1)</f>
        <v/>
      </c>
    </row>
    <row r="2461">
      <c r="A2461" t="inlineStr">
        <is>
          <t>샘플종목23</t>
        </is>
      </c>
      <c r="B2461" s="3" t="n">
        <v>45828</v>
      </c>
      <c r="C2461" t="n">
        <v>105932</v>
      </c>
      <c r="D2461" t="n">
        <v>8799573</v>
      </c>
      <c r="E2461">
        <f>IF(A2461="","",COUNTIFS($A$2:$A$20000,A2461,$B$2:$B$20000,"&gt;"&amp;B2461)+1)</f>
        <v/>
      </c>
    </row>
    <row r="2462">
      <c r="A2462" t="inlineStr">
        <is>
          <t>샘플종목23</t>
        </is>
      </c>
      <c r="B2462" s="3" t="n">
        <v>45835</v>
      </c>
      <c r="C2462" t="n">
        <v>110331</v>
      </c>
      <c r="D2462" t="n">
        <v>298043</v>
      </c>
      <c r="E2462">
        <f>IF(A2462="","",COUNTIFS($A$2:$A$20000,A2462,$B$2:$B$20000,"&gt;"&amp;B2462)+1)</f>
        <v/>
      </c>
    </row>
    <row r="2463">
      <c r="A2463" t="inlineStr">
        <is>
          <t>샘플종목23</t>
        </is>
      </c>
      <c r="B2463" s="3" t="n">
        <v>45842</v>
      </c>
      <c r="C2463" t="n">
        <v>112552</v>
      </c>
      <c r="D2463" t="n">
        <v>3909961</v>
      </c>
      <c r="E2463">
        <f>IF(A2463="","",COUNTIFS($A$2:$A$20000,A2463,$B$2:$B$20000,"&gt;"&amp;B2463)+1)</f>
        <v/>
      </c>
    </row>
    <row r="2464">
      <c r="A2464" t="inlineStr">
        <is>
          <t>샘플종목23</t>
        </is>
      </c>
      <c r="B2464" s="3" t="n">
        <v>45849</v>
      </c>
      <c r="C2464" t="n">
        <v>113893</v>
      </c>
      <c r="D2464" t="n">
        <v>6194824</v>
      </c>
      <c r="E2464">
        <f>IF(A2464="","",COUNTIFS($A$2:$A$20000,A2464,$B$2:$B$20000,"&gt;"&amp;B2464)+1)</f>
        <v/>
      </c>
    </row>
    <row r="2465">
      <c r="A2465" t="inlineStr">
        <is>
          <t>샘플종목23</t>
        </is>
      </c>
      <c r="B2465" s="3" t="n">
        <v>45856</v>
      </c>
      <c r="C2465" t="n">
        <v>118292</v>
      </c>
      <c r="D2465" t="n">
        <v>2194761</v>
      </c>
      <c r="E2465">
        <f>IF(A2465="","",COUNTIFS($A$2:$A$20000,A2465,$B$2:$B$20000,"&gt;"&amp;B2465)+1)</f>
        <v/>
      </c>
    </row>
    <row r="2466">
      <c r="A2466" t="inlineStr">
        <is>
          <t>샘플종목23</t>
        </is>
      </c>
      <c r="B2466" s="3" t="n">
        <v>45863</v>
      </c>
      <c r="C2466" t="n">
        <v>115074</v>
      </c>
      <c r="D2466" t="n">
        <v>7843215</v>
      </c>
      <c r="E2466">
        <f>IF(A2466="","",COUNTIFS($A$2:$A$20000,A2466,$B$2:$B$20000,"&gt;"&amp;B2466)+1)</f>
        <v/>
      </c>
    </row>
    <row r="2467">
      <c r="A2467" t="inlineStr">
        <is>
          <t>샘플종목23</t>
        </is>
      </c>
      <c r="B2467" s="3" t="n">
        <v>45870</v>
      </c>
      <c r="C2467" t="n">
        <v>110374</v>
      </c>
      <c r="D2467" t="n">
        <v>9650155</v>
      </c>
      <c r="E2467">
        <f>IF(A2467="","",COUNTIFS($A$2:$A$20000,A2467,$B$2:$B$20000,"&gt;"&amp;B2467)+1)</f>
        <v/>
      </c>
    </row>
    <row r="2468">
      <c r="A2468" t="inlineStr">
        <is>
          <t>샘플종목23</t>
        </is>
      </c>
      <c r="B2468" s="3" t="n">
        <v>45877</v>
      </c>
      <c r="C2468" t="n">
        <v>104200</v>
      </c>
      <c r="D2468" t="n">
        <v>7302743</v>
      </c>
      <c r="E2468">
        <f>IF(A2468="","",COUNTIFS($A$2:$A$20000,A2468,$B$2:$B$20000,"&gt;"&amp;B2468)+1)</f>
        <v/>
      </c>
    </row>
    <row r="2469">
      <c r="A2469" t="inlineStr">
        <is>
          <t>샘플종목23</t>
        </is>
      </c>
      <c r="B2469" s="3" t="n">
        <v>45884</v>
      </c>
      <c r="C2469" t="n">
        <v>107140</v>
      </c>
      <c r="D2469" t="n">
        <v>1649131</v>
      </c>
      <c r="E2469">
        <f>IF(A2469="","",COUNTIFS($A$2:$A$20000,A2469,$B$2:$B$20000,"&gt;"&amp;B2469)+1)</f>
        <v/>
      </c>
    </row>
    <row r="2470">
      <c r="A2470" t="inlineStr">
        <is>
          <t>샘플종목23</t>
        </is>
      </c>
      <c r="B2470" s="3" t="n">
        <v>45891</v>
      </c>
      <c r="C2470" t="n">
        <v>108790</v>
      </c>
      <c r="D2470" t="n">
        <v>8743568</v>
      </c>
      <c r="E2470">
        <f>IF(A2470="","",COUNTIFS($A$2:$A$20000,A2470,$B$2:$B$20000,"&gt;"&amp;B2470)+1)</f>
        <v/>
      </c>
    </row>
    <row r="2471">
      <c r="A2471" t="inlineStr">
        <is>
          <t>샘플종목23</t>
        </is>
      </c>
      <c r="B2471" s="3" t="n">
        <v>45898</v>
      </c>
      <c r="C2471" t="n">
        <v>112309</v>
      </c>
      <c r="D2471" t="n">
        <v>6082981</v>
      </c>
      <c r="E2471">
        <f>IF(A2471="","",COUNTIFS($A$2:$A$20000,A2471,$B$2:$B$20000,"&gt;"&amp;B2471)+1)</f>
        <v/>
      </c>
    </row>
    <row r="2472">
      <c r="A2472" t="inlineStr">
        <is>
          <t>샘플종목23</t>
        </is>
      </c>
      <c r="B2472" s="3" t="n">
        <v>45905</v>
      </c>
      <c r="C2472" t="n">
        <v>118947</v>
      </c>
      <c r="D2472" t="n">
        <v>1069415</v>
      </c>
      <c r="E2472">
        <f>IF(A2472="","",COUNTIFS($A$2:$A$20000,A2472,$B$2:$B$20000,"&gt;"&amp;B2472)+1)</f>
        <v/>
      </c>
    </row>
    <row r="2473">
      <c r="A2473" t="inlineStr">
        <is>
          <t>샘플종목23</t>
        </is>
      </c>
      <c r="B2473" s="3" t="n">
        <v>45912</v>
      </c>
      <c r="C2473" t="n">
        <v>124222</v>
      </c>
      <c r="D2473" t="n">
        <v>3774344</v>
      </c>
      <c r="E2473">
        <f>IF(A2473="","",COUNTIFS($A$2:$A$20000,A2473,$B$2:$B$20000,"&gt;"&amp;B2473)+1)</f>
        <v/>
      </c>
    </row>
    <row r="2474">
      <c r="A2474" t="inlineStr">
        <is>
          <t>샘플종목23</t>
        </is>
      </c>
      <c r="B2474" s="3" t="n">
        <v>45919</v>
      </c>
      <c r="C2474" t="n">
        <v>116530</v>
      </c>
      <c r="D2474" t="n">
        <v>7372387</v>
      </c>
      <c r="E2474">
        <f>IF(A2474="","",COUNTIFS($A$2:$A$20000,A2474,$B$2:$B$20000,"&gt;"&amp;B2474)+1)</f>
        <v/>
      </c>
    </row>
    <row r="2475">
      <c r="A2475" t="inlineStr">
        <is>
          <t>샘플종목23</t>
        </is>
      </c>
      <c r="B2475" s="3" t="n">
        <v>45926</v>
      </c>
      <c r="C2475" t="n">
        <v>125030</v>
      </c>
      <c r="D2475" t="n">
        <v>2746454</v>
      </c>
      <c r="E2475">
        <f>IF(A2475="","",COUNTIFS($A$2:$A$20000,A2475,$B$2:$B$20000,"&gt;"&amp;B2475)+1)</f>
        <v/>
      </c>
    </row>
    <row r="2476">
      <c r="A2476" t="inlineStr">
        <is>
          <t>샘플종목23</t>
        </is>
      </c>
      <c r="B2476" s="3" t="n">
        <v>45933</v>
      </c>
      <c r="C2476" t="n">
        <v>119525</v>
      </c>
      <c r="D2476" t="n">
        <v>7092989</v>
      </c>
      <c r="E2476">
        <f>IF(A2476="","",COUNTIFS($A$2:$A$20000,A2476,$B$2:$B$20000,"&gt;"&amp;B2476)+1)</f>
        <v/>
      </c>
    </row>
    <row r="2477">
      <c r="A2477" t="inlineStr">
        <is>
          <t>샘플종목23</t>
        </is>
      </c>
      <c r="B2477" s="3" t="n">
        <v>45940</v>
      </c>
      <c r="C2477" t="n">
        <v>124892</v>
      </c>
      <c r="D2477" t="n">
        <v>3484365</v>
      </c>
      <c r="E2477">
        <f>IF(A2477="","",COUNTIFS($A$2:$A$20000,A2477,$B$2:$B$20000,"&gt;"&amp;B2477)+1)</f>
        <v/>
      </c>
    </row>
    <row r="2478">
      <c r="A2478" t="inlineStr">
        <is>
          <t>샘플종목23</t>
        </is>
      </c>
      <c r="B2478" s="3" t="n">
        <v>45947</v>
      </c>
      <c r="C2478" t="n">
        <v>117932</v>
      </c>
      <c r="D2478" t="n">
        <v>8749341</v>
      </c>
      <c r="E2478">
        <f>IF(A2478="","",COUNTIFS($A$2:$A$20000,A2478,$B$2:$B$20000,"&gt;"&amp;B2478)+1)</f>
        <v/>
      </c>
    </row>
    <row r="2479">
      <c r="A2479" t="inlineStr">
        <is>
          <t>샘플종목23</t>
        </is>
      </c>
      <c r="B2479" s="3" t="n">
        <v>45954</v>
      </c>
      <c r="C2479" t="n">
        <v>131072</v>
      </c>
      <c r="D2479" t="n">
        <v>3234241</v>
      </c>
      <c r="E2479">
        <f>IF(A2479="","",COUNTIFS($A$2:$A$20000,A2479,$B$2:$B$20000,"&gt;"&amp;B2479)+1)</f>
        <v/>
      </c>
    </row>
    <row r="2480">
      <c r="A2480" t="inlineStr">
        <is>
          <t>샘플종목23</t>
        </is>
      </c>
      <c r="B2480" s="3" t="n">
        <v>45961</v>
      </c>
      <c r="C2480" t="n">
        <v>122590</v>
      </c>
      <c r="D2480" t="n">
        <v>281822</v>
      </c>
      <c r="E2480">
        <f>IF(A2480="","",COUNTIFS($A$2:$A$20000,A2480,$B$2:$B$20000,"&gt;"&amp;B2480)+1)</f>
        <v/>
      </c>
    </row>
    <row r="2481">
      <c r="A2481" t="inlineStr">
        <is>
          <t>샘플종목23</t>
        </is>
      </c>
      <c r="B2481" s="3" t="n">
        <v>45968</v>
      </c>
      <c r="C2481" t="n">
        <v>123284</v>
      </c>
      <c r="D2481" t="n">
        <v>2503414</v>
      </c>
      <c r="E2481">
        <f>IF(A2481="","",COUNTIFS($A$2:$A$20000,A2481,$B$2:$B$20000,"&gt;"&amp;B2481)+1)</f>
        <v/>
      </c>
    </row>
    <row r="2482">
      <c r="A2482" t="inlineStr">
        <is>
          <t>샘플종목23</t>
        </is>
      </c>
      <c r="B2482" s="3" t="n">
        <v>45975</v>
      </c>
      <c r="C2482" t="n">
        <v>119731</v>
      </c>
      <c r="D2482" t="n">
        <v>9513635</v>
      </c>
      <c r="E2482">
        <f>IF(A2482="","",COUNTIFS($A$2:$A$20000,A2482,$B$2:$B$20000,"&gt;"&amp;B2482)+1)</f>
        <v/>
      </c>
    </row>
    <row r="2483">
      <c r="A2483" t="inlineStr">
        <is>
          <t>샘플종목23</t>
        </is>
      </c>
      <c r="B2483" s="3" t="n">
        <v>45982</v>
      </c>
      <c r="C2483" t="n">
        <v>117113</v>
      </c>
      <c r="D2483" t="n">
        <v>2852569</v>
      </c>
      <c r="E2483">
        <f>IF(A2483="","",COUNTIFS($A$2:$A$20000,A2483,$B$2:$B$20000,"&gt;"&amp;B2483)+1)</f>
        <v/>
      </c>
    </row>
    <row r="2484">
      <c r="A2484" t="inlineStr">
        <is>
          <t>샘플종목23</t>
        </is>
      </c>
      <c r="B2484" s="3" t="n">
        <v>45989</v>
      </c>
      <c r="C2484" t="n">
        <v>121530</v>
      </c>
      <c r="D2484" t="n">
        <v>9350771</v>
      </c>
      <c r="E2484">
        <f>IF(A2484="","",COUNTIFS($A$2:$A$20000,A2484,$B$2:$B$20000,"&gt;"&amp;B2484)+1)</f>
        <v/>
      </c>
    </row>
    <row r="2485">
      <c r="A2485" t="inlineStr">
        <is>
          <t>샘플종목23</t>
        </is>
      </c>
      <c r="B2485" s="3" t="n">
        <v>45996</v>
      </c>
      <c r="C2485" t="n">
        <v>131524</v>
      </c>
      <c r="D2485" t="n">
        <v>1992506</v>
      </c>
      <c r="E2485">
        <f>IF(A2485="","",COUNTIFS($A$2:$A$20000,A2485,$B$2:$B$20000,"&gt;"&amp;B2485)+1)</f>
        <v/>
      </c>
    </row>
    <row r="2486">
      <c r="A2486" t="inlineStr">
        <is>
          <t>샘플종목23</t>
        </is>
      </c>
      <c r="B2486" s="3" t="n">
        <v>46003</v>
      </c>
      <c r="C2486" t="n">
        <v>135164</v>
      </c>
      <c r="D2486" t="n">
        <v>1029868</v>
      </c>
      <c r="E2486">
        <f>IF(A2486="","",COUNTIFS($A$2:$A$20000,A2486,$B$2:$B$20000,"&gt;"&amp;B2486)+1)</f>
        <v/>
      </c>
    </row>
    <row r="2487">
      <c r="A2487" t="inlineStr">
        <is>
          <t>샘플종목23</t>
        </is>
      </c>
      <c r="B2487" s="3" t="n">
        <v>46010</v>
      </c>
      <c r="C2487" t="n">
        <v>131666</v>
      </c>
      <c r="D2487" t="n">
        <v>3579494</v>
      </c>
      <c r="E2487">
        <f>IF(A2487="","",COUNTIFS($A$2:$A$20000,A2487,$B$2:$B$20000,"&gt;"&amp;B2487)+1)</f>
        <v/>
      </c>
    </row>
    <row r="2488">
      <c r="A2488" t="inlineStr">
        <is>
          <t>샘플종목23</t>
        </is>
      </c>
      <c r="B2488" s="3" t="n">
        <v>46017</v>
      </c>
      <c r="C2488" t="n">
        <v>120599</v>
      </c>
      <c r="D2488" t="n">
        <v>3708879</v>
      </c>
      <c r="E2488">
        <f>IF(A2488="","",COUNTIFS($A$2:$A$20000,A2488,$B$2:$B$20000,"&gt;"&amp;B2488)+1)</f>
        <v/>
      </c>
    </row>
    <row r="2489">
      <c r="A2489" t="inlineStr">
        <is>
          <t>샘플종목23</t>
        </is>
      </c>
      <c r="B2489" s="3" t="n">
        <v>46024</v>
      </c>
      <c r="C2489" t="n">
        <v>120520</v>
      </c>
      <c r="D2489" t="n">
        <v>8669767</v>
      </c>
      <c r="E2489">
        <f>IF(A2489="","",COUNTIFS($A$2:$A$20000,A2489,$B$2:$B$20000,"&gt;"&amp;B2489)+1)</f>
        <v/>
      </c>
    </row>
    <row r="2490">
      <c r="A2490" t="inlineStr">
        <is>
          <t>샘플종목23</t>
        </is>
      </c>
      <c r="B2490" s="3" t="n">
        <v>46031</v>
      </c>
      <c r="C2490" t="n">
        <v>118047</v>
      </c>
      <c r="D2490" t="n">
        <v>3679915</v>
      </c>
      <c r="E2490">
        <f>IF(A2490="","",COUNTIFS($A$2:$A$20000,A2490,$B$2:$B$20000,"&gt;"&amp;B2490)+1)</f>
        <v/>
      </c>
    </row>
    <row r="2491">
      <c r="A2491" t="inlineStr">
        <is>
          <t>샘플종목23</t>
        </is>
      </c>
      <c r="B2491" s="3" t="n">
        <v>46038</v>
      </c>
      <c r="C2491" t="n">
        <v>118923</v>
      </c>
      <c r="D2491" t="n">
        <v>2510567</v>
      </c>
      <c r="E2491">
        <f>IF(A2491="","",COUNTIFS($A$2:$A$20000,A2491,$B$2:$B$20000,"&gt;"&amp;B2491)+1)</f>
        <v/>
      </c>
    </row>
    <row r="2492">
      <c r="A2492" t="inlineStr">
        <is>
          <t>샘플종목23</t>
        </is>
      </c>
      <c r="B2492" s="3" t="n">
        <v>46045</v>
      </c>
      <c r="C2492" t="n">
        <v>122080</v>
      </c>
      <c r="D2492" t="n">
        <v>610327</v>
      </c>
      <c r="E2492">
        <f>IF(A2492="","",COUNTIFS($A$2:$A$20000,A2492,$B$2:$B$20000,"&gt;"&amp;B2492)+1)</f>
        <v/>
      </c>
    </row>
    <row r="2493">
      <c r="A2493" t="inlineStr">
        <is>
          <t>샘플종목23</t>
        </is>
      </c>
      <c r="B2493" s="3" t="n">
        <v>46052</v>
      </c>
      <c r="C2493" t="n">
        <v>126628</v>
      </c>
      <c r="D2493" t="n">
        <v>7211032</v>
      </c>
      <c r="E2493">
        <f>IF(A2493="","",COUNTIFS($A$2:$A$20000,A2493,$B$2:$B$20000,"&gt;"&amp;B2493)+1)</f>
        <v/>
      </c>
    </row>
    <row r="2494">
      <c r="A2494" t="inlineStr">
        <is>
          <t>샘플종목23</t>
        </is>
      </c>
      <c r="B2494" s="3" t="n">
        <v>46059</v>
      </c>
      <c r="C2494" t="n">
        <v>131945</v>
      </c>
      <c r="D2494" t="n">
        <v>4730715</v>
      </c>
      <c r="E2494">
        <f>IF(A2494="","",COUNTIFS($A$2:$A$20000,A2494,$B$2:$B$20000,"&gt;"&amp;B2494)+1)</f>
        <v/>
      </c>
    </row>
    <row r="2495">
      <c r="A2495" t="inlineStr">
        <is>
          <t>샘플종목23</t>
        </is>
      </c>
      <c r="B2495" s="3" t="n">
        <v>46066</v>
      </c>
      <c r="C2495" t="n">
        <v>138289</v>
      </c>
      <c r="D2495" t="n">
        <v>4022188</v>
      </c>
      <c r="E2495">
        <f>IF(A2495="","",COUNTIFS($A$2:$A$20000,A2495,$B$2:$B$20000,"&gt;"&amp;B2495)+1)</f>
        <v/>
      </c>
    </row>
    <row r="2496">
      <c r="A2496" t="inlineStr">
        <is>
          <t>샘플종목23</t>
        </is>
      </c>
      <c r="B2496" s="3" t="n">
        <v>46073</v>
      </c>
      <c r="C2496" t="n">
        <v>132744</v>
      </c>
      <c r="D2496" t="n">
        <v>7956592</v>
      </c>
      <c r="E2496">
        <f>IF(A2496="","",COUNTIFS($A$2:$A$20000,A2496,$B$2:$B$20000,"&gt;"&amp;B2496)+1)</f>
        <v/>
      </c>
    </row>
    <row r="2497">
      <c r="A2497" t="inlineStr">
        <is>
          <t>샘플종목23</t>
        </is>
      </c>
      <c r="B2497" s="3" t="n">
        <v>46080</v>
      </c>
      <c r="C2497" t="n">
        <v>136069</v>
      </c>
      <c r="D2497" t="n">
        <v>1008651</v>
      </c>
      <c r="E2497">
        <f>IF(A2497="","",COUNTIFS($A$2:$A$20000,A2497,$B$2:$B$20000,"&gt;"&amp;B2497)+1)</f>
        <v/>
      </c>
    </row>
    <row r="2498">
      <c r="A2498" t="inlineStr">
        <is>
          <t>샘플종목23</t>
        </is>
      </c>
      <c r="B2498" s="3" t="n">
        <v>46087</v>
      </c>
      <c r="C2498" t="n">
        <v>136827</v>
      </c>
      <c r="D2498" t="n">
        <v>5807703</v>
      </c>
      <c r="E2498">
        <f>IF(A2498="","",COUNTIFS($A$2:$A$20000,A2498,$B$2:$B$20000,"&gt;"&amp;B2498)+1)</f>
        <v/>
      </c>
    </row>
    <row r="2499">
      <c r="A2499" t="inlineStr">
        <is>
          <t>샘플종목23</t>
        </is>
      </c>
      <c r="B2499" s="3" t="n">
        <v>46094</v>
      </c>
      <c r="C2499" t="n">
        <v>137421</v>
      </c>
      <c r="D2499" t="n">
        <v>2875439</v>
      </c>
      <c r="E2499">
        <f>IF(A2499="","",COUNTIFS($A$2:$A$20000,A2499,$B$2:$B$20000,"&gt;"&amp;B2499)+1)</f>
        <v/>
      </c>
    </row>
    <row r="2500">
      <c r="A2500" t="inlineStr">
        <is>
          <t>샘플종목23</t>
        </is>
      </c>
      <c r="B2500" s="3" t="n">
        <v>46101</v>
      </c>
      <c r="C2500" t="n">
        <v>137654</v>
      </c>
      <c r="D2500" t="n">
        <v>4388625</v>
      </c>
      <c r="E2500">
        <f>IF(A2500="","",COUNTIFS($A$2:$A$20000,A2500,$B$2:$B$20000,"&gt;"&amp;B2500)+1)</f>
        <v/>
      </c>
    </row>
    <row r="2501">
      <c r="A2501" t="inlineStr">
        <is>
          <t>샘플종목23</t>
        </is>
      </c>
      <c r="B2501" s="3" t="n">
        <v>46108</v>
      </c>
      <c r="C2501" t="n">
        <v>133879</v>
      </c>
      <c r="D2501" t="n">
        <v>3993728</v>
      </c>
      <c r="E2501">
        <f>IF(A2501="","",COUNTIFS($A$2:$A$20000,A2501,$B$2:$B$20000,"&gt;"&amp;B2501)+1)</f>
        <v/>
      </c>
    </row>
    <row r="2502">
      <c r="A2502" t="inlineStr">
        <is>
          <t>샘플종목23</t>
        </is>
      </c>
      <c r="B2502" s="3" t="n">
        <v>46115</v>
      </c>
      <c r="C2502" t="n">
        <v>130838</v>
      </c>
      <c r="D2502" t="n">
        <v>3034067</v>
      </c>
      <c r="E2502">
        <f>IF(A2502="","",COUNTIFS($A$2:$A$20000,A2502,$B$2:$B$20000,"&gt;"&amp;B2502)+1)</f>
        <v/>
      </c>
    </row>
    <row r="2503">
      <c r="A2503" t="inlineStr">
        <is>
          <t>샘플종목23</t>
        </is>
      </c>
      <c r="B2503" s="3" t="n">
        <v>46122</v>
      </c>
      <c r="C2503" t="n">
        <v>130760</v>
      </c>
      <c r="D2503" t="n">
        <v>3488947</v>
      </c>
      <c r="E2503">
        <f>IF(A2503="","",COUNTIFS($A$2:$A$20000,A2503,$B$2:$B$20000,"&gt;"&amp;B2503)+1)</f>
        <v/>
      </c>
    </row>
    <row r="2504">
      <c r="A2504" t="inlineStr">
        <is>
          <t>샘플종목23</t>
        </is>
      </c>
      <c r="B2504" s="3" t="n">
        <v>46129</v>
      </c>
      <c r="C2504" t="n">
        <v>139290</v>
      </c>
      <c r="D2504" t="n">
        <v>1942239</v>
      </c>
      <c r="E2504">
        <f>IF(A2504="","",COUNTIFS($A$2:$A$20000,A2504,$B$2:$B$20000,"&gt;"&amp;B2504)+1)</f>
        <v/>
      </c>
    </row>
    <row r="2505">
      <c r="A2505" t="inlineStr">
        <is>
          <t>샘플종목23</t>
        </is>
      </c>
      <c r="B2505" s="3" t="n">
        <v>46136</v>
      </c>
      <c r="C2505" t="n">
        <v>138232</v>
      </c>
      <c r="D2505" t="n">
        <v>7856969</v>
      </c>
      <c r="E2505">
        <f>IF(A2505="","",COUNTIFS($A$2:$A$20000,A2505,$B$2:$B$20000,"&gt;"&amp;B2505)+1)</f>
        <v/>
      </c>
    </row>
    <row r="2506">
      <c r="A2506" t="inlineStr">
        <is>
          <t>샘플종목23</t>
        </is>
      </c>
      <c r="B2506" s="3" t="n">
        <v>46143</v>
      </c>
      <c r="C2506" t="n">
        <v>136454</v>
      </c>
      <c r="D2506" t="n">
        <v>4672432</v>
      </c>
      <c r="E2506">
        <f>IF(A2506="","",COUNTIFS($A$2:$A$20000,A2506,$B$2:$B$20000,"&gt;"&amp;B2506)+1)</f>
        <v/>
      </c>
    </row>
    <row r="2507">
      <c r="A2507" t="inlineStr">
        <is>
          <t>샘플종목23</t>
        </is>
      </c>
      <c r="B2507" s="3" t="n">
        <v>46150</v>
      </c>
      <c r="C2507" t="n">
        <v>128374</v>
      </c>
      <c r="D2507" t="n">
        <v>7220431</v>
      </c>
      <c r="E2507">
        <f>IF(A2507="","",COUNTIFS($A$2:$A$20000,A2507,$B$2:$B$20000,"&gt;"&amp;B2507)+1)</f>
        <v/>
      </c>
    </row>
    <row r="2508">
      <c r="A2508" t="inlineStr">
        <is>
          <t>샘플종목23</t>
        </is>
      </c>
      <c r="B2508" s="3" t="n">
        <v>46157</v>
      </c>
      <c r="C2508" t="n">
        <v>130135</v>
      </c>
      <c r="D2508" t="n">
        <v>129079</v>
      </c>
      <c r="E2508">
        <f>IF(A2508="","",COUNTIFS($A$2:$A$20000,A2508,$B$2:$B$20000,"&gt;"&amp;B2508)+1)</f>
        <v/>
      </c>
    </row>
    <row r="2509">
      <c r="A2509" t="inlineStr">
        <is>
          <t>샘플종목23</t>
        </is>
      </c>
      <c r="B2509" s="3" t="n">
        <v>46164</v>
      </c>
      <c r="C2509" t="n">
        <v>129620</v>
      </c>
      <c r="D2509" t="n">
        <v>7526022</v>
      </c>
      <c r="E2509">
        <f>IF(A2509="","",COUNTIFS($A$2:$A$20000,A2509,$B$2:$B$20000,"&gt;"&amp;B2509)+1)</f>
        <v/>
      </c>
    </row>
    <row r="2510">
      <c r="A2510" t="inlineStr">
        <is>
          <t>샘플종목23</t>
        </is>
      </c>
      <c r="B2510" s="3" t="n">
        <v>46171</v>
      </c>
      <c r="C2510" t="n">
        <v>136993</v>
      </c>
      <c r="D2510" t="n">
        <v>9483889</v>
      </c>
      <c r="E2510">
        <f>IF(A2510="","",COUNTIFS($A$2:$A$20000,A2510,$B$2:$B$20000,"&gt;"&amp;B2510)+1)</f>
        <v/>
      </c>
    </row>
    <row r="2511">
      <c r="A2511" t="inlineStr">
        <is>
          <t>샘플종목23</t>
        </is>
      </c>
      <c r="B2511" s="3" t="n">
        <v>46178</v>
      </c>
      <c r="C2511" t="n">
        <v>129185</v>
      </c>
      <c r="D2511" t="n">
        <v>7063276</v>
      </c>
      <c r="E2511">
        <f>IF(A2511="","",COUNTIFS($A$2:$A$20000,A2511,$B$2:$B$20000,"&gt;"&amp;B2511)+1)</f>
        <v/>
      </c>
    </row>
    <row r="2512">
      <c r="A2512" t="inlineStr">
        <is>
          <t>샘플종목23</t>
        </is>
      </c>
      <c r="B2512" s="3" t="n">
        <v>46185</v>
      </c>
      <c r="C2512" t="n">
        <v>133041</v>
      </c>
      <c r="D2512" t="n">
        <v>3731390</v>
      </c>
      <c r="E2512">
        <f>IF(A2512="","",COUNTIFS($A$2:$A$20000,A2512,$B$2:$B$20000,"&gt;"&amp;B2512)+1)</f>
        <v/>
      </c>
    </row>
    <row r="2513">
      <c r="A2513" t="inlineStr">
        <is>
          <t>샘플종목23</t>
        </is>
      </c>
      <c r="B2513" s="3" t="n">
        <v>46192</v>
      </c>
      <c r="C2513" t="n">
        <v>137908</v>
      </c>
      <c r="D2513" t="n">
        <v>9210353</v>
      </c>
      <c r="E2513">
        <f>IF(A2513="","",COUNTIFS($A$2:$A$20000,A2513,$B$2:$B$20000,"&gt;"&amp;B2513)+1)</f>
        <v/>
      </c>
    </row>
    <row r="2514">
      <c r="A2514" t="inlineStr">
        <is>
          <t>샘플종목23</t>
        </is>
      </c>
      <c r="B2514" s="3" t="n">
        <v>46199</v>
      </c>
      <c r="C2514" t="n">
        <v>133341</v>
      </c>
      <c r="D2514" t="n">
        <v>4212387</v>
      </c>
      <c r="E2514">
        <f>IF(A2514="","",COUNTIFS($A$2:$A$20000,A2514,$B$2:$B$20000,"&gt;"&amp;B2514)+1)</f>
        <v/>
      </c>
    </row>
    <row r="2515">
      <c r="A2515" t="inlineStr">
        <is>
          <t>샘플종목23</t>
        </is>
      </c>
      <c r="B2515" s="3" t="n">
        <v>46206</v>
      </c>
      <c r="C2515" t="n">
        <v>141408</v>
      </c>
      <c r="D2515" t="n">
        <v>3436519</v>
      </c>
      <c r="E2515">
        <f>IF(A2515="","",COUNTIFS($A$2:$A$20000,A2515,$B$2:$B$20000,"&gt;"&amp;B2515)+1)</f>
        <v/>
      </c>
    </row>
    <row r="2516">
      <c r="A2516" t="inlineStr">
        <is>
          <t>샘플종목23</t>
        </is>
      </c>
      <c r="B2516" s="3" t="n">
        <v>46213</v>
      </c>
      <c r="C2516" t="n">
        <v>143286</v>
      </c>
      <c r="D2516" t="n">
        <v>6081865</v>
      </c>
      <c r="E2516">
        <f>IF(A2516="","",COUNTIFS($A$2:$A$20000,A2516,$B$2:$B$20000,"&gt;"&amp;B2516)+1)</f>
        <v/>
      </c>
    </row>
    <row r="2517">
      <c r="A2517" t="inlineStr">
        <is>
          <t>샘플종목23</t>
        </is>
      </c>
      <c r="B2517" s="3" t="n">
        <v>46220</v>
      </c>
      <c r="C2517" t="n">
        <v>155021</v>
      </c>
      <c r="D2517" t="n">
        <v>7414548</v>
      </c>
      <c r="E2517">
        <f>IF(A2517="","",COUNTIFS($A$2:$A$20000,A2517,$B$2:$B$20000,"&gt;"&amp;B2517)+1)</f>
        <v/>
      </c>
    </row>
    <row r="2518">
      <c r="A2518" t="inlineStr">
        <is>
          <t>샘플종목23</t>
        </is>
      </c>
      <c r="B2518" s="3" t="n">
        <v>46227</v>
      </c>
      <c r="C2518" t="n">
        <v>154122</v>
      </c>
      <c r="D2518" t="n">
        <v>3766003</v>
      </c>
      <c r="E2518">
        <f>IF(A2518="","",COUNTIFS($A$2:$A$20000,A2518,$B$2:$B$20000,"&gt;"&amp;B2518)+1)</f>
        <v/>
      </c>
    </row>
    <row r="2519">
      <c r="A2519" t="inlineStr">
        <is>
          <t>샘플종목23</t>
        </is>
      </c>
      <c r="B2519" s="3" t="n">
        <v>46234</v>
      </c>
      <c r="C2519" t="n">
        <v>157892</v>
      </c>
      <c r="D2519" t="n">
        <v>7574893</v>
      </c>
      <c r="E2519">
        <f>IF(A2519="","",COUNTIFS($A$2:$A$20000,A2519,$B$2:$B$20000,"&gt;"&amp;B2519)+1)</f>
        <v/>
      </c>
    </row>
    <row r="2520">
      <c r="A2520" t="inlineStr">
        <is>
          <t>샘플종목23</t>
        </is>
      </c>
      <c r="B2520" s="3" t="n">
        <v>46241</v>
      </c>
      <c r="C2520" t="n">
        <v>161769</v>
      </c>
      <c r="D2520" t="n">
        <v>5398077</v>
      </c>
      <c r="E2520">
        <f>IF(A2520="","",COUNTIFS($A$2:$A$20000,A2520,$B$2:$B$20000,"&gt;"&amp;B2520)+1)</f>
        <v/>
      </c>
    </row>
    <row r="2521">
      <c r="A2521" t="inlineStr">
        <is>
          <t>샘플종목23</t>
        </is>
      </c>
      <c r="B2521" s="3" t="n">
        <v>46248</v>
      </c>
      <c r="C2521" t="n">
        <v>164250</v>
      </c>
      <c r="D2521" t="n">
        <v>2188174</v>
      </c>
      <c r="E2521">
        <f>IF(A2521="","",COUNTIFS($A$2:$A$20000,A2521,$B$2:$B$20000,"&gt;"&amp;B2521)+1)</f>
        <v/>
      </c>
    </row>
    <row r="2522">
      <c r="A2522" t="inlineStr">
        <is>
          <t>샘플종목23</t>
        </is>
      </c>
      <c r="B2522" s="3" t="n">
        <v>46255</v>
      </c>
      <c r="C2522" t="n">
        <v>160396</v>
      </c>
      <c r="D2522" t="n">
        <v>8148243</v>
      </c>
      <c r="E2522">
        <f>IF(A2522="","",COUNTIFS($A$2:$A$20000,A2522,$B$2:$B$20000,"&gt;"&amp;B2522)+1)</f>
        <v/>
      </c>
    </row>
    <row r="2523">
      <c r="A2523" t="inlineStr">
        <is>
          <t>샘플종목23</t>
        </is>
      </c>
      <c r="B2523" s="3" t="n">
        <v>46262</v>
      </c>
      <c r="C2523" t="n">
        <v>160599</v>
      </c>
      <c r="D2523" t="n">
        <v>7479052</v>
      </c>
      <c r="E2523">
        <f>IF(A2523="","",COUNTIFS($A$2:$A$20000,A2523,$B$2:$B$20000,"&gt;"&amp;B2523)+1)</f>
        <v/>
      </c>
    </row>
    <row r="2524">
      <c r="A2524" t="inlineStr">
        <is>
          <t>샘플종목23</t>
        </is>
      </c>
      <c r="B2524" s="3" t="n">
        <v>46269</v>
      </c>
      <c r="C2524" t="n">
        <v>161929</v>
      </c>
      <c r="D2524" t="n">
        <v>8036763</v>
      </c>
      <c r="E2524">
        <f>IF(A2524="","",COUNTIFS($A$2:$A$20000,A2524,$B$2:$B$20000,"&gt;"&amp;B2524)+1)</f>
        <v/>
      </c>
    </row>
    <row r="2525">
      <c r="A2525" t="inlineStr">
        <is>
          <t>샘플종목23</t>
        </is>
      </c>
      <c r="B2525" s="3" t="n">
        <v>46276</v>
      </c>
      <c r="C2525" t="n">
        <v>153639</v>
      </c>
      <c r="D2525" t="n">
        <v>4748811</v>
      </c>
      <c r="E2525">
        <f>IF(A2525="","",COUNTIFS($A$2:$A$20000,A2525,$B$2:$B$20000,"&gt;"&amp;B2525)+1)</f>
        <v/>
      </c>
    </row>
    <row r="2526">
      <c r="A2526" t="inlineStr">
        <is>
          <t>샘플종목23</t>
        </is>
      </c>
      <c r="B2526" s="3" t="n">
        <v>46283</v>
      </c>
      <c r="C2526" t="n">
        <v>149930</v>
      </c>
      <c r="D2526" t="n">
        <v>8639426</v>
      </c>
      <c r="E2526">
        <f>IF(A2526="","",COUNTIFS($A$2:$A$20000,A2526,$B$2:$B$20000,"&gt;"&amp;B2526)+1)</f>
        <v/>
      </c>
    </row>
    <row r="2527">
      <c r="A2527" t="inlineStr">
        <is>
          <t>샘플종목23</t>
        </is>
      </c>
      <c r="B2527" s="3" t="n">
        <v>46290</v>
      </c>
      <c r="C2527" t="n">
        <v>150941</v>
      </c>
      <c r="D2527" t="n">
        <v>2526863</v>
      </c>
      <c r="E2527">
        <f>IF(A2527="","",COUNTIFS($A$2:$A$20000,A2527,$B$2:$B$20000,"&gt;"&amp;B2527)+1)</f>
        <v/>
      </c>
    </row>
    <row r="2528">
      <c r="A2528" t="inlineStr">
        <is>
          <t>샘플종목23</t>
        </is>
      </c>
      <c r="B2528" s="3" t="n">
        <v>46297</v>
      </c>
      <c r="C2528" t="n">
        <v>146846</v>
      </c>
      <c r="D2528" t="n">
        <v>6001877</v>
      </c>
      <c r="E2528">
        <f>IF(A2528="","",COUNTIFS($A$2:$A$20000,A2528,$B$2:$B$20000,"&gt;"&amp;B2528)+1)</f>
        <v/>
      </c>
    </row>
    <row r="2529">
      <c r="A2529" t="inlineStr">
        <is>
          <t>샘플종목23</t>
        </is>
      </c>
      <c r="B2529" s="3" t="n">
        <v>46304</v>
      </c>
      <c r="C2529" t="n">
        <v>147135</v>
      </c>
      <c r="D2529" t="n">
        <v>6533132</v>
      </c>
      <c r="E2529">
        <f>IF(A2529="","",COUNTIFS($A$2:$A$20000,A2529,$B$2:$B$20000,"&gt;"&amp;B2529)+1)</f>
        <v/>
      </c>
    </row>
    <row r="2530">
      <c r="A2530" t="inlineStr">
        <is>
          <t>샘플종목23</t>
        </is>
      </c>
      <c r="B2530" s="3" t="n">
        <v>46311</v>
      </c>
      <c r="C2530" t="n">
        <v>153283</v>
      </c>
      <c r="D2530" t="n">
        <v>6040675</v>
      </c>
      <c r="E2530">
        <f>IF(A2530="","",COUNTIFS($A$2:$A$20000,A2530,$B$2:$B$20000,"&gt;"&amp;B2530)+1)</f>
        <v/>
      </c>
    </row>
    <row r="2531">
      <c r="A2531" t="inlineStr">
        <is>
          <t>샘플종목23</t>
        </is>
      </c>
      <c r="B2531" s="3" t="n">
        <v>46318</v>
      </c>
      <c r="C2531" t="n">
        <v>152306</v>
      </c>
      <c r="D2531" t="n">
        <v>7233111</v>
      </c>
      <c r="E2531">
        <f>IF(A2531="","",COUNTIFS($A$2:$A$20000,A2531,$B$2:$B$20000,"&gt;"&amp;B2531)+1)</f>
        <v/>
      </c>
    </row>
    <row r="2532">
      <c r="A2532" t="inlineStr">
        <is>
          <t>샘플종목24</t>
        </is>
      </c>
      <c r="B2532" s="3" t="n">
        <v>45555</v>
      </c>
      <c r="C2532" t="n">
        <v>69071</v>
      </c>
      <c r="D2532" t="n">
        <v>2655613</v>
      </c>
      <c r="E2532">
        <f>IF(A2532="","",COUNTIFS($A$2:$A$20000,A2532,$B$2:$B$20000,"&gt;"&amp;B2532)+1)</f>
        <v/>
      </c>
    </row>
    <row r="2533">
      <c r="A2533" t="inlineStr">
        <is>
          <t>샘플종목24</t>
        </is>
      </c>
      <c r="B2533" s="3" t="n">
        <v>45562</v>
      </c>
      <c r="C2533" t="n">
        <v>64127</v>
      </c>
      <c r="D2533" t="n">
        <v>7906289</v>
      </c>
      <c r="E2533">
        <f>IF(A2533="","",COUNTIFS($A$2:$A$20000,A2533,$B$2:$B$20000,"&gt;"&amp;B2533)+1)</f>
        <v/>
      </c>
    </row>
    <row r="2534">
      <c r="A2534" t="inlineStr">
        <is>
          <t>샘플종목24</t>
        </is>
      </c>
      <c r="B2534" s="3" t="n">
        <v>45569</v>
      </c>
      <c r="C2534" t="n">
        <v>66457</v>
      </c>
      <c r="D2534" t="n">
        <v>207575</v>
      </c>
      <c r="E2534">
        <f>IF(A2534="","",COUNTIFS($A$2:$A$20000,A2534,$B$2:$B$20000,"&gt;"&amp;B2534)+1)</f>
        <v/>
      </c>
    </row>
    <row r="2535">
      <c r="A2535" t="inlineStr">
        <is>
          <t>샘플종목24</t>
        </is>
      </c>
      <c r="B2535" s="3" t="n">
        <v>45576</v>
      </c>
      <c r="C2535" t="n">
        <v>63981</v>
      </c>
      <c r="D2535" t="n">
        <v>798637</v>
      </c>
      <c r="E2535">
        <f>IF(A2535="","",COUNTIFS($A$2:$A$20000,A2535,$B$2:$B$20000,"&gt;"&amp;B2535)+1)</f>
        <v/>
      </c>
    </row>
    <row r="2536">
      <c r="A2536" t="inlineStr">
        <is>
          <t>샘플종목24</t>
        </is>
      </c>
      <c r="B2536" s="3" t="n">
        <v>45583</v>
      </c>
      <c r="C2536" t="n">
        <v>66527</v>
      </c>
      <c r="D2536" t="n">
        <v>6047058</v>
      </c>
      <c r="E2536">
        <f>IF(A2536="","",COUNTIFS($A$2:$A$20000,A2536,$B$2:$B$20000,"&gt;"&amp;B2536)+1)</f>
        <v/>
      </c>
    </row>
    <row r="2537">
      <c r="A2537" t="inlineStr">
        <is>
          <t>샘플종목24</t>
        </is>
      </c>
      <c r="B2537" s="3" t="n">
        <v>45590</v>
      </c>
      <c r="C2537" t="n">
        <v>63176</v>
      </c>
      <c r="D2537" t="n">
        <v>8638009</v>
      </c>
      <c r="E2537">
        <f>IF(A2537="","",COUNTIFS($A$2:$A$20000,A2537,$B$2:$B$20000,"&gt;"&amp;B2537)+1)</f>
        <v/>
      </c>
    </row>
    <row r="2538">
      <c r="A2538" t="inlineStr">
        <is>
          <t>샘플종목24</t>
        </is>
      </c>
      <c r="B2538" s="3" t="n">
        <v>45597</v>
      </c>
      <c r="C2538" t="n">
        <v>59411</v>
      </c>
      <c r="D2538" t="n">
        <v>6838508</v>
      </c>
      <c r="E2538">
        <f>IF(A2538="","",COUNTIFS($A$2:$A$20000,A2538,$B$2:$B$20000,"&gt;"&amp;B2538)+1)</f>
        <v/>
      </c>
    </row>
    <row r="2539">
      <c r="A2539" t="inlineStr">
        <is>
          <t>샘플종목24</t>
        </is>
      </c>
      <c r="B2539" s="3" t="n">
        <v>45604</v>
      </c>
      <c r="C2539" t="n">
        <v>55635</v>
      </c>
      <c r="D2539" t="n">
        <v>7357239</v>
      </c>
      <c r="E2539">
        <f>IF(A2539="","",COUNTIFS($A$2:$A$20000,A2539,$B$2:$B$20000,"&gt;"&amp;B2539)+1)</f>
        <v/>
      </c>
    </row>
    <row r="2540">
      <c r="A2540" t="inlineStr">
        <is>
          <t>샘플종목24</t>
        </is>
      </c>
      <c r="B2540" s="3" t="n">
        <v>45611</v>
      </c>
      <c r="C2540" t="n">
        <v>54799</v>
      </c>
      <c r="D2540" t="n">
        <v>165787</v>
      </c>
      <c r="E2540">
        <f>IF(A2540="","",COUNTIFS($A$2:$A$20000,A2540,$B$2:$B$20000,"&gt;"&amp;B2540)+1)</f>
        <v/>
      </c>
    </row>
    <row r="2541">
      <c r="A2541" t="inlineStr">
        <is>
          <t>샘플종목24</t>
        </is>
      </c>
      <c r="B2541" s="3" t="n">
        <v>45618</v>
      </c>
      <c r="C2541" t="n">
        <v>54034</v>
      </c>
      <c r="D2541" t="n">
        <v>2538006</v>
      </c>
      <c r="E2541">
        <f>IF(A2541="","",COUNTIFS($A$2:$A$20000,A2541,$B$2:$B$20000,"&gt;"&amp;B2541)+1)</f>
        <v/>
      </c>
    </row>
    <row r="2542">
      <c r="A2542" t="inlineStr">
        <is>
          <t>샘플종목24</t>
        </is>
      </c>
      <c r="B2542" s="3" t="n">
        <v>45625</v>
      </c>
      <c r="C2542" t="n">
        <v>51864</v>
      </c>
      <c r="D2542" t="n">
        <v>6790510</v>
      </c>
      <c r="E2542">
        <f>IF(A2542="","",COUNTIFS($A$2:$A$20000,A2542,$B$2:$B$20000,"&gt;"&amp;B2542)+1)</f>
        <v/>
      </c>
    </row>
    <row r="2543">
      <c r="A2543" t="inlineStr">
        <is>
          <t>샘플종목24</t>
        </is>
      </c>
      <c r="B2543" s="3" t="n">
        <v>45632</v>
      </c>
      <c r="C2543" t="n">
        <v>49739</v>
      </c>
      <c r="D2543" t="n">
        <v>5579777</v>
      </c>
      <c r="E2543">
        <f>IF(A2543="","",COUNTIFS($A$2:$A$20000,A2543,$B$2:$B$20000,"&gt;"&amp;B2543)+1)</f>
        <v/>
      </c>
    </row>
    <row r="2544">
      <c r="A2544" t="inlineStr">
        <is>
          <t>샘플종목24</t>
        </is>
      </c>
      <c r="B2544" s="3" t="n">
        <v>45639</v>
      </c>
      <c r="C2544" t="n">
        <v>47312</v>
      </c>
      <c r="D2544" t="n">
        <v>5805243</v>
      </c>
      <c r="E2544">
        <f>IF(A2544="","",COUNTIFS($A$2:$A$20000,A2544,$B$2:$B$20000,"&gt;"&amp;B2544)+1)</f>
        <v/>
      </c>
    </row>
    <row r="2545">
      <c r="A2545" t="inlineStr">
        <is>
          <t>샘플종목24</t>
        </is>
      </c>
      <c r="B2545" s="3" t="n">
        <v>45646</v>
      </c>
      <c r="C2545" t="n">
        <v>45881</v>
      </c>
      <c r="D2545" t="n">
        <v>2724023</v>
      </c>
      <c r="E2545">
        <f>IF(A2545="","",COUNTIFS($A$2:$A$20000,A2545,$B$2:$B$20000,"&gt;"&amp;B2545)+1)</f>
        <v/>
      </c>
    </row>
    <row r="2546">
      <c r="A2546" t="inlineStr">
        <is>
          <t>샘플종목24</t>
        </is>
      </c>
      <c r="B2546" s="3" t="n">
        <v>45653</v>
      </c>
      <c r="C2546" t="n">
        <v>44200</v>
      </c>
      <c r="D2546" t="n">
        <v>3160374</v>
      </c>
      <c r="E2546">
        <f>IF(A2546="","",COUNTIFS($A$2:$A$20000,A2546,$B$2:$B$20000,"&gt;"&amp;B2546)+1)</f>
        <v/>
      </c>
    </row>
    <row r="2547">
      <c r="A2547" t="inlineStr">
        <is>
          <t>샘플종목24</t>
        </is>
      </c>
      <c r="B2547" s="3" t="n">
        <v>45660</v>
      </c>
      <c r="C2547" t="n">
        <v>43740</v>
      </c>
      <c r="D2547" t="n">
        <v>4892512</v>
      </c>
      <c r="E2547">
        <f>IF(A2547="","",COUNTIFS($A$2:$A$20000,A2547,$B$2:$B$20000,"&gt;"&amp;B2547)+1)</f>
        <v/>
      </c>
    </row>
    <row r="2548">
      <c r="A2548" t="inlineStr">
        <is>
          <t>샘플종목24</t>
        </is>
      </c>
      <c r="B2548" s="3" t="n">
        <v>45667</v>
      </c>
      <c r="C2548" t="n">
        <v>46622</v>
      </c>
      <c r="D2548" t="n">
        <v>548778</v>
      </c>
      <c r="E2548">
        <f>IF(A2548="","",COUNTIFS($A$2:$A$20000,A2548,$B$2:$B$20000,"&gt;"&amp;B2548)+1)</f>
        <v/>
      </c>
    </row>
    <row r="2549">
      <c r="A2549" t="inlineStr">
        <is>
          <t>샘플종목24</t>
        </is>
      </c>
      <c r="B2549" s="3" t="n">
        <v>45674</v>
      </c>
      <c r="C2549" t="n">
        <v>49356</v>
      </c>
      <c r="D2549" t="n">
        <v>5522615</v>
      </c>
      <c r="E2549">
        <f>IF(A2549="","",COUNTIFS($A$2:$A$20000,A2549,$B$2:$B$20000,"&gt;"&amp;B2549)+1)</f>
        <v/>
      </c>
    </row>
    <row r="2550">
      <c r="A2550" t="inlineStr">
        <is>
          <t>샘플종목24</t>
        </is>
      </c>
      <c r="B2550" s="3" t="n">
        <v>45681</v>
      </c>
      <c r="C2550" t="n">
        <v>50195</v>
      </c>
      <c r="D2550" t="n">
        <v>4708363</v>
      </c>
      <c r="E2550">
        <f>IF(A2550="","",COUNTIFS($A$2:$A$20000,A2550,$B$2:$B$20000,"&gt;"&amp;B2550)+1)</f>
        <v/>
      </c>
    </row>
    <row r="2551">
      <c r="A2551" t="inlineStr">
        <is>
          <t>샘플종목24</t>
        </is>
      </c>
      <c r="B2551" s="3" t="n">
        <v>45688</v>
      </c>
      <c r="C2551" t="n">
        <v>48266</v>
      </c>
      <c r="D2551" t="n">
        <v>6197634</v>
      </c>
      <c r="E2551">
        <f>IF(A2551="","",COUNTIFS($A$2:$A$20000,A2551,$B$2:$B$20000,"&gt;"&amp;B2551)+1)</f>
        <v/>
      </c>
    </row>
    <row r="2552">
      <c r="A2552" t="inlineStr">
        <is>
          <t>샘플종목24</t>
        </is>
      </c>
      <c r="B2552" s="3" t="n">
        <v>45695</v>
      </c>
      <c r="C2552" t="n">
        <v>47980</v>
      </c>
      <c r="D2552" t="n">
        <v>9310534</v>
      </c>
      <c r="E2552">
        <f>IF(A2552="","",COUNTIFS($A$2:$A$20000,A2552,$B$2:$B$20000,"&gt;"&amp;B2552)+1)</f>
        <v/>
      </c>
    </row>
    <row r="2553">
      <c r="A2553" t="inlineStr">
        <is>
          <t>샘플종목24</t>
        </is>
      </c>
      <c r="B2553" s="3" t="n">
        <v>45702</v>
      </c>
      <c r="C2553" t="n">
        <v>48024</v>
      </c>
      <c r="D2553" t="n">
        <v>9024969</v>
      </c>
      <c r="E2553">
        <f>IF(A2553="","",COUNTIFS($A$2:$A$20000,A2553,$B$2:$B$20000,"&gt;"&amp;B2553)+1)</f>
        <v/>
      </c>
    </row>
    <row r="2554">
      <c r="A2554" t="inlineStr">
        <is>
          <t>샘플종목24</t>
        </is>
      </c>
      <c r="B2554" s="3" t="n">
        <v>45709</v>
      </c>
      <c r="C2554" t="n">
        <v>48562</v>
      </c>
      <c r="D2554" t="n">
        <v>8101290</v>
      </c>
      <c r="E2554">
        <f>IF(A2554="","",COUNTIFS($A$2:$A$20000,A2554,$B$2:$B$20000,"&gt;"&amp;B2554)+1)</f>
        <v/>
      </c>
    </row>
    <row r="2555">
      <c r="A2555" t="inlineStr">
        <is>
          <t>샘플종목24</t>
        </is>
      </c>
      <c r="B2555" s="3" t="n">
        <v>45716</v>
      </c>
      <c r="C2555" t="n">
        <v>46995</v>
      </c>
      <c r="D2555" t="n">
        <v>2050369</v>
      </c>
      <c r="E2555">
        <f>IF(A2555="","",COUNTIFS($A$2:$A$20000,A2555,$B$2:$B$20000,"&gt;"&amp;B2555)+1)</f>
        <v/>
      </c>
    </row>
    <row r="2556">
      <c r="A2556" t="inlineStr">
        <is>
          <t>샘플종목24</t>
        </is>
      </c>
      <c r="B2556" s="3" t="n">
        <v>45723</v>
      </c>
      <c r="C2556" t="n">
        <v>46166</v>
      </c>
      <c r="D2556" t="n">
        <v>9584161</v>
      </c>
      <c r="E2556">
        <f>IF(A2556="","",COUNTIFS($A$2:$A$20000,A2556,$B$2:$B$20000,"&gt;"&amp;B2556)+1)</f>
        <v/>
      </c>
    </row>
    <row r="2557">
      <c r="A2557" t="inlineStr">
        <is>
          <t>샘플종목24</t>
        </is>
      </c>
      <c r="B2557" s="3" t="n">
        <v>45730</v>
      </c>
      <c r="C2557" t="n">
        <v>47845</v>
      </c>
      <c r="D2557" t="n">
        <v>4472177</v>
      </c>
      <c r="E2557">
        <f>IF(A2557="","",COUNTIFS($A$2:$A$20000,A2557,$B$2:$B$20000,"&gt;"&amp;B2557)+1)</f>
        <v/>
      </c>
    </row>
    <row r="2558">
      <c r="A2558" t="inlineStr">
        <is>
          <t>샘플종목24</t>
        </is>
      </c>
      <c r="B2558" s="3" t="n">
        <v>45737</v>
      </c>
      <c r="C2558" t="n">
        <v>51355</v>
      </c>
      <c r="D2558" t="n">
        <v>1227336</v>
      </c>
      <c r="E2558">
        <f>IF(A2558="","",COUNTIFS($A$2:$A$20000,A2558,$B$2:$B$20000,"&gt;"&amp;B2558)+1)</f>
        <v/>
      </c>
    </row>
    <row r="2559">
      <c r="A2559" t="inlineStr">
        <is>
          <t>샘플종목24</t>
        </is>
      </c>
      <c r="B2559" s="3" t="n">
        <v>45744</v>
      </c>
      <c r="C2559" t="n">
        <v>51846</v>
      </c>
      <c r="D2559" t="n">
        <v>6187771</v>
      </c>
      <c r="E2559">
        <f>IF(A2559="","",COUNTIFS($A$2:$A$20000,A2559,$B$2:$B$20000,"&gt;"&amp;B2559)+1)</f>
        <v/>
      </c>
    </row>
    <row r="2560">
      <c r="A2560" t="inlineStr">
        <is>
          <t>샘플종목24</t>
        </is>
      </c>
      <c r="B2560" s="3" t="n">
        <v>45751</v>
      </c>
      <c r="C2560" t="n">
        <v>53030</v>
      </c>
      <c r="D2560" t="n">
        <v>301275</v>
      </c>
      <c r="E2560">
        <f>IF(A2560="","",COUNTIFS($A$2:$A$20000,A2560,$B$2:$B$20000,"&gt;"&amp;B2560)+1)</f>
        <v/>
      </c>
    </row>
    <row r="2561">
      <c r="A2561" t="inlineStr">
        <is>
          <t>샘플종목24</t>
        </is>
      </c>
      <c r="B2561" s="3" t="n">
        <v>45758</v>
      </c>
      <c r="C2561" t="n">
        <v>50364</v>
      </c>
      <c r="D2561" t="n">
        <v>4727481</v>
      </c>
      <c r="E2561">
        <f>IF(A2561="","",COUNTIFS($A$2:$A$20000,A2561,$B$2:$B$20000,"&gt;"&amp;B2561)+1)</f>
        <v/>
      </c>
    </row>
    <row r="2562">
      <c r="A2562" t="inlineStr">
        <is>
          <t>샘플종목24</t>
        </is>
      </c>
      <c r="B2562" s="3" t="n">
        <v>45765</v>
      </c>
      <c r="C2562" t="n">
        <v>51753</v>
      </c>
      <c r="D2562" t="n">
        <v>8405286</v>
      </c>
      <c r="E2562">
        <f>IF(A2562="","",COUNTIFS($A$2:$A$20000,A2562,$B$2:$B$20000,"&gt;"&amp;B2562)+1)</f>
        <v/>
      </c>
    </row>
    <row r="2563">
      <c r="A2563" t="inlineStr">
        <is>
          <t>샘플종목24</t>
        </is>
      </c>
      <c r="B2563" s="3" t="n">
        <v>45772</v>
      </c>
      <c r="C2563" t="n">
        <v>50779</v>
      </c>
      <c r="D2563" t="n">
        <v>2788113</v>
      </c>
      <c r="E2563">
        <f>IF(A2563="","",COUNTIFS($A$2:$A$20000,A2563,$B$2:$B$20000,"&gt;"&amp;B2563)+1)</f>
        <v/>
      </c>
    </row>
    <row r="2564">
      <c r="A2564" t="inlineStr">
        <is>
          <t>샘플종목24</t>
        </is>
      </c>
      <c r="B2564" s="3" t="n">
        <v>45779</v>
      </c>
      <c r="C2564" t="n">
        <v>52716</v>
      </c>
      <c r="D2564" t="n">
        <v>1370409</v>
      </c>
      <c r="E2564">
        <f>IF(A2564="","",COUNTIFS($A$2:$A$20000,A2564,$B$2:$B$20000,"&gt;"&amp;B2564)+1)</f>
        <v/>
      </c>
    </row>
    <row r="2565">
      <c r="A2565" t="inlineStr">
        <is>
          <t>샘플종목24</t>
        </is>
      </c>
      <c r="B2565" s="3" t="n">
        <v>45786</v>
      </c>
      <c r="C2565" t="n">
        <v>52057</v>
      </c>
      <c r="D2565" t="n">
        <v>3340483</v>
      </c>
      <c r="E2565">
        <f>IF(A2565="","",COUNTIFS($A$2:$A$20000,A2565,$B$2:$B$20000,"&gt;"&amp;B2565)+1)</f>
        <v/>
      </c>
    </row>
    <row r="2566">
      <c r="A2566" t="inlineStr">
        <is>
          <t>샘플종목24</t>
        </is>
      </c>
      <c r="B2566" s="3" t="n">
        <v>45793</v>
      </c>
      <c r="C2566" t="n">
        <v>53013</v>
      </c>
      <c r="D2566" t="n">
        <v>2458602</v>
      </c>
      <c r="E2566">
        <f>IF(A2566="","",COUNTIFS($A$2:$A$20000,A2566,$B$2:$B$20000,"&gt;"&amp;B2566)+1)</f>
        <v/>
      </c>
    </row>
    <row r="2567">
      <c r="A2567" t="inlineStr">
        <is>
          <t>샘플종목24</t>
        </is>
      </c>
      <c r="B2567" s="3" t="n">
        <v>45800</v>
      </c>
      <c r="C2567" t="n">
        <v>56473</v>
      </c>
      <c r="D2567" t="n">
        <v>2564409</v>
      </c>
      <c r="E2567">
        <f>IF(A2567="","",COUNTIFS($A$2:$A$20000,A2567,$B$2:$B$20000,"&gt;"&amp;B2567)+1)</f>
        <v/>
      </c>
    </row>
    <row r="2568">
      <c r="A2568" t="inlineStr">
        <is>
          <t>샘플종목24</t>
        </is>
      </c>
      <c r="B2568" s="3" t="n">
        <v>45807</v>
      </c>
      <c r="C2568" t="n">
        <v>55991</v>
      </c>
      <c r="D2568" t="n">
        <v>7425347</v>
      </c>
      <c r="E2568">
        <f>IF(A2568="","",COUNTIFS($A$2:$A$20000,A2568,$B$2:$B$20000,"&gt;"&amp;B2568)+1)</f>
        <v/>
      </c>
    </row>
    <row r="2569">
      <c r="A2569" t="inlineStr">
        <is>
          <t>샘플종목24</t>
        </is>
      </c>
      <c r="B2569" s="3" t="n">
        <v>45814</v>
      </c>
      <c r="C2569" t="n">
        <v>57564</v>
      </c>
      <c r="D2569" t="n">
        <v>4526419</v>
      </c>
      <c r="E2569">
        <f>IF(A2569="","",COUNTIFS($A$2:$A$20000,A2569,$B$2:$B$20000,"&gt;"&amp;B2569)+1)</f>
        <v/>
      </c>
    </row>
    <row r="2570">
      <c r="A2570" t="inlineStr">
        <is>
          <t>샘플종목24</t>
        </is>
      </c>
      <c r="B2570" s="3" t="n">
        <v>45821</v>
      </c>
      <c r="C2570" t="n">
        <v>62097</v>
      </c>
      <c r="D2570" t="n">
        <v>1897024</v>
      </c>
      <c r="E2570">
        <f>IF(A2570="","",COUNTIFS($A$2:$A$20000,A2570,$B$2:$B$20000,"&gt;"&amp;B2570)+1)</f>
        <v/>
      </c>
    </row>
    <row r="2571">
      <c r="A2571" t="inlineStr">
        <is>
          <t>샘플종목24</t>
        </is>
      </c>
      <c r="B2571" s="3" t="n">
        <v>45828</v>
      </c>
      <c r="C2571" t="n">
        <v>66810</v>
      </c>
      <c r="D2571" t="n">
        <v>2514561</v>
      </c>
      <c r="E2571">
        <f>IF(A2571="","",COUNTIFS($A$2:$A$20000,A2571,$B$2:$B$20000,"&gt;"&amp;B2571)+1)</f>
        <v/>
      </c>
    </row>
    <row r="2572">
      <c r="A2572" t="inlineStr">
        <is>
          <t>샘플종목24</t>
        </is>
      </c>
      <c r="B2572" s="3" t="n">
        <v>45835</v>
      </c>
      <c r="C2572" t="n">
        <v>61214</v>
      </c>
      <c r="D2572" t="n">
        <v>1603101</v>
      </c>
      <c r="E2572">
        <f>IF(A2572="","",COUNTIFS($A$2:$A$20000,A2572,$B$2:$B$20000,"&gt;"&amp;B2572)+1)</f>
        <v/>
      </c>
    </row>
    <row r="2573">
      <c r="A2573" t="inlineStr">
        <is>
          <t>샘플종목24</t>
        </is>
      </c>
      <c r="B2573" s="3" t="n">
        <v>45842</v>
      </c>
      <c r="C2573" t="n">
        <v>59598</v>
      </c>
      <c r="D2573" t="n">
        <v>2592506</v>
      </c>
      <c r="E2573">
        <f>IF(A2573="","",COUNTIFS($A$2:$A$20000,A2573,$B$2:$B$20000,"&gt;"&amp;B2573)+1)</f>
        <v/>
      </c>
    </row>
    <row r="2574">
      <c r="A2574" t="inlineStr">
        <is>
          <t>샘플종목24</t>
        </is>
      </c>
      <c r="B2574" s="3" t="n">
        <v>45849</v>
      </c>
      <c r="C2574" t="n">
        <v>58288</v>
      </c>
      <c r="D2574" t="n">
        <v>8436030</v>
      </c>
      <c r="E2574">
        <f>IF(A2574="","",COUNTIFS($A$2:$A$20000,A2574,$B$2:$B$20000,"&gt;"&amp;B2574)+1)</f>
        <v/>
      </c>
    </row>
    <row r="2575">
      <c r="A2575" t="inlineStr">
        <is>
          <t>샘플종목24</t>
        </is>
      </c>
      <c r="B2575" s="3" t="n">
        <v>45856</v>
      </c>
      <c r="C2575" t="n">
        <v>59020</v>
      </c>
      <c r="D2575" t="n">
        <v>6571964</v>
      </c>
      <c r="E2575">
        <f>IF(A2575="","",COUNTIFS($A$2:$A$20000,A2575,$B$2:$B$20000,"&gt;"&amp;B2575)+1)</f>
        <v/>
      </c>
    </row>
    <row r="2576">
      <c r="A2576" t="inlineStr">
        <is>
          <t>샘플종목24</t>
        </is>
      </c>
      <c r="B2576" s="3" t="n">
        <v>45863</v>
      </c>
      <c r="C2576" t="n">
        <v>56200</v>
      </c>
      <c r="D2576" t="n">
        <v>3111196</v>
      </c>
      <c r="E2576">
        <f>IF(A2576="","",COUNTIFS($A$2:$A$20000,A2576,$B$2:$B$20000,"&gt;"&amp;B2576)+1)</f>
        <v/>
      </c>
    </row>
    <row r="2577">
      <c r="A2577" t="inlineStr">
        <is>
          <t>샘플종목24</t>
        </is>
      </c>
      <c r="B2577" s="3" t="n">
        <v>45870</v>
      </c>
      <c r="C2577" t="n">
        <v>57800</v>
      </c>
      <c r="D2577" t="n">
        <v>2219262</v>
      </c>
      <c r="E2577">
        <f>IF(A2577="","",COUNTIFS($A$2:$A$20000,A2577,$B$2:$B$20000,"&gt;"&amp;B2577)+1)</f>
        <v/>
      </c>
    </row>
    <row r="2578">
      <c r="A2578" t="inlineStr">
        <is>
          <t>샘플종목24</t>
        </is>
      </c>
      <c r="B2578" s="3" t="n">
        <v>45877</v>
      </c>
      <c r="C2578" t="n">
        <v>58553</v>
      </c>
      <c r="D2578" t="n">
        <v>1038615</v>
      </c>
      <c r="E2578">
        <f>IF(A2578="","",COUNTIFS($A$2:$A$20000,A2578,$B$2:$B$20000,"&gt;"&amp;B2578)+1)</f>
        <v/>
      </c>
    </row>
    <row r="2579">
      <c r="A2579" t="inlineStr">
        <is>
          <t>샘플종목24</t>
        </is>
      </c>
      <c r="B2579" s="3" t="n">
        <v>45884</v>
      </c>
      <c r="C2579" t="n">
        <v>58575</v>
      </c>
      <c r="D2579" t="n">
        <v>2791901</v>
      </c>
      <c r="E2579">
        <f>IF(A2579="","",COUNTIFS($A$2:$A$20000,A2579,$B$2:$B$20000,"&gt;"&amp;B2579)+1)</f>
        <v/>
      </c>
    </row>
    <row r="2580">
      <c r="A2580" t="inlineStr">
        <is>
          <t>샘플종목24</t>
        </is>
      </c>
      <c r="B2580" s="3" t="n">
        <v>45891</v>
      </c>
      <c r="C2580" t="n">
        <v>59042</v>
      </c>
      <c r="D2580" t="n">
        <v>2926389</v>
      </c>
      <c r="E2580">
        <f>IF(A2580="","",COUNTIFS($A$2:$A$20000,A2580,$B$2:$B$20000,"&gt;"&amp;B2580)+1)</f>
        <v/>
      </c>
    </row>
    <row r="2581">
      <c r="A2581" t="inlineStr">
        <is>
          <t>샘플종목24</t>
        </is>
      </c>
      <c r="B2581" s="3" t="n">
        <v>45898</v>
      </c>
      <c r="C2581" t="n">
        <v>59509</v>
      </c>
      <c r="D2581" t="n">
        <v>1984684</v>
      </c>
      <c r="E2581">
        <f>IF(A2581="","",COUNTIFS($A$2:$A$20000,A2581,$B$2:$B$20000,"&gt;"&amp;B2581)+1)</f>
        <v/>
      </c>
    </row>
    <row r="2582">
      <c r="A2582" t="inlineStr">
        <is>
          <t>샘플종목24</t>
        </is>
      </c>
      <c r="B2582" s="3" t="n">
        <v>45905</v>
      </c>
      <c r="C2582" t="n">
        <v>58525</v>
      </c>
      <c r="D2582" t="n">
        <v>3412681</v>
      </c>
      <c r="E2582">
        <f>IF(A2582="","",COUNTIFS($A$2:$A$20000,A2582,$B$2:$B$20000,"&gt;"&amp;B2582)+1)</f>
        <v/>
      </c>
    </row>
    <row r="2583">
      <c r="A2583" t="inlineStr">
        <is>
          <t>샘플종목24</t>
        </is>
      </c>
      <c r="B2583" s="3" t="n">
        <v>45912</v>
      </c>
      <c r="C2583" t="n">
        <v>58896</v>
      </c>
      <c r="D2583" t="n">
        <v>6104875</v>
      </c>
      <c r="E2583">
        <f>IF(A2583="","",COUNTIFS($A$2:$A$20000,A2583,$B$2:$B$20000,"&gt;"&amp;B2583)+1)</f>
        <v/>
      </c>
    </row>
    <row r="2584">
      <c r="A2584" t="inlineStr">
        <is>
          <t>샘플종목24</t>
        </is>
      </c>
      <c r="B2584" s="3" t="n">
        <v>45919</v>
      </c>
      <c r="C2584" t="n">
        <v>56100</v>
      </c>
      <c r="D2584" t="n">
        <v>6150556</v>
      </c>
      <c r="E2584">
        <f>IF(A2584="","",COUNTIFS($A$2:$A$20000,A2584,$B$2:$B$20000,"&gt;"&amp;B2584)+1)</f>
        <v/>
      </c>
    </row>
    <row r="2585">
      <c r="A2585" t="inlineStr">
        <is>
          <t>샘플종목24</t>
        </is>
      </c>
      <c r="B2585" s="3" t="n">
        <v>45926</v>
      </c>
      <c r="C2585" t="n">
        <v>50972</v>
      </c>
      <c r="D2585" t="n">
        <v>2128176</v>
      </c>
      <c r="E2585">
        <f>IF(A2585="","",COUNTIFS($A$2:$A$20000,A2585,$B$2:$B$20000,"&gt;"&amp;B2585)+1)</f>
        <v/>
      </c>
    </row>
    <row r="2586">
      <c r="A2586" t="inlineStr">
        <is>
          <t>샘플종목24</t>
        </is>
      </c>
      <c r="B2586" s="3" t="n">
        <v>45933</v>
      </c>
      <c r="C2586" t="n">
        <v>53232</v>
      </c>
      <c r="D2586" t="n">
        <v>6658206</v>
      </c>
      <c r="E2586">
        <f>IF(A2586="","",COUNTIFS($A$2:$A$20000,A2586,$B$2:$B$20000,"&gt;"&amp;B2586)+1)</f>
        <v/>
      </c>
    </row>
    <row r="2587">
      <c r="A2587" t="inlineStr">
        <is>
          <t>샘플종목24</t>
        </is>
      </c>
      <c r="B2587" s="3" t="n">
        <v>45940</v>
      </c>
      <c r="C2587" t="n">
        <v>53039</v>
      </c>
      <c r="D2587" t="n">
        <v>6962161</v>
      </c>
      <c r="E2587">
        <f>IF(A2587="","",COUNTIFS($A$2:$A$20000,A2587,$B$2:$B$20000,"&gt;"&amp;B2587)+1)</f>
        <v/>
      </c>
    </row>
    <row r="2588">
      <c r="A2588" t="inlineStr">
        <is>
          <t>샘플종목24</t>
        </is>
      </c>
      <c r="B2588" s="3" t="n">
        <v>45947</v>
      </c>
      <c r="C2588" t="n">
        <v>53113</v>
      </c>
      <c r="D2588" t="n">
        <v>510531</v>
      </c>
      <c r="E2588">
        <f>IF(A2588="","",COUNTIFS($A$2:$A$20000,A2588,$B$2:$B$20000,"&gt;"&amp;B2588)+1)</f>
        <v/>
      </c>
    </row>
    <row r="2589">
      <c r="A2589" t="inlineStr">
        <is>
          <t>샘플종목24</t>
        </is>
      </c>
      <c r="B2589" s="3" t="n">
        <v>45954</v>
      </c>
      <c r="C2589" t="n">
        <v>54765</v>
      </c>
      <c r="D2589" t="n">
        <v>3037692</v>
      </c>
      <c r="E2589">
        <f>IF(A2589="","",COUNTIFS($A$2:$A$20000,A2589,$B$2:$B$20000,"&gt;"&amp;B2589)+1)</f>
        <v/>
      </c>
    </row>
    <row r="2590">
      <c r="A2590" t="inlineStr">
        <is>
          <t>샘플종목24</t>
        </is>
      </c>
      <c r="B2590" s="3" t="n">
        <v>45961</v>
      </c>
      <c r="C2590" t="n">
        <v>57217</v>
      </c>
      <c r="D2590" t="n">
        <v>5989067</v>
      </c>
      <c r="E2590">
        <f>IF(A2590="","",COUNTIFS($A$2:$A$20000,A2590,$B$2:$B$20000,"&gt;"&amp;B2590)+1)</f>
        <v/>
      </c>
    </row>
    <row r="2591">
      <c r="A2591" t="inlineStr">
        <is>
          <t>샘플종목24</t>
        </is>
      </c>
      <c r="B2591" s="3" t="n">
        <v>45968</v>
      </c>
      <c r="C2591" t="n">
        <v>61503</v>
      </c>
      <c r="D2591" t="n">
        <v>1088772</v>
      </c>
      <c r="E2591">
        <f>IF(A2591="","",COUNTIFS($A$2:$A$20000,A2591,$B$2:$B$20000,"&gt;"&amp;B2591)+1)</f>
        <v/>
      </c>
    </row>
    <row r="2592">
      <c r="A2592" t="inlineStr">
        <is>
          <t>샘플종목24</t>
        </is>
      </c>
      <c r="B2592" s="3" t="n">
        <v>45975</v>
      </c>
      <c r="C2592" t="n">
        <v>58393</v>
      </c>
      <c r="D2592" t="n">
        <v>662976</v>
      </c>
      <c r="E2592">
        <f>IF(A2592="","",COUNTIFS($A$2:$A$20000,A2592,$B$2:$B$20000,"&gt;"&amp;B2592)+1)</f>
        <v/>
      </c>
    </row>
    <row r="2593">
      <c r="A2593" t="inlineStr">
        <is>
          <t>샘플종목24</t>
        </is>
      </c>
      <c r="B2593" s="3" t="n">
        <v>45982</v>
      </c>
      <c r="C2593" t="n">
        <v>59603</v>
      </c>
      <c r="D2593" t="n">
        <v>7474910</v>
      </c>
      <c r="E2593">
        <f>IF(A2593="","",COUNTIFS($A$2:$A$20000,A2593,$B$2:$B$20000,"&gt;"&amp;B2593)+1)</f>
        <v/>
      </c>
    </row>
    <row r="2594">
      <c r="A2594" t="inlineStr">
        <is>
          <t>샘플종목24</t>
        </is>
      </c>
      <c r="B2594" s="3" t="n">
        <v>45989</v>
      </c>
      <c r="C2594" t="n">
        <v>54987</v>
      </c>
      <c r="D2594" t="n">
        <v>331575</v>
      </c>
      <c r="E2594">
        <f>IF(A2594="","",COUNTIFS($A$2:$A$20000,A2594,$B$2:$B$20000,"&gt;"&amp;B2594)+1)</f>
        <v/>
      </c>
    </row>
    <row r="2595">
      <c r="A2595" t="inlineStr">
        <is>
          <t>샘플종목24</t>
        </is>
      </c>
      <c r="B2595" s="3" t="n">
        <v>45996</v>
      </c>
      <c r="C2595" t="n">
        <v>53759</v>
      </c>
      <c r="D2595" t="n">
        <v>7676361</v>
      </c>
      <c r="E2595">
        <f>IF(A2595="","",COUNTIFS($A$2:$A$20000,A2595,$B$2:$B$20000,"&gt;"&amp;B2595)+1)</f>
        <v/>
      </c>
    </row>
    <row r="2596">
      <c r="A2596" t="inlineStr">
        <is>
          <t>샘플종목24</t>
        </is>
      </c>
      <c r="B2596" s="3" t="n">
        <v>46003</v>
      </c>
      <c r="C2596" t="n">
        <v>53436</v>
      </c>
      <c r="D2596" t="n">
        <v>5753602</v>
      </c>
      <c r="E2596">
        <f>IF(A2596="","",COUNTIFS($A$2:$A$20000,A2596,$B$2:$B$20000,"&gt;"&amp;B2596)+1)</f>
        <v/>
      </c>
    </row>
    <row r="2597">
      <c r="A2597" t="inlineStr">
        <is>
          <t>샘플종목24</t>
        </is>
      </c>
      <c r="B2597" s="3" t="n">
        <v>46010</v>
      </c>
      <c r="C2597" t="n">
        <v>53715</v>
      </c>
      <c r="D2597" t="n">
        <v>6742622</v>
      </c>
      <c r="E2597">
        <f>IF(A2597="","",COUNTIFS($A$2:$A$20000,A2597,$B$2:$B$20000,"&gt;"&amp;B2597)+1)</f>
        <v/>
      </c>
    </row>
    <row r="2598">
      <c r="A2598" t="inlineStr">
        <is>
          <t>샘플종목24</t>
        </is>
      </c>
      <c r="B2598" s="3" t="n">
        <v>46017</v>
      </c>
      <c r="C2598" t="n">
        <v>52612</v>
      </c>
      <c r="D2598" t="n">
        <v>907285</v>
      </c>
      <c r="E2598">
        <f>IF(A2598="","",COUNTIFS($A$2:$A$20000,A2598,$B$2:$B$20000,"&gt;"&amp;B2598)+1)</f>
        <v/>
      </c>
    </row>
    <row r="2599">
      <c r="A2599" t="inlineStr">
        <is>
          <t>샘플종목24</t>
        </is>
      </c>
      <c r="B2599" s="3" t="n">
        <v>46024</v>
      </c>
      <c r="C2599" t="n">
        <v>52632</v>
      </c>
      <c r="D2599" t="n">
        <v>9508948</v>
      </c>
      <c r="E2599">
        <f>IF(A2599="","",COUNTIFS($A$2:$A$20000,A2599,$B$2:$B$20000,"&gt;"&amp;B2599)+1)</f>
        <v/>
      </c>
    </row>
    <row r="2600">
      <c r="A2600" t="inlineStr">
        <is>
          <t>샘플종목24</t>
        </is>
      </c>
      <c r="B2600" s="3" t="n">
        <v>46031</v>
      </c>
      <c r="C2600" t="n">
        <v>50284</v>
      </c>
      <c r="D2600" t="n">
        <v>6530961</v>
      </c>
      <c r="E2600">
        <f>IF(A2600="","",COUNTIFS($A$2:$A$20000,A2600,$B$2:$B$20000,"&gt;"&amp;B2600)+1)</f>
        <v/>
      </c>
    </row>
    <row r="2601">
      <c r="A2601" t="inlineStr">
        <is>
          <t>샘플종목24</t>
        </is>
      </c>
      <c r="B2601" s="3" t="n">
        <v>46038</v>
      </c>
      <c r="C2601" t="n">
        <v>50140</v>
      </c>
      <c r="D2601" t="n">
        <v>2727718</v>
      </c>
      <c r="E2601">
        <f>IF(A2601="","",COUNTIFS($A$2:$A$20000,A2601,$B$2:$B$20000,"&gt;"&amp;B2601)+1)</f>
        <v/>
      </c>
    </row>
    <row r="2602">
      <c r="A2602" t="inlineStr">
        <is>
          <t>샘플종목24</t>
        </is>
      </c>
      <c r="B2602" s="3" t="n">
        <v>46045</v>
      </c>
      <c r="C2602" t="n">
        <v>50170</v>
      </c>
      <c r="D2602" t="n">
        <v>8737516</v>
      </c>
      <c r="E2602">
        <f>IF(A2602="","",COUNTIFS($A$2:$A$20000,A2602,$B$2:$B$20000,"&gt;"&amp;B2602)+1)</f>
        <v/>
      </c>
    </row>
    <row r="2603">
      <c r="A2603" t="inlineStr">
        <is>
          <t>샘플종목24</t>
        </is>
      </c>
      <c r="B2603" s="3" t="n">
        <v>46052</v>
      </c>
      <c r="C2603" t="n">
        <v>50091</v>
      </c>
      <c r="D2603" t="n">
        <v>194129</v>
      </c>
      <c r="E2603">
        <f>IF(A2603="","",COUNTIFS($A$2:$A$20000,A2603,$B$2:$B$20000,"&gt;"&amp;B2603)+1)</f>
        <v/>
      </c>
    </row>
    <row r="2604">
      <c r="A2604" t="inlineStr">
        <is>
          <t>샘플종목24</t>
        </is>
      </c>
      <c r="B2604" s="3" t="n">
        <v>46059</v>
      </c>
      <c r="C2604" t="n">
        <v>51253</v>
      </c>
      <c r="D2604" t="n">
        <v>3271772</v>
      </c>
      <c r="E2604">
        <f>IF(A2604="","",COUNTIFS($A$2:$A$20000,A2604,$B$2:$B$20000,"&gt;"&amp;B2604)+1)</f>
        <v/>
      </c>
    </row>
    <row r="2605">
      <c r="A2605" t="inlineStr">
        <is>
          <t>샘플종목24</t>
        </is>
      </c>
      <c r="B2605" s="3" t="n">
        <v>46066</v>
      </c>
      <c r="C2605" t="n">
        <v>49745</v>
      </c>
      <c r="D2605" t="n">
        <v>9661014</v>
      </c>
      <c r="E2605">
        <f>IF(A2605="","",COUNTIFS($A$2:$A$20000,A2605,$B$2:$B$20000,"&gt;"&amp;B2605)+1)</f>
        <v/>
      </c>
    </row>
    <row r="2606">
      <c r="A2606" t="inlineStr">
        <is>
          <t>샘플종목24</t>
        </is>
      </c>
      <c r="B2606" s="3" t="n">
        <v>46073</v>
      </c>
      <c r="C2606" t="n">
        <v>47699</v>
      </c>
      <c r="D2606" t="n">
        <v>5699539</v>
      </c>
      <c r="E2606">
        <f>IF(A2606="","",COUNTIFS($A$2:$A$20000,A2606,$B$2:$B$20000,"&gt;"&amp;B2606)+1)</f>
        <v/>
      </c>
    </row>
    <row r="2607">
      <c r="A2607" t="inlineStr">
        <is>
          <t>샘플종목24</t>
        </is>
      </c>
      <c r="B2607" s="3" t="n">
        <v>46080</v>
      </c>
      <c r="C2607" t="n">
        <v>49713</v>
      </c>
      <c r="D2607" t="n">
        <v>8145670</v>
      </c>
      <c r="E2607">
        <f>IF(A2607="","",COUNTIFS($A$2:$A$20000,A2607,$B$2:$B$20000,"&gt;"&amp;B2607)+1)</f>
        <v/>
      </c>
    </row>
    <row r="2608">
      <c r="A2608" t="inlineStr">
        <is>
          <t>샘플종목24</t>
        </is>
      </c>
      <c r="B2608" s="3" t="n">
        <v>46087</v>
      </c>
      <c r="C2608" t="n">
        <v>54208</v>
      </c>
      <c r="D2608" t="n">
        <v>2805624</v>
      </c>
      <c r="E2608">
        <f>IF(A2608="","",COUNTIFS($A$2:$A$20000,A2608,$B$2:$B$20000,"&gt;"&amp;B2608)+1)</f>
        <v/>
      </c>
    </row>
    <row r="2609">
      <c r="A2609" t="inlineStr">
        <is>
          <t>샘플종목24</t>
        </is>
      </c>
      <c r="B2609" s="3" t="n">
        <v>46094</v>
      </c>
      <c r="C2609" t="n">
        <v>52941</v>
      </c>
      <c r="D2609" t="n">
        <v>5407393</v>
      </c>
      <c r="E2609">
        <f>IF(A2609="","",COUNTIFS($A$2:$A$20000,A2609,$B$2:$B$20000,"&gt;"&amp;B2609)+1)</f>
        <v/>
      </c>
    </row>
    <row r="2610">
      <c r="A2610" t="inlineStr">
        <is>
          <t>샘플종목24</t>
        </is>
      </c>
      <c r="B2610" s="3" t="n">
        <v>46101</v>
      </c>
      <c r="C2610" t="n">
        <v>54136</v>
      </c>
      <c r="D2610" t="n">
        <v>3639304</v>
      </c>
      <c r="E2610">
        <f>IF(A2610="","",COUNTIFS($A$2:$A$20000,A2610,$B$2:$B$20000,"&gt;"&amp;B2610)+1)</f>
        <v/>
      </c>
    </row>
    <row r="2611">
      <c r="A2611" t="inlineStr">
        <is>
          <t>샘플종목24</t>
        </is>
      </c>
      <c r="B2611" s="3" t="n">
        <v>46108</v>
      </c>
      <c r="C2611" t="n">
        <v>53380</v>
      </c>
      <c r="D2611" t="n">
        <v>171842</v>
      </c>
      <c r="E2611">
        <f>IF(A2611="","",COUNTIFS($A$2:$A$20000,A2611,$B$2:$B$20000,"&gt;"&amp;B2611)+1)</f>
        <v/>
      </c>
    </row>
    <row r="2612">
      <c r="A2612" t="inlineStr">
        <is>
          <t>샘플종목24</t>
        </is>
      </c>
      <c r="B2612" s="3" t="n">
        <v>46115</v>
      </c>
      <c r="C2612" t="n">
        <v>56741</v>
      </c>
      <c r="D2612" t="n">
        <v>5439741</v>
      </c>
      <c r="E2612">
        <f>IF(A2612="","",COUNTIFS($A$2:$A$20000,A2612,$B$2:$B$20000,"&gt;"&amp;B2612)+1)</f>
        <v/>
      </c>
    </row>
    <row r="2613">
      <c r="A2613" t="inlineStr">
        <is>
          <t>샘플종목24</t>
        </is>
      </c>
      <c r="B2613" s="3" t="n">
        <v>46122</v>
      </c>
      <c r="C2613" t="n">
        <v>56654</v>
      </c>
      <c r="D2613" t="n">
        <v>9492732</v>
      </c>
      <c r="E2613">
        <f>IF(A2613="","",COUNTIFS($A$2:$A$20000,A2613,$B$2:$B$20000,"&gt;"&amp;B2613)+1)</f>
        <v/>
      </c>
    </row>
    <row r="2614">
      <c r="A2614" t="inlineStr">
        <is>
          <t>샘플종목24</t>
        </is>
      </c>
      <c r="B2614" s="3" t="n">
        <v>46129</v>
      </c>
      <c r="C2614" t="n">
        <v>56527</v>
      </c>
      <c r="D2614" t="n">
        <v>2758428</v>
      </c>
      <c r="E2614">
        <f>IF(A2614="","",COUNTIFS($A$2:$A$20000,A2614,$B$2:$B$20000,"&gt;"&amp;B2614)+1)</f>
        <v/>
      </c>
    </row>
    <row r="2615">
      <c r="A2615" t="inlineStr">
        <is>
          <t>샘플종목24</t>
        </is>
      </c>
      <c r="B2615" s="3" t="n">
        <v>46136</v>
      </c>
      <c r="C2615" t="n">
        <v>59737</v>
      </c>
      <c r="D2615" t="n">
        <v>9723587</v>
      </c>
      <c r="E2615">
        <f>IF(A2615="","",COUNTIFS($A$2:$A$20000,A2615,$B$2:$B$20000,"&gt;"&amp;B2615)+1)</f>
        <v/>
      </c>
    </row>
    <row r="2616">
      <c r="A2616" t="inlineStr">
        <is>
          <t>샘플종목24</t>
        </is>
      </c>
      <c r="B2616" s="3" t="n">
        <v>46143</v>
      </c>
      <c r="C2616" t="n">
        <v>61590</v>
      </c>
      <c r="D2616" t="n">
        <v>4715607</v>
      </c>
      <c r="E2616">
        <f>IF(A2616="","",COUNTIFS($A$2:$A$20000,A2616,$B$2:$B$20000,"&gt;"&amp;B2616)+1)</f>
        <v/>
      </c>
    </row>
    <row r="2617">
      <c r="A2617" t="inlineStr">
        <is>
          <t>샘플종목24</t>
        </is>
      </c>
      <c r="B2617" s="3" t="n">
        <v>46150</v>
      </c>
      <c r="C2617" t="n">
        <v>59488</v>
      </c>
      <c r="D2617" t="n">
        <v>1492015</v>
      </c>
      <c r="E2617">
        <f>IF(A2617="","",COUNTIFS($A$2:$A$20000,A2617,$B$2:$B$20000,"&gt;"&amp;B2617)+1)</f>
        <v/>
      </c>
    </row>
    <row r="2618">
      <c r="A2618" t="inlineStr">
        <is>
          <t>샘플종목24</t>
        </is>
      </c>
      <c r="B2618" s="3" t="n">
        <v>46157</v>
      </c>
      <c r="C2618" t="n">
        <v>55143</v>
      </c>
      <c r="D2618" t="n">
        <v>878951</v>
      </c>
      <c r="E2618">
        <f>IF(A2618="","",COUNTIFS($A$2:$A$20000,A2618,$B$2:$B$20000,"&gt;"&amp;B2618)+1)</f>
        <v/>
      </c>
    </row>
    <row r="2619">
      <c r="A2619" t="inlineStr">
        <is>
          <t>샘플종목24</t>
        </is>
      </c>
      <c r="B2619" s="3" t="n">
        <v>46164</v>
      </c>
      <c r="C2619" t="n">
        <v>55460</v>
      </c>
      <c r="D2619" t="n">
        <v>2601204</v>
      </c>
      <c r="E2619">
        <f>IF(A2619="","",COUNTIFS($A$2:$A$20000,A2619,$B$2:$B$20000,"&gt;"&amp;B2619)+1)</f>
        <v/>
      </c>
    </row>
    <row r="2620">
      <c r="A2620" t="inlineStr">
        <is>
          <t>샘플종목24</t>
        </is>
      </c>
      <c r="B2620" s="3" t="n">
        <v>46171</v>
      </c>
      <c r="C2620" t="n">
        <v>54742</v>
      </c>
      <c r="D2620" t="n">
        <v>7051427</v>
      </c>
      <c r="E2620">
        <f>IF(A2620="","",COUNTIFS($A$2:$A$20000,A2620,$B$2:$B$20000,"&gt;"&amp;B2620)+1)</f>
        <v/>
      </c>
    </row>
    <row r="2621">
      <c r="A2621" t="inlineStr">
        <is>
          <t>샘플종목24</t>
        </is>
      </c>
      <c r="B2621" s="3" t="n">
        <v>46178</v>
      </c>
      <c r="C2621" t="n">
        <v>55249</v>
      </c>
      <c r="D2621" t="n">
        <v>5033989</v>
      </c>
      <c r="E2621">
        <f>IF(A2621="","",COUNTIFS($A$2:$A$20000,A2621,$B$2:$B$20000,"&gt;"&amp;B2621)+1)</f>
        <v/>
      </c>
    </row>
    <row r="2622">
      <c r="A2622" t="inlineStr">
        <is>
          <t>샘플종목24</t>
        </is>
      </c>
      <c r="B2622" s="3" t="n">
        <v>46185</v>
      </c>
      <c r="C2622" t="n">
        <v>53362</v>
      </c>
      <c r="D2622" t="n">
        <v>173308</v>
      </c>
      <c r="E2622">
        <f>IF(A2622="","",COUNTIFS($A$2:$A$20000,A2622,$B$2:$B$20000,"&gt;"&amp;B2622)+1)</f>
        <v/>
      </c>
    </row>
    <row r="2623">
      <c r="A2623" t="inlineStr">
        <is>
          <t>샘플종목24</t>
        </is>
      </c>
      <c r="B2623" s="3" t="n">
        <v>46192</v>
      </c>
      <c r="C2623" t="n">
        <v>52303</v>
      </c>
      <c r="D2623" t="n">
        <v>1564083</v>
      </c>
      <c r="E2623">
        <f>IF(A2623="","",COUNTIFS($A$2:$A$20000,A2623,$B$2:$B$20000,"&gt;"&amp;B2623)+1)</f>
        <v/>
      </c>
    </row>
    <row r="2624">
      <c r="A2624" t="inlineStr">
        <is>
          <t>샘플종목24</t>
        </is>
      </c>
      <c r="B2624" s="3" t="n">
        <v>46199</v>
      </c>
      <c r="C2624" t="n">
        <v>51458</v>
      </c>
      <c r="D2624" t="n">
        <v>6415743</v>
      </c>
      <c r="E2624">
        <f>IF(A2624="","",COUNTIFS($A$2:$A$20000,A2624,$B$2:$B$20000,"&gt;"&amp;B2624)+1)</f>
        <v/>
      </c>
    </row>
    <row r="2625">
      <c r="A2625" t="inlineStr">
        <is>
          <t>샘플종목24</t>
        </is>
      </c>
      <c r="B2625" s="3" t="n">
        <v>46206</v>
      </c>
      <c r="C2625" t="n">
        <v>50976</v>
      </c>
      <c r="D2625" t="n">
        <v>4741180</v>
      </c>
      <c r="E2625">
        <f>IF(A2625="","",COUNTIFS($A$2:$A$20000,A2625,$B$2:$B$20000,"&gt;"&amp;B2625)+1)</f>
        <v/>
      </c>
    </row>
    <row r="2626">
      <c r="A2626" t="inlineStr">
        <is>
          <t>샘플종목24</t>
        </is>
      </c>
      <c r="B2626" s="3" t="n">
        <v>46213</v>
      </c>
      <c r="C2626" t="n">
        <v>53065</v>
      </c>
      <c r="D2626" t="n">
        <v>7404246</v>
      </c>
      <c r="E2626">
        <f>IF(A2626="","",COUNTIFS($A$2:$A$20000,A2626,$B$2:$B$20000,"&gt;"&amp;B2626)+1)</f>
        <v/>
      </c>
    </row>
    <row r="2627">
      <c r="A2627" t="inlineStr">
        <is>
          <t>샘플종목24</t>
        </is>
      </c>
      <c r="B2627" s="3" t="n">
        <v>46220</v>
      </c>
      <c r="C2627" t="n">
        <v>51142</v>
      </c>
      <c r="D2627" t="n">
        <v>7512137</v>
      </c>
      <c r="E2627">
        <f>IF(A2627="","",COUNTIFS($A$2:$A$20000,A2627,$B$2:$B$20000,"&gt;"&amp;B2627)+1)</f>
        <v/>
      </c>
    </row>
    <row r="2628">
      <c r="A2628" t="inlineStr">
        <is>
          <t>샘플종목24</t>
        </is>
      </c>
      <c r="B2628" s="3" t="n">
        <v>46227</v>
      </c>
      <c r="C2628" t="n">
        <v>54001</v>
      </c>
      <c r="D2628" t="n">
        <v>1464957</v>
      </c>
      <c r="E2628">
        <f>IF(A2628="","",COUNTIFS($A$2:$A$20000,A2628,$B$2:$B$20000,"&gt;"&amp;B2628)+1)</f>
        <v/>
      </c>
    </row>
    <row r="2629">
      <c r="A2629" t="inlineStr">
        <is>
          <t>샘플종목24</t>
        </is>
      </c>
      <c r="B2629" s="3" t="n">
        <v>46234</v>
      </c>
      <c r="C2629" t="n">
        <v>51463</v>
      </c>
      <c r="D2629" t="n">
        <v>7631396</v>
      </c>
      <c r="E2629">
        <f>IF(A2629="","",COUNTIFS($A$2:$A$20000,A2629,$B$2:$B$20000,"&gt;"&amp;B2629)+1)</f>
        <v/>
      </c>
    </row>
    <row r="2630">
      <c r="A2630" t="inlineStr">
        <is>
          <t>샘플종목24</t>
        </is>
      </c>
      <c r="B2630" s="3" t="n">
        <v>46241</v>
      </c>
      <c r="C2630" t="n">
        <v>51012</v>
      </c>
      <c r="D2630" t="n">
        <v>8385533</v>
      </c>
      <c r="E2630">
        <f>IF(A2630="","",COUNTIFS($A$2:$A$20000,A2630,$B$2:$B$20000,"&gt;"&amp;B2630)+1)</f>
        <v/>
      </c>
    </row>
    <row r="2631">
      <c r="A2631" t="inlineStr">
        <is>
          <t>샘플종목24</t>
        </is>
      </c>
      <c r="B2631" s="3" t="n">
        <v>46248</v>
      </c>
      <c r="C2631" t="n">
        <v>50370</v>
      </c>
      <c r="D2631" t="n">
        <v>5121586</v>
      </c>
      <c r="E2631">
        <f>IF(A2631="","",COUNTIFS($A$2:$A$20000,A2631,$B$2:$B$20000,"&gt;"&amp;B2631)+1)</f>
        <v/>
      </c>
    </row>
    <row r="2632">
      <c r="A2632" t="inlineStr">
        <is>
          <t>샘플종목24</t>
        </is>
      </c>
      <c r="B2632" s="3" t="n">
        <v>46255</v>
      </c>
      <c r="C2632" t="n">
        <v>51121</v>
      </c>
      <c r="D2632" t="n">
        <v>4762389</v>
      </c>
      <c r="E2632">
        <f>IF(A2632="","",COUNTIFS($A$2:$A$20000,A2632,$B$2:$B$20000,"&gt;"&amp;B2632)+1)</f>
        <v/>
      </c>
    </row>
    <row r="2633">
      <c r="A2633" t="inlineStr">
        <is>
          <t>샘플종목24</t>
        </is>
      </c>
      <c r="B2633" s="3" t="n">
        <v>46262</v>
      </c>
      <c r="C2633" t="n">
        <v>54130</v>
      </c>
      <c r="D2633" t="n">
        <v>6316175</v>
      </c>
      <c r="E2633">
        <f>IF(A2633="","",COUNTIFS($A$2:$A$20000,A2633,$B$2:$B$20000,"&gt;"&amp;B2633)+1)</f>
        <v/>
      </c>
    </row>
    <row r="2634">
      <c r="A2634" t="inlineStr">
        <is>
          <t>샘플종목24</t>
        </is>
      </c>
      <c r="B2634" s="3" t="n">
        <v>46269</v>
      </c>
      <c r="C2634" t="n">
        <v>54946</v>
      </c>
      <c r="D2634" t="n">
        <v>8502367</v>
      </c>
      <c r="E2634">
        <f>IF(A2634="","",COUNTIFS($A$2:$A$20000,A2634,$B$2:$B$20000,"&gt;"&amp;B2634)+1)</f>
        <v/>
      </c>
    </row>
    <row r="2635">
      <c r="A2635" t="inlineStr">
        <is>
          <t>샘플종목24</t>
        </is>
      </c>
      <c r="B2635" s="3" t="n">
        <v>46276</v>
      </c>
      <c r="C2635" t="n">
        <v>57573</v>
      </c>
      <c r="D2635" t="n">
        <v>8941987</v>
      </c>
      <c r="E2635">
        <f>IF(A2635="","",COUNTIFS($A$2:$A$20000,A2635,$B$2:$B$20000,"&gt;"&amp;B2635)+1)</f>
        <v/>
      </c>
    </row>
    <row r="2636">
      <c r="A2636" t="inlineStr">
        <is>
          <t>샘플종목24</t>
        </is>
      </c>
      <c r="B2636" s="3" t="n">
        <v>46283</v>
      </c>
      <c r="C2636" t="n">
        <v>55001</v>
      </c>
      <c r="D2636" t="n">
        <v>4757860</v>
      </c>
      <c r="E2636">
        <f>IF(A2636="","",COUNTIFS($A$2:$A$20000,A2636,$B$2:$B$20000,"&gt;"&amp;B2636)+1)</f>
        <v/>
      </c>
    </row>
    <row r="2637">
      <c r="A2637" t="inlineStr">
        <is>
          <t>샘플종목24</t>
        </is>
      </c>
      <c r="B2637" s="3" t="n">
        <v>46290</v>
      </c>
      <c r="C2637" t="n">
        <v>56383</v>
      </c>
      <c r="D2637" t="n">
        <v>7754035</v>
      </c>
      <c r="E2637">
        <f>IF(A2637="","",COUNTIFS($A$2:$A$20000,A2637,$B$2:$B$20000,"&gt;"&amp;B2637)+1)</f>
        <v/>
      </c>
    </row>
    <row r="2638">
      <c r="A2638" t="inlineStr">
        <is>
          <t>샘플종목24</t>
        </is>
      </c>
      <c r="B2638" s="3" t="n">
        <v>46297</v>
      </c>
      <c r="C2638" t="n">
        <v>55269</v>
      </c>
      <c r="D2638" t="n">
        <v>8031822</v>
      </c>
      <c r="E2638">
        <f>IF(A2638="","",COUNTIFS($A$2:$A$20000,A2638,$B$2:$B$20000,"&gt;"&amp;B2638)+1)</f>
        <v/>
      </c>
    </row>
    <row r="2639">
      <c r="A2639" t="inlineStr">
        <is>
          <t>샘플종목24</t>
        </is>
      </c>
      <c r="B2639" s="3" t="n">
        <v>46304</v>
      </c>
      <c r="C2639" t="n">
        <v>53866</v>
      </c>
      <c r="D2639" t="n">
        <v>2089865</v>
      </c>
      <c r="E2639">
        <f>IF(A2639="","",COUNTIFS($A$2:$A$20000,A2639,$B$2:$B$20000,"&gt;"&amp;B2639)+1)</f>
        <v/>
      </c>
    </row>
    <row r="2640">
      <c r="A2640" t="inlineStr">
        <is>
          <t>샘플종목24</t>
        </is>
      </c>
      <c r="B2640" s="3" t="n">
        <v>46311</v>
      </c>
      <c r="C2640" t="n">
        <v>57900</v>
      </c>
      <c r="D2640" t="n">
        <v>5052073</v>
      </c>
      <c r="E2640">
        <f>IF(A2640="","",COUNTIFS($A$2:$A$20000,A2640,$B$2:$B$20000,"&gt;"&amp;B2640)+1)</f>
        <v/>
      </c>
    </row>
    <row r="2641">
      <c r="A2641" t="inlineStr">
        <is>
          <t>샘플종목24</t>
        </is>
      </c>
      <c r="B2641" s="3" t="n">
        <v>46318</v>
      </c>
      <c r="C2641" t="n">
        <v>59280</v>
      </c>
      <c r="D2641" t="n">
        <v>998035</v>
      </c>
      <c r="E2641">
        <f>IF(A2641="","",COUNTIFS($A$2:$A$20000,A2641,$B$2:$B$20000,"&gt;"&amp;B2641)+1)</f>
        <v/>
      </c>
    </row>
    <row r="2642">
      <c r="A2642" t="inlineStr">
        <is>
          <t>샘플종목25</t>
        </is>
      </c>
      <c r="B2642" s="3" t="n">
        <v>45555</v>
      </c>
      <c r="C2642" t="n">
        <v>127908</v>
      </c>
      <c r="D2642" t="n">
        <v>2300417</v>
      </c>
      <c r="E2642">
        <f>IF(A2642="","",COUNTIFS($A$2:$A$20000,A2642,$B$2:$B$20000,"&gt;"&amp;B2642)+1)</f>
        <v/>
      </c>
    </row>
    <row r="2643">
      <c r="A2643" t="inlineStr">
        <is>
          <t>샘플종목25</t>
        </is>
      </c>
      <c r="B2643" s="3" t="n">
        <v>45562</v>
      </c>
      <c r="C2643" t="n">
        <v>121891</v>
      </c>
      <c r="D2643" t="n">
        <v>5999261</v>
      </c>
      <c r="E2643">
        <f>IF(A2643="","",COUNTIFS($A$2:$A$20000,A2643,$B$2:$B$20000,"&gt;"&amp;B2643)+1)</f>
        <v/>
      </c>
    </row>
    <row r="2644">
      <c r="A2644" t="inlineStr">
        <is>
          <t>샘플종목25</t>
        </is>
      </c>
      <c r="B2644" s="3" t="n">
        <v>45569</v>
      </c>
      <c r="C2644" t="n">
        <v>119042</v>
      </c>
      <c r="D2644" t="n">
        <v>4279249</v>
      </c>
      <c r="E2644">
        <f>IF(A2644="","",COUNTIFS($A$2:$A$20000,A2644,$B$2:$B$20000,"&gt;"&amp;B2644)+1)</f>
        <v/>
      </c>
    </row>
    <row r="2645">
      <c r="A2645" t="inlineStr">
        <is>
          <t>샘플종목25</t>
        </is>
      </c>
      <c r="B2645" s="3" t="n">
        <v>45576</v>
      </c>
      <c r="C2645" t="n">
        <v>115773</v>
      </c>
      <c r="D2645" t="n">
        <v>4457262</v>
      </c>
      <c r="E2645">
        <f>IF(A2645="","",COUNTIFS($A$2:$A$20000,A2645,$B$2:$B$20000,"&gt;"&amp;B2645)+1)</f>
        <v/>
      </c>
    </row>
    <row r="2646">
      <c r="A2646" t="inlineStr">
        <is>
          <t>샘플종목25</t>
        </is>
      </c>
      <c r="B2646" s="3" t="n">
        <v>45583</v>
      </c>
      <c r="C2646" t="n">
        <v>116482</v>
      </c>
      <c r="D2646" t="n">
        <v>8118031</v>
      </c>
      <c r="E2646">
        <f>IF(A2646="","",COUNTIFS($A$2:$A$20000,A2646,$B$2:$B$20000,"&gt;"&amp;B2646)+1)</f>
        <v/>
      </c>
    </row>
    <row r="2647">
      <c r="A2647" t="inlineStr">
        <is>
          <t>샘플종목25</t>
        </is>
      </c>
      <c r="B2647" s="3" t="n">
        <v>45590</v>
      </c>
      <c r="C2647" t="n">
        <v>115603</v>
      </c>
      <c r="D2647" t="n">
        <v>528945</v>
      </c>
      <c r="E2647">
        <f>IF(A2647="","",COUNTIFS($A$2:$A$20000,A2647,$B$2:$B$20000,"&gt;"&amp;B2647)+1)</f>
        <v/>
      </c>
    </row>
    <row r="2648">
      <c r="A2648" t="inlineStr">
        <is>
          <t>샘플종목25</t>
        </is>
      </c>
      <c r="B2648" s="3" t="n">
        <v>45597</v>
      </c>
      <c r="C2648" t="n">
        <v>123551</v>
      </c>
      <c r="D2648" t="n">
        <v>677315</v>
      </c>
      <c r="E2648">
        <f>IF(A2648="","",COUNTIFS($A$2:$A$20000,A2648,$B$2:$B$20000,"&gt;"&amp;B2648)+1)</f>
        <v/>
      </c>
    </row>
    <row r="2649">
      <c r="A2649" t="inlineStr">
        <is>
          <t>샘플종목25</t>
        </is>
      </c>
      <c r="B2649" s="3" t="n">
        <v>45604</v>
      </c>
      <c r="C2649" t="n">
        <v>128808</v>
      </c>
      <c r="D2649" t="n">
        <v>3713997</v>
      </c>
      <c r="E2649">
        <f>IF(A2649="","",COUNTIFS($A$2:$A$20000,A2649,$B$2:$B$20000,"&gt;"&amp;B2649)+1)</f>
        <v/>
      </c>
    </row>
    <row r="2650">
      <c r="A2650" t="inlineStr">
        <is>
          <t>샘플종목25</t>
        </is>
      </c>
      <c r="B2650" s="3" t="n">
        <v>45611</v>
      </c>
      <c r="C2650" t="n">
        <v>123412</v>
      </c>
      <c r="D2650" t="n">
        <v>1450600</v>
      </c>
      <c r="E2650">
        <f>IF(A2650="","",COUNTIFS($A$2:$A$20000,A2650,$B$2:$B$20000,"&gt;"&amp;B2650)+1)</f>
        <v/>
      </c>
    </row>
    <row r="2651">
      <c r="A2651" t="inlineStr">
        <is>
          <t>샘플종목25</t>
        </is>
      </c>
      <c r="B2651" s="3" t="n">
        <v>45618</v>
      </c>
      <c r="C2651" t="n">
        <v>124885</v>
      </c>
      <c r="D2651" t="n">
        <v>4982172</v>
      </c>
      <c r="E2651">
        <f>IF(A2651="","",COUNTIFS($A$2:$A$20000,A2651,$B$2:$B$20000,"&gt;"&amp;B2651)+1)</f>
        <v/>
      </c>
    </row>
    <row r="2652">
      <c r="A2652" t="inlineStr">
        <is>
          <t>샘플종목25</t>
        </is>
      </c>
      <c r="B2652" s="3" t="n">
        <v>45625</v>
      </c>
      <c r="C2652" t="n">
        <v>118718</v>
      </c>
      <c r="D2652" t="n">
        <v>3208884</v>
      </c>
      <c r="E2652">
        <f>IF(A2652="","",COUNTIFS($A$2:$A$20000,A2652,$B$2:$B$20000,"&gt;"&amp;B2652)+1)</f>
        <v/>
      </c>
    </row>
    <row r="2653">
      <c r="A2653" t="inlineStr">
        <is>
          <t>샘플종목25</t>
        </is>
      </c>
      <c r="B2653" s="3" t="n">
        <v>45632</v>
      </c>
      <c r="C2653" t="n">
        <v>128151</v>
      </c>
      <c r="D2653" t="n">
        <v>2392222</v>
      </c>
      <c r="E2653">
        <f>IF(A2653="","",COUNTIFS($A$2:$A$20000,A2653,$B$2:$B$20000,"&gt;"&amp;B2653)+1)</f>
        <v/>
      </c>
    </row>
    <row r="2654">
      <c r="A2654" t="inlineStr">
        <is>
          <t>샘플종목25</t>
        </is>
      </c>
      <c r="B2654" s="3" t="n">
        <v>45639</v>
      </c>
      <c r="C2654" t="n">
        <v>123125</v>
      </c>
      <c r="D2654" t="n">
        <v>3219449</v>
      </c>
      <c r="E2654">
        <f>IF(A2654="","",COUNTIFS($A$2:$A$20000,A2654,$B$2:$B$20000,"&gt;"&amp;B2654)+1)</f>
        <v/>
      </c>
    </row>
    <row r="2655">
      <c r="A2655" t="inlineStr">
        <is>
          <t>샘플종목25</t>
        </is>
      </c>
      <c r="B2655" s="3" t="n">
        <v>45646</v>
      </c>
      <c r="C2655" t="n">
        <v>116811</v>
      </c>
      <c r="D2655" t="n">
        <v>8491060</v>
      </c>
      <c r="E2655">
        <f>IF(A2655="","",COUNTIFS($A$2:$A$20000,A2655,$B$2:$B$20000,"&gt;"&amp;B2655)+1)</f>
        <v/>
      </c>
    </row>
    <row r="2656">
      <c r="A2656" t="inlineStr">
        <is>
          <t>샘플종목25</t>
        </is>
      </c>
      <c r="B2656" s="3" t="n">
        <v>45653</v>
      </c>
      <c r="C2656" t="n">
        <v>116864</v>
      </c>
      <c r="D2656" t="n">
        <v>3843437</v>
      </c>
      <c r="E2656">
        <f>IF(A2656="","",COUNTIFS($A$2:$A$20000,A2656,$B$2:$B$20000,"&gt;"&amp;B2656)+1)</f>
        <v/>
      </c>
    </row>
    <row r="2657">
      <c r="A2657" t="inlineStr">
        <is>
          <t>샘플종목25</t>
        </is>
      </c>
      <c r="B2657" s="3" t="n">
        <v>45660</v>
      </c>
      <c r="C2657" t="n">
        <v>119892</v>
      </c>
      <c r="D2657" t="n">
        <v>8050594</v>
      </c>
      <c r="E2657">
        <f>IF(A2657="","",COUNTIFS($A$2:$A$20000,A2657,$B$2:$B$20000,"&gt;"&amp;B2657)+1)</f>
        <v/>
      </c>
    </row>
    <row r="2658">
      <c r="A2658" t="inlineStr">
        <is>
          <t>샘플종목25</t>
        </is>
      </c>
      <c r="B2658" s="3" t="n">
        <v>45667</v>
      </c>
      <c r="C2658" t="n">
        <v>122267</v>
      </c>
      <c r="D2658" t="n">
        <v>4454778</v>
      </c>
      <c r="E2658">
        <f>IF(A2658="","",COUNTIFS($A$2:$A$20000,A2658,$B$2:$B$20000,"&gt;"&amp;B2658)+1)</f>
        <v/>
      </c>
    </row>
    <row r="2659">
      <c r="A2659" t="inlineStr">
        <is>
          <t>샘플종목25</t>
        </is>
      </c>
      <c r="B2659" s="3" t="n">
        <v>45674</v>
      </c>
      <c r="C2659" t="n">
        <v>119795</v>
      </c>
      <c r="D2659" t="n">
        <v>1122217</v>
      </c>
      <c r="E2659">
        <f>IF(A2659="","",COUNTIFS($A$2:$A$20000,A2659,$B$2:$B$20000,"&gt;"&amp;B2659)+1)</f>
        <v/>
      </c>
    </row>
    <row r="2660">
      <c r="A2660" t="inlineStr">
        <is>
          <t>샘플종목25</t>
        </is>
      </c>
      <c r="B2660" s="3" t="n">
        <v>45681</v>
      </c>
      <c r="C2660" t="n">
        <v>121915</v>
      </c>
      <c r="D2660" t="n">
        <v>5165702</v>
      </c>
      <c r="E2660">
        <f>IF(A2660="","",COUNTIFS($A$2:$A$20000,A2660,$B$2:$B$20000,"&gt;"&amp;B2660)+1)</f>
        <v/>
      </c>
    </row>
    <row r="2661">
      <c r="A2661" t="inlineStr">
        <is>
          <t>샘플종목25</t>
        </is>
      </c>
      <c r="B2661" s="3" t="n">
        <v>45688</v>
      </c>
      <c r="C2661" t="n">
        <v>132600</v>
      </c>
      <c r="D2661" t="n">
        <v>1158355</v>
      </c>
      <c r="E2661">
        <f>IF(A2661="","",COUNTIFS($A$2:$A$20000,A2661,$B$2:$B$20000,"&gt;"&amp;B2661)+1)</f>
        <v/>
      </c>
    </row>
    <row r="2662">
      <c r="A2662" t="inlineStr">
        <is>
          <t>샘플종목25</t>
        </is>
      </c>
      <c r="B2662" s="3" t="n">
        <v>45695</v>
      </c>
      <c r="C2662" t="n">
        <v>128410</v>
      </c>
      <c r="D2662" t="n">
        <v>7541420</v>
      </c>
      <c r="E2662">
        <f>IF(A2662="","",COUNTIFS($A$2:$A$20000,A2662,$B$2:$B$20000,"&gt;"&amp;B2662)+1)</f>
        <v/>
      </c>
    </row>
    <row r="2663">
      <c r="A2663" t="inlineStr">
        <is>
          <t>샘플종목25</t>
        </is>
      </c>
      <c r="B2663" s="3" t="n">
        <v>45702</v>
      </c>
      <c r="C2663" t="n">
        <v>124024</v>
      </c>
      <c r="D2663" t="n">
        <v>3660830</v>
      </c>
      <c r="E2663">
        <f>IF(A2663="","",COUNTIFS($A$2:$A$20000,A2663,$B$2:$B$20000,"&gt;"&amp;B2663)+1)</f>
        <v/>
      </c>
    </row>
    <row r="2664">
      <c r="A2664" t="inlineStr">
        <is>
          <t>샘플종목25</t>
        </is>
      </c>
      <c r="B2664" s="3" t="n">
        <v>45709</v>
      </c>
      <c r="C2664" t="n">
        <v>133224</v>
      </c>
      <c r="D2664" t="n">
        <v>5347128</v>
      </c>
      <c r="E2664">
        <f>IF(A2664="","",COUNTIFS($A$2:$A$20000,A2664,$B$2:$B$20000,"&gt;"&amp;B2664)+1)</f>
        <v/>
      </c>
    </row>
    <row r="2665">
      <c r="A2665" t="inlineStr">
        <is>
          <t>샘플종목25</t>
        </is>
      </c>
      <c r="B2665" s="3" t="n">
        <v>45716</v>
      </c>
      <c r="C2665" t="n">
        <v>140325</v>
      </c>
      <c r="D2665" t="n">
        <v>1114181</v>
      </c>
      <c r="E2665">
        <f>IF(A2665="","",COUNTIFS($A$2:$A$20000,A2665,$B$2:$B$20000,"&gt;"&amp;B2665)+1)</f>
        <v/>
      </c>
    </row>
    <row r="2666">
      <c r="A2666" t="inlineStr">
        <is>
          <t>샘플종목25</t>
        </is>
      </c>
      <c r="B2666" s="3" t="n">
        <v>45723</v>
      </c>
      <c r="C2666" t="n">
        <v>140470</v>
      </c>
      <c r="D2666" t="n">
        <v>7873290</v>
      </c>
      <c r="E2666">
        <f>IF(A2666="","",COUNTIFS($A$2:$A$20000,A2666,$B$2:$B$20000,"&gt;"&amp;B2666)+1)</f>
        <v/>
      </c>
    </row>
    <row r="2667">
      <c r="A2667" t="inlineStr">
        <is>
          <t>샘플종목25</t>
        </is>
      </c>
      <c r="B2667" s="3" t="n">
        <v>45730</v>
      </c>
      <c r="C2667" t="n">
        <v>136670</v>
      </c>
      <c r="D2667" t="n">
        <v>8167680</v>
      </c>
      <c r="E2667">
        <f>IF(A2667="","",COUNTIFS($A$2:$A$20000,A2667,$B$2:$B$20000,"&gt;"&amp;B2667)+1)</f>
        <v/>
      </c>
    </row>
    <row r="2668">
      <c r="A2668" t="inlineStr">
        <is>
          <t>샘플종목25</t>
        </is>
      </c>
      <c r="B2668" s="3" t="n">
        <v>45737</v>
      </c>
      <c r="C2668" t="n">
        <v>143127</v>
      </c>
      <c r="D2668" t="n">
        <v>4441948</v>
      </c>
      <c r="E2668">
        <f>IF(A2668="","",COUNTIFS($A$2:$A$20000,A2668,$B$2:$B$20000,"&gt;"&amp;B2668)+1)</f>
        <v/>
      </c>
    </row>
    <row r="2669">
      <c r="A2669" t="inlineStr">
        <is>
          <t>샘플종목25</t>
        </is>
      </c>
      <c r="B2669" s="3" t="n">
        <v>45744</v>
      </c>
      <c r="C2669" t="n">
        <v>130282</v>
      </c>
      <c r="D2669" t="n">
        <v>2792704</v>
      </c>
      <c r="E2669">
        <f>IF(A2669="","",COUNTIFS($A$2:$A$20000,A2669,$B$2:$B$20000,"&gt;"&amp;B2669)+1)</f>
        <v/>
      </c>
    </row>
    <row r="2670">
      <c r="A2670" t="inlineStr">
        <is>
          <t>샘플종목25</t>
        </is>
      </c>
      <c r="B2670" s="3" t="n">
        <v>45751</v>
      </c>
      <c r="C2670" t="n">
        <v>127933</v>
      </c>
      <c r="D2670" t="n">
        <v>5439458</v>
      </c>
      <c r="E2670">
        <f>IF(A2670="","",COUNTIFS($A$2:$A$20000,A2670,$B$2:$B$20000,"&gt;"&amp;B2670)+1)</f>
        <v/>
      </c>
    </row>
    <row r="2671">
      <c r="A2671" t="inlineStr">
        <is>
          <t>샘플종목25</t>
        </is>
      </c>
      <c r="B2671" s="3" t="n">
        <v>45758</v>
      </c>
      <c r="C2671" t="n">
        <v>127854</v>
      </c>
      <c r="D2671" t="n">
        <v>6897183</v>
      </c>
      <c r="E2671">
        <f>IF(A2671="","",COUNTIFS($A$2:$A$20000,A2671,$B$2:$B$20000,"&gt;"&amp;B2671)+1)</f>
        <v/>
      </c>
    </row>
    <row r="2672">
      <c r="A2672" t="inlineStr">
        <is>
          <t>샘플종목25</t>
        </is>
      </c>
      <c r="B2672" s="3" t="n">
        <v>45765</v>
      </c>
      <c r="C2672" t="n">
        <v>136833</v>
      </c>
      <c r="D2672" t="n">
        <v>7989947</v>
      </c>
      <c r="E2672">
        <f>IF(A2672="","",COUNTIFS($A$2:$A$20000,A2672,$B$2:$B$20000,"&gt;"&amp;B2672)+1)</f>
        <v/>
      </c>
    </row>
    <row r="2673">
      <c r="A2673" t="inlineStr">
        <is>
          <t>샘플종목25</t>
        </is>
      </c>
      <c r="B2673" s="3" t="n">
        <v>45772</v>
      </c>
      <c r="C2673" t="n">
        <v>129328</v>
      </c>
      <c r="D2673" t="n">
        <v>7978033</v>
      </c>
      <c r="E2673">
        <f>IF(A2673="","",COUNTIFS($A$2:$A$20000,A2673,$B$2:$B$20000,"&gt;"&amp;B2673)+1)</f>
        <v/>
      </c>
    </row>
    <row r="2674">
      <c r="A2674" t="inlineStr">
        <is>
          <t>샘플종목25</t>
        </is>
      </c>
      <c r="B2674" s="3" t="n">
        <v>45779</v>
      </c>
      <c r="C2674" t="n">
        <v>125506</v>
      </c>
      <c r="D2674" t="n">
        <v>6268314</v>
      </c>
      <c r="E2674">
        <f>IF(A2674="","",COUNTIFS($A$2:$A$20000,A2674,$B$2:$B$20000,"&gt;"&amp;B2674)+1)</f>
        <v/>
      </c>
    </row>
    <row r="2675">
      <c r="A2675" t="inlineStr">
        <is>
          <t>샘플종목25</t>
        </is>
      </c>
      <c r="B2675" s="3" t="n">
        <v>45786</v>
      </c>
      <c r="C2675" t="n">
        <v>125927</v>
      </c>
      <c r="D2675" t="n">
        <v>1759455</v>
      </c>
      <c r="E2675">
        <f>IF(A2675="","",COUNTIFS($A$2:$A$20000,A2675,$B$2:$B$20000,"&gt;"&amp;B2675)+1)</f>
        <v/>
      </c>
    </row>
    <row r="2676">
      <c r="A2676" t="inlineStr">
        <is>
          <t>샘플종목25</t>
        </is>
      </c>
      <c r="B2676" s="3" t="n">
        <v>45793</v>
      </c>
      <c r="C2676" t="n">
        <v>118133</v>
      </c>
      <c r="D2676" t="n">
        <v>9988158</v>
      </c>
      <c r="E2676">
        <f>IF(A2676="","",COUNTIFS($A$2:$A$20000,A2676,$B$2:$B$20000,"&gt;"&amp;B2676)+1)</f>
        <v/>
      </c>
    </row>
    <row r="2677">
      <c r="A2677" t="inlineStr">
        <is>
          <t>샘플종목25</t>
        </is>
      </c>
      <c r="B2677" s="3" t="n">
        <v>45800</v>
      </c>
      <c r="C2677" t="n">
        <v>115703</v>
      </c>
      <c r="D2677" t="n">
        <v>5611190</v>
      </c>
      <c r="E2677">
        <f>IF(A2677="","",COUNTIFS($A$2:$A$20000,A2677,$B$2:$B$20000,"&gt;"&amp;B2677)+1)</f>
        <v/>
      </c>
    </row>
    <row r="2678">
      <c r="A2678" t="inlineStr">
        <is>
          <t>샘플종목25</t>
        </is>
      </c>
      <c r="B2678" s="3" t="n">
        <v>45807</v>
      </c>
      <c r="C2678" t="n">
        <v>120994</v>
      </c>
      <c r="D2678" t="n">
        <v>6268612</v>
      </c>
      <c r="E2678">
        <f>IF(A2678="","",COUNTIFS($A$2:$A$20000,A2678,$B$2:$B$20000,"&gt;"&amp;B2678)+1)</f>
        <v/>
      </c>
    </row>
    <row r="2679">
      <c r="A2679" t="inlineStr">
        <is>
          <t>샘플종목25</t>
        </is>
      </c>
      <c r="B2679" s="3" t="n">
        <v>45814</v>
      </c>
      <c r="C2679" t="n">
        <v>129825</v>
      </c>
      <c r="D2679" t="n">
        <v>6470392</v>
      </c>
      <c r="E2679">
        <f>IF(A2679="","",COUNTIFS($A$2:$A$20000,A2679,$B$2:$B$20000,"&gt;"&amp;B2679)+1)</f>
        <v/>
      </c>
    </row>
    <row r="2680">
      <c r="A2680" t="inlineStr">
        <is>
          <t>샘플종목25</t>
        </is>
      </c>
      <c r="B2680" s="3" t="n">
        <v>45821</v>
      </c>
      <c r="C2680" t="n">
        <v>144303</v>
      </c>
      <c r="D2680" t="n">
        <v>2454489</v>
      </c>
      <c r="E2680">
        <f>IF(A2680="","",COUNTIFS($A$2:$A$20000,A2680,$B$2:$B$20000,"&gt;"&amp;B2680)+1)</f>
        <v/>
      </c>
    </row>
    <row r="2681">
      <c r="A2681" t="inlineStr">
        <is>
          <t>샘플종목25</t>
        </is>
      </c>
      <c r="B2681" s="3" t="n">
        <v>45828</v>
      </c>
      <c r="C2681" t="n">
        <v>140510</v>
      </c>
      <c r="D2681" t="n">
        <v>8466310</v>
      </c>
      <c r="E2681">
        <f>IF(A2681="","",COUNTIFS($A$2:$A$20000,A2681,$B$2:$B$20000,"&gt;"&amp;B2681)+1)</f>
        <v/>
      </c>
    </row>
    <row r="2682">
      <c r="A2682" t="inlineStr">
        <is>
          <t>샘플종목25</t>
        </is>
      </c>
      <c r="B2682" s="3" t="n">
        <v>45835</v>
      </c>
      <c r="C2682" t="n">
        <v>128040</v>
      </c>
      <c r="D2682" t="n">
        <v>6559845</v>
      </c>
      <c r="E2682">
        <f>IF(A2682="","",COUNTIFS($A$2:$A$20000,A2682,$B$2:$B$20000,"&gt;"&amp;B2682)+1)</f>
        <v/>
      </c>
    </row>
    <row r="2683">
      <c r="A2683" t="inlineStr">
        <is>
          <t>샘플종목25</t>
        </is>
      </c>
      <c r="B2683" s="3" t="n">
        <v>45842</v>
      </c>
      <c r="C2683" t="n">
        <v>121689</v>
      </c>
      <c r="D2683" t="n">
        <v>9793063</v>
      </c>
      <c r="E2683">
        <f>IF(A2683="","",COUNTIFS($A$2:$A$20000,A2683,$B$2:$B$20000,"&gt;"&amp;B2683)+1)</f>
        <v/>
      </c>
    </row>
    <row r="2684">
      <c r="A2684" t="inlineStr">
        <is>
          <t>샘플종목25</t>
        </is>
      </c>
      <c r="B2684" s="3" t="n">
        <v>45849</v>
      </c>
      <c r="C2684" t="n">
        <v>117894</v>
      </c>
      <c r="D2684" t="n">
        <v>580897</v>
      </c>
      <c r="E2684">
        <f>IF(A2684="","",COUNTIFS($A$2:$A$20000,A2684,$B$2:$B$20000,"&gt;"&amp;B2684)+1)</f>
        <v/>
      </c>
    </row>
    <row r="2685">
      <c r="A2685" t="inlineStr">
        <is>
          <t>샘플종목25</t>
        </is>
      </c>
      <c r="B2685" s="3" t="n">
        <v>45856</v>
      </c>
      <c r="C2685" t="n">
        <v>116927</v>
      </c>
      <c r="D2685" t="n">
        <v>5432449</v>
      </c>
      <c r="E2685">
        <f>IF(A2685="","",COUNTIFS($A$2:$A$20000,A2685,$B$2:$B$20000,"&gt;"&amp;B2685)+1)</f>
        <v/>
      </c>
    </row>
    <row r="2686">
      <c r="A2686" t="inlineStr">
        <is>
          <t>샘플종목25</t>
        </is>
      </c>
      <c r="B2686" s="3" t="n">
        <v>45863</v>
      </c>
      <c r="C2686" t="n">
        <v>117838</v>
      </c>
      <c r="D2686" t="n">
        <v>4868675</v>
      </c>
      <c r="E2686">
        <f>IF(A2686="","",COUNTIFS($A$2:$A$20000,A2686,$B$2:$B$20000,"&gt;"&amp;B2686)+1)</f>
        <v/>
      </c>
    </row>
    <row r="2687">
      <c r="A2687" t="inlineStr">
        <is>
          <t>샘플종목25</t>
        </is>
      </c>
      <c r="B2687" s="3" t="n">
        <v>45870</v>
      </c>
      <c r="C2687" t="n">
        <v>120401</v>
      </c>
      <c r="D2687" t="n">
        <v>7737807</v>
      </c>
      <c r="E2687">
        <f>IF(A2687="","",COUNTIFS($A$2:$A$20000,A2687,$B$2:$B$20000,"&gt;"&amp;B2687)+1)</f>
        <v/>
      </c>
    </row>
    <row r="2688">
      <c r="A2688" t="inlineStr">
        <is>
          <t>샘플종목25</t>
        </is>
      </c>
      <c r="B2688" s="3" t="n">
        <v>45877</v>
      </c>
      <c r="C2688" t="n">
        <v>116385</v>
      </c>
      <c r="D2688" t="n">
        <v>6178727</v>
      </c>
      <c r="E2688">
        <f>IF(A2688="","",COUNTIFS($A$2:$A$20000,A2688,$B$2:$B$20000,"&gt;"&amp;B2688)+1)</f>
        <v/>
      </c>
    </row>
    <row r="2689">
      <c r="A2689" t="inlineStr">
        <is>
          <t>샘플종목25</t>
        </is>
      </c>
      <c r="B2689" s="3" t="n">
        <v>45884</v>
      </c>
      <c r="C2689" t="n">
        <v>112264</v>
      </c>
      <c r="D2689" t="n">
        <v>8165022</v>
      </c>
      <c r="E2689">
        <f>IF(A2689="","",COUNTIFS($A$2:$A$20000,A2689,$B$2:$B$20000,"&gt;"&amp;B2689)+1)</f>
        <v/>
      </c>
    </row>
    <row r="2690">
      <c r="A2690" t="inlineStr">
        <is>
          <t>샘플종목25</t>
        </is>
      </c>
      <c r="B2690" s="3" t="n">
        <v>45891</v>
      </c>
      <c r="C2690" t="n">
        <v>118537</v>
      </c>
      <c r="D2690" t="n">
        <v>9213979</v>
      </c>
      <c r="E2690">
        <f>IF(A2690="","",COUNTIFS($A$2:$A$20000,A2690,$B$2:$B$20000,"&gt;"&amp;B2690)+1)</f>
        <v/>
      </c>
    </row>
    <row r="2691">
      <c r="A2691" t="inlineStr">
        <is>
          <t>샘플종목25</t>
        </is>
      </c>
      <c r="B2691" s="3" t="n">
        <v>45898</v>
      </c>
      <c r="C2691" t="n">
        <v>116672</v>
      </c>
      <c r="D2691" t="n">
        <v>3034064</v>
      </c>
      <c r="E2691">
        <f>IF(A2691="","",COUNTIFS($A$2:$A$20000,A2691,$B$2:$B$20000,"&gt;"&amp;B2691)+1)</f>
        <v/>
      </c>
    </row>
    <row r="2692">
      <c r="A2692" t="inlineStr">
        <is>
          <t>샘플종목25</t>
        </is>
      </c>
      <c r="B2692" s="3" t="n">
        <v>45905</v>
      </c>
      <c r="C2692" t="n">
        <v>112842</v>
      </c>
      <c r="D2692" t="n">
        <v>5137883</v>
      </c>
      <c r="E2692">
        <f>IF(A2692="","",COUNTIFS($A$2:$A$20000,A2692,$B$2:$B$20000,"&gt;"&amp;B2692)+1)</f>
        <v/>
      </c>
    </row>
    <row r="2693">
      <c r="A2693" t="inlineStr">
        <is>
          <t>샘플종목25</t>
        </is>
      </c>
      <c r="B2693" s="3" t="n">
        <v>45912</v>
      </c>
      <c r="C2693" t="n">
        <v>117798</v>
      </c>
      <c r="D2693" t="n">
        <v>5016979</v>
      </c>
      <c r="E2693">
        <f>IF(A2693="","",COUNTIFS($A$2:$A$20000,A2693,$B$2:$B$20000,"&gt;"&amp;B2693)+1)</f>
        <v/>
      </c>
    </row>
    <row r="2694">
      <c r="A2694" t="inlineStr">
        <is>
          <t>샘플종목25</t>
        </is>
      </c>
      <c r="B2694" s="3" t="n">
        <v>45919</v>
      </c>
      <c r="C2694" t="n">
        <v>121494</v>
      </c>
      <c r="D2694" t="n">
        <v>9940878</v>
      </c>
      <c r="E2694">
        <f>IF(A2694="","",COUNTIFS($A$2:$A$20000,A2694,$B$2:$B$20000,"&gt;"&amp;B2694)+1)</f>
        <v/>
      </c>
    </row>
    <row r="2695">
      <c r="A2695" t="inlineStr">
        <is>
          <t>샘플종목25</t>
        </is>
      </c>
      <c r="B2695" s="3" t="n">
        <v>45926</v>
      </c>
      <c r="C2695" t="n">
        <v>121038</v>
      </c>
      <c r="D2695" t="n">
        <v>1180090</v>
      </c>
      <c r="E2695">
        <f>IF(A2695="","",COUNTIFS($A$2:$A$20000,A2695,$B$2:$B$20000,"&gt;"&amp;B2695)+1)</f>
        <v/>
      </c>
    </row>
    <row r="2696">
      <c r="A2696" t="inlineStr">
        <is>
          <t>샘플종목25</t>
        </is>
      </c>
      <c r="B2696" s="3" t="n">
        <v>45933</v>
      </c>
      <c r="C2696" t="n">
        <v>118365</v>
      </c>
      <c r="D2696" t="n">
        <v>1289756</v>
      </c>
      <c r="E2696">
        <f>IF(A2696="","",COUNTIFS($A$2:$A$20000,A2696,$B$2:$B$20000,"&gt;"&amp;B2696)+1)</f>
        <v/>
      </c>
    </row>
    <row r="2697">
      <c r="A2697" t="inlineStr">
        <is>
          <t>샘플종목25</t>
        </is>
      </c>
      <c r="B2697" s="3" t="n">
        <v>45940</v>
      </c>
      <c r="C2697" t="n">
        <v>120158</v>
      </c>
      <c r="D2697" t="n">
        <v>3552220</v>
      </c>
      <c r="E2697">
        <f>IF(A2697="","",COUNTIFS($A$2:$A$20000,A2697,$B$2:$B$20000,"&gt;"&amp;B2697)+1)</f>
        <v/>
      </c>
    </row>
    <row r="2698">
      <c r="A2698" t="inlineStr">
        <is>
          <t>샘플종목25</t>
        </is>
      </c>
      <c r="B2698" s="3" t="n">
        <v>45947</v>
      </c>
      <c r="C2698" t="n">
        <v>113344</v>
      </c>
      <c r="D2698" t="n">
        <v>4080467</v>
      </c>
      <c r="E2698">
        <f>IF(A2698="","",COUNTIFS($A$2:$A$20000,A2698,$B$2:$B$20000,"&gt;"&amp;B2698)+1)</f>
        <v/>
      </c>
    </row>
    <row r="2699">
      <c r="A2699" t="inlineStr">
        <is>
          <t>샘플종목25</t>
        </is>
      </c>
      <c r="B2699" s="3" t="n">
        <v>45954</v>
      </c>
      <c r="C2699" t="n">
        <v>112946</v>
      </c>
      <c r="D2699" t="n">
        <v>1951560</v>
      </c>
      <c r="E2699">
        <f>IF(A2699="","",COUNTIFS($A$2:$A$20000,A2699,$B$2:$B$20000,"&gt;"&amp;B2699)+1)</f>
        <v/>
      </c>
    </row>
    <row r="2700">
      <c r="A2700" t="inlineStr">
        <is>
          <t>샘플종목25</t>
        </is>
      </c>
      <c r="B2700" s="3" t="n">
        <v>45961</v>
      </c>
      <c r="C2700" t="n">
        <v>109024</v>
      </c>
      <c r="D2700" t="n">
        <v>3340708</v>
      </c>
      <c r="E2700">
        <f>IF(A2700="","",COUNTIFS($A$2:$A$20000,A2700,$B$2:$B$20000,"&gt;"&amp;B2700)+1)</f>
        <v/>
      </c>
    </row>
    <row r="2701">
      <c r="A2701" t="inlineStr">
        <is>
          <t>샘플종목25</t>
        </is>
      </c>
      <c r="B2701" s="3" t="n">
        <v>45968</v>
      </c>
      <c r="C2701" t="n">
        <v>100113</v>
      </c>
      <c r="D2701" t="n">
        <v>9841177</v>
      </c>
      <c r="E2701">
        <f>IF(A2701="","",COUNTIFS($A$2:$A$20000,A2701,$B$2:$B$20000,"&gt;"&amp;B2701)+1)</f>
        <v/>
      </c>
    </row>
    <row r="2702">
      <c r="A2702" t="inlineStr">
        <is>
          <t>샘플종목25</t>
        </is>
      </c>
      <c r="B2702" s="3" t="n">
        <v>45975</v>
      </c>
      <c r="C2702" t="n">
        <v>100258</v>
      </c>
      <c r="D2702" t="n">
        <v>926122</v>
      </c>
      <c r="E2702">
        <f>IF(A2702="","",COUNTIFS($A$2:$A$20000,A2702,$B$2:$B$20000,"&gt;"&amp;B2702)+1)</f>
        <v/>
      </c>
    </row>
    <row r="2703">
      <c r="A2703" t="inlineStr">
        <is>
          <t>샘플종목25</t>
        </is>
      </c>
      <c r="B2703" s="3" t="n">
        <v>45982</v>
      </c>
      <c r="C2703" t="n">
        <v>100226</v>
      </c>
      <c r="D2703" t="n">
        <v>7256265</v>
      </c>
      <c r="E2703">
        <f>IF(A2703="","",COUNTIFS($A$2:$A$20000,A2703,$B$2:$B$20000,"&gt;"&amp;B2703)+1)</f>
        <v/>
      </c>
    </row>
    <row r="2704">
      <c r="A2704" t="inlineStr">
        <is>
          <t>샘플종목25</t>
        </is>
      </c>
      <c r="B2704" s="3" t="n">
        <v>45989</v>
      </c>
      <c r="C2704" t="n">
        <v>103199</v>
      </c>
      <c r="D2704" t="n">
        <v>9637410</v>
      </c>
      <c r="E2704">
        <f>IF(A2704="","",COUNTIFS($A$2:$A$20000,A2704,$B$2:$B$20000,"&gt;"&amp;B2704)+1)</f>
        <v/>
      </c>
    </row>
    <row r="2705">
      <c r="A2705" t="inlineStr">
        <is>
          <t>샘플종목25</t>
        </is>
      </c>
      <c r="B2705" s="3" t="n">
        <v>45996</v>
      </c>
      <c r="C2705" t="n">
        <v>105157</v>
      </c>
      <c r="D2705" t="n">
        <v>248341</v>
      </c>
      <c r="E2705">
        <f>IF(A2705="","",COUNTIFS($A$2:$A$20000,A2705,$B$2:$B$20000,"&gt;"&amp;B2705)+1)</f>
        <v/>
      </c>
    </row>
    <row r="2706">
      <c r="A2706" t="inlineStr">
        <is>
          <t>샘플종목25</t>
        </is>
      </c>
      <c r="B2706" s="3" t="n">
        <v>46003</v>
      </c>
      <c r="C2706" t="n">
        <v>101480</v>
      </c>
      <c r="D2706" t="n">
        <v>9990256</v>
      </c>
      <c r="E2706">
        <f>IF(A2706="","",COUNTIFS($A$2:$A$20000,A2706,$B$2:$B$20000,"&gt;"&amp;B2706)+1)</f>
        <v/>
      </c>
    </row>
    <row r="2707">
      <c r="A2707" t="inlineStr">
        <is>
          <t>샘플종목25</t>
        </is>
      </c>
      <c r="B2707" s="3" t="n">
        <v>46010</v>
      </c>
      <c r="C2707" t="n">
        <v>101325</v>
      </c>
      <c r="D2707" t="n">
        <v>9038322</v>
      </c>
      <c r="E2707">
        <f>IF(A2707="","",COUNTIFS($A$2:$A$20000,A2707,$B$2:$B$20000,"&gt;"&amp;B2707)+1)</f>
        <v/>
      </c>
    </row>
    <row r="2708">
      <c r="A2708" t="inlineStr">
        <is>
          <t>샘플종목25</t>
        </is>
      </c>
      <c r="B2708" s="3" t="n">
        <v>46017</v>
      </c>
      <c r="C2708" t="n">
        <v>101823</v>
      </c>
      <c r="D2708" t="n">
        <v>3501230</v>
      </c>
      <c r="E2708">
        <f>IF(A2708="","",COUNTIFS($A$2:$A$20000,A2708,$B$2:$B$20000,"&gt;"&amp;B2708)+1)</f>
        <v/>
      </c>
    </row>
    <row r="2709">
      <c r="A2709" t="inlineStr">
        <is>
          <t>샘플종목25</t>
        </is>
      </c>
      <c r="B2709" s="3" t="n">
        <v>46024</v>
      </c>
      <c r="C2709" t="n">
        <v>101437</v>
      </c>
      <c r="D2709" t="n">
        <v>3107147</v>
      </c>
      <c r="E2709">
        <f>IF(A2709="","",COUNTIFS($A$2:$A$20000,A2709,$B$2:$B$20000,"&gt;"&amp;B2709)+1)</f>
        <v/>
      </c>
    </row>
    <row r="2710">
      <c r="A2710" t="inlineStr">
        <is>
          <t>샘플종목25</t>
        </is>
      </c>
      <c r="B2710" s="3" t="n">
        <v>46031</v>
      </c>
      <c r="C2710" t="n">
        <v>104043</v>
      </c>
      <c r="D2710" t="n">
        <v>3632785</v>
      </c>
      <c r="E2710">
        <f>IF(A2710="","",COUNTIFS($A$2:$A$20000,A2710,$B$2:$B$20000,"&gt;"&amp;B2710)+1)</f>
        <v/>
      </c>
    </row>
    <row r="2711">
      <c r="A2711" t="inlineStr">
        <is>
          <t>샘플종목25</t>
        </is>
      </c>
      <c r="B2711" s="3" t="n">
        <v>46038</v>
      </c>
      <c r="C2711" t="n">
        <v>102602</v>
      </c>
      <c r="D2711" t="n">
        <v>2140550</v>
      </c>
      <c r="E2711">
        <f>IF(A2711="","",COUNTIFS($A$2:$A$20000,A2711,$B$2:$B$20000,"&gt;"&amp;B2711)+1)</f>
        <v/>
      </c>
    </row>
    <row r="2712">
      <c r="A2712" t="inlineStr">
        <is>
          <t>샘플종목25</t>
        </is>
      </c>
      <c r="B2712" s="3" t="n">
        <v>46045</v>
      </c>
      <c r="C2712" t="n">
        <v>101881</v>
      </c>
      <c r="D2712" t="n">
        <v>8749694</v>
      </c>
      <c r="E2712">
        <f>IF(A2712="","",COUNTIFS($A$2:$A$20000,A2712,$B$2:$B$20000,"&gt;"&amp;B2712)+1)</f>
        <v/>
      </c>
    </row>
    <row r="2713">
      <c r="A2713" t="inlineStr">
        <is>
          <t>샘플종목25</t>
        </is>
      </c>
      <c r="B2713" s="3" t="n">
        <v>46052</v>
      </c>
      <c r="C2713" t="n">
        <v>110435</v>
      </c>
      <c r="D2713" t="n">
        <v>5527246</v>
      </c>
      <c r="E2713">
        <f>IF(A2713="","",COUNTIFS($A$2:$A$20000,A2713,$B$2:$B$20000,"&gt;"&amp;B2713)+1)</f>
        <v/>
      </c>
    </row>
    <row r="2714">
      <c r="A2714" t="inlineStr">
        <is>
          <t>샘플종목25</t>
        </is>
      </c>
      <c r="B2714" s="3" t="n">
        <v>46059</v>
      </c>
      <c r="C2714" t="n">
        <v>108677</v>
      </c>
      <c r="D2714" t="n">
        <v>551106</v>
      </c>
      <c r="E2714">
        <f>IF(A2714="","",COUNTIFS($A$2:$A$20000,A2714,$B$2:$B$20000,"&gt;"&amp;B2714)+1)</f>
        <v/>
      </c>
    </row>
    <row r="2715">
      <c r="A2715" t="inlineStr">
        <is>
          <t>샘플종목25</t>
        </is>
      </c>
      <c r="B2715" s="3" t="n">
        <v>46066</v>
      </c>
      <c r="C2715" t="n">
        <v>105082</v>
      </c>
      <c r="D2715" t="n">
        <v>1228794</v>
      </c>
      <c r="E2715">
        <f>IF(A2715="","",COUNTIFS($A$2:$A$20000,A2715,$B$2:$B$20000,"&gt;"&amp;B2715)+1)</f>
        <v/>
      </c>
    </row>
    <row r="2716">
      <c r="A2716" t="inlineStr">
        <is>
          <t>샘플종목25</t>
        </is>
      </c>
      <c r="B2716" s="3" t="n">
        <v>46073</v>
      </c>
      <c r="C2716" t="n">
        <v>99951</v>
      </c>
      <c r="D2716" t="n">
        <v>7221213</v>
      </c>
      <c r="E2716">
        <f>IF(A2716="","",COUNTIFS($A$2:$A$20000,A2716,$B$2:$B$20000,"&gt;"&amp;B2716)+1)</f>
        <v/>
      </c>
    </row>
    <row r="2717">
      <c r="A2717" t="inlineStr">
        <is>
          <t>샘플종목25</t>
        </is>
      </c>
      <c r="B2717" s="3" t="n">
        <v>46080</v>
      </c>
      <c r="C2717" t="n">
        <v>96625</v>
      </c>
      <c r="D2717" t="n">
        <v>1953919</v>
      </c>
      <c r="E2717">
        <f>IF(A2717="","",COUNTIFS($A$2:$A$20000,A2717,$B$2:$B$20000,"&gt;"&amp;B2717)+1)</f>
        <v/>
      </c>
    </row>
    <row r="2718">
      <c r="A2718" t="inlineStr">
        <is>
          <t>샘플종목25</t>
        </is>
      </c>
      <c r="B2718" s="3" t="n">
        <v>46087</v>
      </c>
      <c r="C2718" t="n">
        <v>100732</v>
      </c>
      <c r="D2718" t="n">
        <v>8730251</v>
      </c>
      <c r="E2718">
        <f>IF(A2718="","",COUNTIFS($A$2:$A$20000,A2718,$B$2:$B$20000,"&gt;"&amp;B2718)+1)</f>
        <v/>
      </c>
    </row>
    <row r="2719">
      <c r="A2719" t="inlineStr">
        <is>
          <t>샘플종목25</t>
        </is>
      </c>
      <c r="B2719" s="3" t="n">
        <v>46094</v>
      </c>
      <c r="C2719" t="n">
        <v>93467</v>
      </c>
      <c r="D2719" t="n">
        <v>2581714</v>
      </c>
      <c r="E2719">
        <f>IF(A2719="","",COUNTIFS($A$2:$A$20000,A2719,$B$2:$B$20000,"&gt;"&amp;B2719)+1)</f>
        <v/>
      </c>
    </row>
    <row r="2720">
      <c r="A2720" t="inlineStr">
        <is>
          <t>샘플종목25</t>
        </is>
      </c>
      <c r="B2720" s="3" t="n">
        <v>46101</v>
      </c>
      <c r="C2720" t="n">
        <v>86855</v>
      </c>
      <c r="D2720" t="n">
        <v>470361</v>
      </c>
      <c r="E2720">
        <f>IF(A2720="","",COUNTIFS($A$2:$A$20000,A2720,$B$2:$B$20000,"&gt;"&amp;B2720)+1)</f>
        <v/>
      </c>
    </row>
    <row r="2721">
      <c r="A2721" t="inlineStr">
        <is>
          <t>샘플종목25</t>
        </is>
      </c>
      <c r="B2721" s="3" t="n">
        <v>46108</v>
      </c>
      <c r="C2721" t="n">
        <v>90109</v>
      </c>
      <c r="D2721" t="n">
        <v>557189</v>
      </c>
      <c r="E2721">
        <f>IF(A2721="","",COUNTIFS($A$2:$A$20000,A2721,$B$2:$B$20000,"&gt;"&amp;B2721)+1)</f>
        <v/>
      </c>
    </row>
    <row r="2722">
      <c r="A2722" t="inlineStr">
        <is>
          <t>샘플종목25</t>
        </is>
      </c>
      <c r="B2722" s="3" t="n">
        <v>46115</v>
      </c>
      <c r="C2722" t="n">
        <v>101734</v>
      </c>
      <c r="D2722" t="n">
        <v>9014509</v>
      </c>
      <c r="E2722">
        <f>IF(A2722="","",COUNTIFS($A$2:$A$20000,A2722,$B$2:$B$20000,"&gt;"&amp;B2722)+1)</f>
        <v/>
      </c>
    </row>
    <row r="2723">
      <c r="A2723" t="inlineStr">
        <is>
          <t>샘플종목25</t>
        </is>
      </c>
      <c r="B2723" s="3" t="n">
        <v>46122</v>
      </c>
      <c r="C2723" t="n">
        <v>101445</v>
      </c>
      <c r="D2723" t="n">
        <v>6562620</v>
      </c>
      <c r="E2723">
        <f>IF(A2723="","",COUNTIFS($A$2:$A$20000,A2723,$B$2:$B$20000,"&gt;"&amp;B2723)+1)</f>
        <v/>
      </c>
    </row>
    <row r="2724">
      <c r="A2724" t="inlineStr">
        <is>
          <t>샘플종목25</t>
        </is>
      </c>
      <c r="B2724" s="3" t="n">
        <v>46129</v>
      </c>
      <c r="C2724" t="n">
        <v>105108</v>
      </c>
      <c r="D2724" t="n">
        <v>9348681</v>
      </c>
      <c r="E2724">
        <f>IF(A2724="","",COUNTIFS($A$2:$A$20000,A2724,$B$2:$B$20000,"&gt;"&amp;B2724)+1)</f>
        <v/>
      </c>
    </row>
    <row r="2725">
      <c r="A2725" t="inlineStr">
        <is>
          <t>샘플종목25</t>
        </is>
      </c>
      <c r="B2725" s="3" t="n">
        <v>46136</v>
      </c>
      <c r="C2725" t="n">
        <v>111056</v>
      </c>
      <c r="D2725" t="n">
        <v>2338038</v>
      </c>
      <c r="E2725">
        <f>IF(A2725="","",COUNTIFS($A$2:$A$20000,A2725,$B$2:$B$20000,"&gt;"&amp;B2725)+1)</f>
        <v/>
      </c>
    </row>
    <row r="2726">
      <c r="A2726" t="inlineStr">
        <is>
          <t>샘플종목25</t>
        </is>
      </c>
      <c r="B2726" s="3" t="n">
        <v>46143</v>
      </c>
      <c r="C2726" t="n">
        <v>105247</v>
      </c>
      <c r="D2726" t="n">
        <v>4379352</v>
      </c>
      <c r="E2726">
        <f>IF(A2726="","",COUNTIFS($A$2:$A$20000,A2726,$B$2:$B$20000,"&gt;"&amp;B2726)+1)</f>
        <v/>
      </c>
    </row>
    <row r="2727">
      <c r="A2727" t="inlineStr">
        <is>
          <t>샘플종목25</t>
        </is>
      </c>
      <c r="B2727" s="3" t="n">
        <v>46150</v>
      </c>
      <c r="C2727" t="n">
        <v>112456</v>
      </c>
      <c r="D2727" t="n">
        <v>9218810</v>
      </c>
      <c r="E2727">
        <f>IF(A2727="","",COUNTIFS($A$2:$A$20000,A2727,$B$2:$B$20000,"&gt;"&amp;B2727)+1)</f>
        <v/>
      </c>
    </row>
    <row r="2728">
      <c r="A2728" t="inlineStr">
        <is>
          <t>샘플종목25</t>
        </is>
      </c>
      <c r="B2728" s="3" t="n">
        <v>46157</v>
      </c>
      <c r="C2728" t="n">
        <v>114342</v>
      </c>
      <c r="D2728" t="n">
        <v>2605944</v>
      </c>
      <c r="E2728">
        <f>IF(A2728="","",COUNTIFS($A$2:$A$20000,A2728,$B$2:$B$20000,"&gt;"&amp;B2728)+1)</f>
        <v/>
      </c>
    </row>
    <row r="2729">
      <c r="A2729" t="inlineStr">
        <is>
          <t>샘플종목25</t>
        </is>
      </c>
      <c r="B2729" s="3" t="n">
        <v>46164</v>
      </c>
      <c r="C2729" t="n">
        <v>116656</v>
      </c>
      <c r="D2729" t="n">
        <v>1952158</v>
      </c>
      <c r="E2729">
        <f>IF(A2729="","",COUNTIFS($A$2:$A$20000,A2729,$B$2:$B$20000,"&gt;"&amp;B2729)+1)</f>
        <v/>
      </c>
    </row>
    <row r="2730">
      <c r="A2730" t="inlineStr">
        <is>
          <t>샘플종목25</t>
        </is>
      </c>
      <c r="B2730" s="3" t="n">
        <v>46171</v>
      </c>
      <c r="C2730" t="n">
        <v>109770</v>
      </c>
      <c r="D2730" t="n">
        <v>2784950</v>
      </c>
      <c r="E2730">
        <f>IF(A2730="","",COUNTIFS($A$2:$A$20000,A2730,$B$2:$B$20000,"&gt;"&amp;B2730)+1)</f>
        <v/>
      </c>
    </row>
    <row r="2731">
      <c r="A2731" t="inlineStr">
        <is>
          <t>샘플종목25</t>
        </is>
      </c>
      <c r="B2731" s="3" t="n">
        <v>46178</v>
      </c>
      <c r="C2731" t="n">
        <v>105825</v>
      </c>
      <c r="D2731" t="n">
        <v>5288936</v>
      </c>
      <c r="E2731">
        <f>IF(A2731="","",COUNTIFS($A$2:$A$20000,A2731,$B$2:$B$20000,"&gt;"&amp;B2731)+1)</f>
        <v/>
      </c>
    </row>
    <row r="2732">
      <c r="A2732" t="inlineStr">
        <is>
          <t>샘플종목25</t>
        </is>
      </c>
      <c r="B2732" s="3" t="n">
        <v>46185</v>
      </c>
      <c r="C2732" t="n">
        <v>100504</v>
      </c>
      <c r="D2732" t="n">
        <v>9503028</v>
      </c>
      <c r="E2732">
        <f>IF(A2732="","",COUNTIFS($A$2:$A$20000,A2732,$B$2:$B$20000,"&gt;"&amp;B2732)+1)</f>
        <v/>
      </c>
    </row>
    <row r="2733">
      <c r="A2733" t="inlineStr">
        <is>
          <t>샘플종목25</t>
        </is>
      </c>
      <c r="B2733" s="3" t="n">
        <v>46192</v>
      </c>
      <c r="C2733" t="n">
        <v>100613</v>
      </c>
      <c r="D2733" t="n">
        <v>8431191</v>
      </c>
      <c r="E2733">
        <f>IF(A2733="","",COUNTIFS($A$2:$A$20000,A2733,$B$2:$B$20000,"&gt;"&amp;B2733)+1)</f>
        <v/>
      </c>
    </row>
    <row r="2734">
      <c r="A2734" t="inlineStr">
        <is>
          <t>샘플종목25</t>
        </is>
      </c>
      <c r="B2734" s="3" t="n">
        <v>46199</v>
      </c>
      <c r="C2734" t="n">
        <v>96513</v>
      </c>
      <c r="D2734" t="n">
        <v>353646</v>
      </c>
      <c r="E2734">
        <f>IF(A2734="","",COUNTIFS($A$2:$A$20000,A2734,$B$2:$B$20000,"&gt;"&amp;B2734)+1)</f>
        <v/>
      </c>
    </row>
    <row r="2735">
      <c r="A2735" t="inlineStr">
        <is>
          <t>샘플종목25</t>
        </is>
      </c>
      <c r="B2735" s="3" t="n">
        <v>46206</v>
      </c>
      <c r="C2735" t="n">
        <v>99227</v>
      </c>
      <c r="D2735" t="n">
        <v>1074647</v>
      </c>
      <c r="E2735">
        <f>IF(A2735="","",COUNTIFS($A$2:$A$20000,A2735,$B$2:$B$20000,"&gt;"&amp;B2735)+1)</f>
        <v/>
      </c>
    </row>
    <row r="2736">
      <c r="A2736" t="inlineStr">
        <is>
          <t>샘플종목25</t>
        </is>
      </c>
      <c r="B2736" s="3" t="n">
        <v>46213</v>
      </c>
      <c r="C2736" t="n">
        <v>99615</v>
      </c>
      <c r="D2736" t="n">
        <v>196391</v>
      </c>
      <c r="E2736">
        <f>IF(A2736="","",COUNTIFS($A$2:$A$20000,A2736,$B$2:$B$20000,"&gt;"&amp;B2736)+1)</f>
        <v/>
      </c>
    </row>
    <row r="2737">
      <c r="A2737" t="inlineStr">
        <is>
          <t>샘플종목25</t>
        </is>
      </c>
      <c r="B2737" s="3" t="n">
        <v>46220</v>
      </c>
      <c r="C2737" t="n">
        <v>101998</v>
      </c>
      <c r="D2737" t="n">
        <v>4158616</v>
      </c>
      <c r="E2737">
        <f>IF(A2737="","",COUNTIFS($A$2:$A$20000,A2737,$B$2:$B$20000,"&gt;"&amp;B2737)+1)</f>
        <v/>
      </c>
    </row>
    <row r="2738">
      <c r="A2738" t="inlineStr">
        <is>
          <t>샘플종목25</t>
        </is>
      </c>
      <c r="B2738" s="3" t="n">
        <v>46227</v>
      </c>
      <c r="C2738" t="n">
        <v>105239</v>
      </c>
      <c r="D2738" t="n">
        <v>1653288</v>
      </c>
      <c r="E2738">
        <f>IF(A2738="","",COUNTIFS($A$2:$A$20000,A2738,$B$2:$B$20000,"&gt;"&amp;B2738)+1)</f>
        <v/>
      </c>
    </row>
    <row r="2739">
      <c r="A2739" t="inlineStr">
        <is>
          <t>샘플종목25</t>
        </is>
      </c>
      <c r="B2739" s="3" t="n">
        <v>46234</v>
      </c>
      <c r="C2739" t="n">
        <v>103030</v>
      </c>
      <c r="D2739" t="n">
        <v>8110250</v>
      </c>
      <c r="E2739">
        <f>IF(A2739="","",COUNTIFS($A$2:$A$20000,A2739,$B$2:$B$20000,"&gt;"&amp;B2739)+1)</f>
        <v/>
      </c>
    </row>
    <row r="2740">
      <c r="A2740" t="inlineStr">
        <is>
          <t>샘플종목25</t>
        </is>
      </c>
      <c r="B2740" s="3" t="n">
        <v>46241</v>
      </c>
      <c r="C2740" t="n">
        <v>99536</v>
      </c>
      <c r="D2740" t="n">
        <v>8092144</v>
      </c>
      <c r="E2740">
        <f>IF(A2740="","",COUNTIFS($A$2:$A$20000,A2740,$B$2:$B$20000,"&gt;"&amp;B2740)+1)</f>
        <v/>
      </c>
    </row>
    <row r="2741">
      <c r="A2741" t="inlineStr">
        <is>
          <t>샘플종목25</t>
        </is>
      </c>
      <c r="B2741" s="3" t="n">
        <v>46248</v>
      </c>
      <c r="C2741" t="n">
        <v>97498</v>
      </c>
      <c r="D2741" t="n">
        <v>797442</v>
      </c>
      <c r="E2741">
        <f>IF(A2741="","",COUNTIFS($A$2:$A$20000,A2741,$B$2:$B$20000,"&gt;"&amp;B2741)+1)</f>
        <v/>
      </c>
    </row>
    <row r="2742">
      <c r="A2742" t="inlineStr">
        <is>
          <t>샘플종목25</t>
        </is>
      </c>
      <c r="B2742" s="3" t="n">
        <v>46255</v>
      </c>
      <c r="C2742" t="n">
        <v>98698</v>
      </c>
      <c r="D2742" t="n">
        <v>921246</v>
      </c>
      <c r="E2742">
        <f>IF(A2742="","",COUNTIFS($A$2:$A$20000,A2742,$B$2:$B$20000,"&gt;"&amp;B2742)+1)</f>
        <v/>
      </c>
    </row>
    <row r="2743">
      <c r="A2743" t="inlineStr">
        <is>
          <t>샘플종목25</t>
        </is>
      </c>
      <c r="B2743" s="3" t="n">
        <v>46262</v>
      </c>
      <c r="C2743" t="n">
        <v>104685</v>
      </c>
      <c r="D2743" t="n">
        <v>7693801</v>
      </c>
      <c r="E2743">
        <f>IF(A2743="","",COUNTIFS($A$2:$A$20000,A2743,$B$2:$B$20000,"&gt;"&amp;B2743)+1)</f>
        <v/>
      </c>
    </row>
    <row r="2744">
      <c r="A2744" t="inlineStr">
        <is>
          <t>샘플종목25</t>
        </is>
      </c>
      <c r="B2744" s="3" t="n">
        <v>46269</v>
      </c>
      <c r="C2744" t="n">
        <v>107979</v>
      </c>
      <c r="D2744" t="n">
        <v>731057</v>
      </c>
      <c r="E2744">
        <f>IF(A2744="","",COUNTIFS($A$2:$A$20000,A2744,$B$2:$B$20000,"&gt;"&amp;B2744)+1)</f>
        <v/>
      </c>
    </row>
    <row r="2745">
      <c r="A2745" t="inlineStr">
        <is>
          <t>샘플종목25</t>
        </is>
      </c>
      <c r="B2745" s="3" t="n">
        <v>46276</v>
      </c>
      <c r="C2745" t="n">
        <v>107951</v>
      </c>
      <c r="D2745" t="n">
        <v>3135246</v>
      </c>
      <c r="E2745">
        <f>IF(A2745="","",COUNTIFS($A$2:$A$20000,A2745,$B$2:$B$20000,"&gt;"&amp;B2745)+1)</f>
        <v/>
      </c>
    </row>
    <row r="2746">
      <c r="A2746" t="inlineStr">
        <is>
          <t>샘플종목25</t>
        </is>
      </c>
      <c r="B2746" s="3" t="n">
        <v>46283</v>
      </c>
      <c r="C2746" t="n">
        <v>109237</v>
      </c>
      <c r="D2746" t="n">
        <v>5663923</v>
      </c>
      <c r="E2746">
        <f>IF(A2746="","",COUNTIFS($A$2:$A$20000,A2746,$B$2:$B$20000,"&gt;"&amp;B2746)+1)</f>
        <v/>
      </c>
    </row>
    <row r="2747">
      <c r="A2747" t="inlineStr">
        <is>
          <t>샘플종목25</t>
        </is>
      </c>
      <c r="B2747" s="3" t="n">
        <v>46290</v>
      </c>
      <c r="C2747" t="n">
        <v>112667</v>
      </c>
      <c r="D2747" t="n">
        <v>1590622</v>
      </c>
      <c r="E2747">
        <f>IF(A2747="","",COUNTIFS($A$2:$A$20000,A2747,$B$2:$B$20000,"&gt;"&amp;B2747)+1)</f>
        <v/>
      </c>
    </row>
    <row r="2748">
      <c r="A2748" t="inlineStr">
        <is>
          <t>샘플종목25</t>
        </is>
      </c>
      <c r="B2748" s="3" t="n">
        <v>46297</v>
      </c>
      <c r="C2748" t="n">
        <v>111925</v>
      </c>
      <c r="D2748" t="n">
        <v>5276120</v>
      </c>
      <c r="E2748">
        <f>IF(A2748="","",COUNTIFS($A$2:$A$20000,A2748,$B$2:$B$20000,"&gt;"&amp;B2748)+1)</f>
        <v/>
      </c>
    </row>
    <row r="2749">
      <c r="A2749" t="inlineStr">
        <is>
          <t>샘플종목25</t>
        </is>
      </c>
      <c r="B2749" s="3" t="n">
        <v>46304</v>
      </c>
      <c r="C2749" t="n">
        <v>113688</v>
      </c>
      <c r="D2749" t="n">
        <v>1344674</v>
      </c>
      <c r="E2749">
        <f>IF(A2749="","",COUNTIFS($A$2:$A$20000,A2749,$B$2:$B$20000,"&gt;"&amp;B2749)+1)</f>
        <v/>
      </c>
    </row>
    <row r="2750">
      <c r="A2750" t="inlineStr">
        <is>
          <t>샘플종목25</t>
        </is>
      </c>
      <c r="B2750" s="3" t="n">
        <v>46311</v>
      </c>
      <c r="C2750" t="n">
        <v>103265</v>
      </c>
      <c r="D2750" t="n">
        <v>4200076</v>
      </c>
      <c r="E2750">
        <f>IF(A2750="","",COUNTIFS($A$2:$A$20000,A2750,$B$2:$B$20000,"&gt;"&amp;B2750)+1)</f>
        <v/>
      </c>
    </row>
    <row r="2751">
      <c r="A2751" t="inlineStr">
        <is>
          <t>샘플종목25</t>
        </is>
      </c>
      <c r="B2751" s="3" t="n">
        <v>46318</v>
      </c>
      <c r="C2751" t="n">
        <v>102731</v>
      </c>
      <c r="D2751" t="n">
        <v>2695401</v>
      </c>
      <c r="E2751">
        <f>IF(A2751="","",COUNTIFS($A$2:$A$20000,A2751,$B$2:$B$20000,"&gt;"&amp;B2751)+1)</f>
        <v/>
      </c>
    </row>
    <row r="2752">
      <c r="A2752" t="inlineStr">
        <is>
          <t>샘플종목26</t>
        </is>
      </c>
      <c r="B2752" s="3" t="n">
        <v>45555</v>
      </c>
      <c r="C2752" t="n">
        <v>35382</v>
      </c>
      <c r="D2752" t="n">
        <v>1881128</v>
      </c>
      <c r="E2752">
        <f>IF(A2752="","",COUNTIFS($A$2:$A$20000,A2752,$B$2:$B$20000,"&gt;"&amp;B2752)+1)</f>
        <v/>
      </c>
    </row>
    <row r="2753">
      <c r="A2753" t="inlineStr">
        <is>
          <t>샘플종목26</t>
        </is>
      </c>
      <c r="B2753" s="3" t="n">
        <v>45562</v>
      </c>
      <c r="C2753" t="n">
        <v>36812</v>
      </c>
      <c r="D2753" t="n">
        <v>8715885</v>
      </c>
      <c r="E2753">
        <f>IF(A2753="","",COUNTIFS($A$2:$A$20000,A2753,$B$2:$B$20000,"&gt;"&amp;B2753)+1)</f>
        <v/>
      </c>
    </row>
    <row r="2754">
      <c r="A2754" t="inlineStr">
        <is>
          <t>샘플종목26</t>
        </is>
      </c>
      <c r="B2754" s="3" t="n">
        <v>45569</v>
      </c>
      <c r="C2754" t="n">
        <v>36085</v>
      </c>
      <c r="D2754" t="n">
        <v>861954</v>
      </c>
      <c r="E2754">
        <f>IF(A2754="","",COUNTIFS($A$2:$A$20000,A2754,$B$2:$B$20000,"&gt;"&amp;B2754)+1)</f>
        <v/>
      </c>
    </row>
    <row r="2755">
      <c r="A2755" t="inlineStr">
        <is>
          <t>샘플종목26</t>
        </is>
      </c>
      <c r="B2755" s="3" t="n">
        <v>45576</v>
      </c>
      <c r="C2755" t="n">
        <v>36533</v>
      </c>
      <c r="D2755" t="n">
        <v>8451069</v>
      </c>
      <c r="E2755">
        <f>IF(A2755="","",COUNTIFS($A$2:$A$20000,A2755,$B$2:$B$20000,"&gt;"&amp;B2755)+1)</f>
        <v/>
      </c>
    </row>
    <row r="2756">
      <c r="A2756" t="inlineStr">
        <is>
          <t>샘플종목26</t>
        </is>
      </c>
      <c r="B2756" s="3" t="n">
        <v>45583</v>
      </c>
      <c r="C2756" t="n">
        <v>38643</v>
      </c>
      <c r="D2756" t="n">
        <v>2727050</v>
      </c>
      <c r="E2756">
        <f>IF(A2756="","",COUNTIFS($A$2:$A$20000,A2756,$B$2:$B$20000,"&gt;"&amp;B2756)+1)</f>
        <v/>
      </c>
    </row>
    <row r="2757">
      <c r="A2757" t="inlineStr">
        <is>
          <t>샘플종목26</t>
        </is>
      </c>
      <c r="B2757" s="3" t="n">
        <v>45590</v>
      </c>
      <c r="C2757" t="n">
        <v>40805</v>
      </c>
      <c r="D2757" t="n">
        <v>1079576</v>
      </c>
      <c r="E2757">
        <f>IF(A2757="","",COUNTIFS($A$2:$A$20000,A2757,$B$2:$B$20000,"&gt;"&amp;B2757)+1)</f>
        <v/>
      </c>
    </row>
    <row r="2758">
      <c r="A2758" t="inlineStr">
        <is>
          <t>샘플종목26</t>
        </is>
      </c>
      <c r="B2758" s="3" t="n">
        <v>45597</v>
      </c>
      <c r="C2758" t="n">
        <v>40786</v>
      </c>
      <c r="D2758" t="n">
        <v>901483</v>
      </c>
      <c r="E2758">
        <f>IF(A2758="","",COUNTIFS($A$2:$A$20000,A2758,$B$2:$B$20000,"&gt;"&amp;B2758)+1)</f>
        <v/>
      </c>
    </row>
    <row r="2759">
      <c r="A2759" t="inlineStr">
        <is>
          <t>샘플종목26</t>
        </is>
      </c>
      <c r="B2759" s="3" t="n">
        <v>45604</v>
      </c>
      <c r="C2759" t="n">
        <v>41320</v>
      </c>
      <c r="D2759" t="n">
        <v>1818976</v>
      </c>
      <c r="E2759">
        <f>IF(A2759="","",COUNTIFS($A$2:$A$20000,A2759,$B$2:$B$20000,"&gt;"&amp;B2759)+1)</f>
        <v/>
      </c>
    </row>
    <row r="2760">
      <c r="A2760" t="inlineStr">
        <is>
          <t>샘플종목26</t>
        </is>
      </c>
      <c r="B2760" s="3" t="n">
        <v>45611</v>
      </c>
      <c r="C2760" t="n">
        <v>38682</v>
      </c>
      <c r="D2760" t="n">
        <v>3308809</v>
      </c>
      <c r="E2760">
        <f>IF(A2760="","",COUNTIFS($A$2:$A$20000,A2760,$B$2:$B$20000,"&gt;"&amp;B2760)+1)</f>
        <v/>
      </c>
    </row>
    <row r="2761">
      <c r="A2761" t="inlineStr">
        <is>
          <t>샘플종목26</t>
        </is>
      </c>
      <c r="B2761" s="3" t="n">
        <v>45618</v>
      </c>
      <c r="C2761" t="n">
        <v>38423</v>
      </c>
      <c r="D2761" t="n">
        <v>8667104</v>
      </c>
      <c r="E2761">
        <f>IF(A2761="","",COUNTIFS($A$2:$A$20000,A2761,$B$2:$B$20000,"&gt;"&amp;B2761)+1)</f>
        <v/>
      </c>
    </row>
    <row r="2762">
      <c r="A2762" t="inlineStr">
        <is>
          <t>샘플종목26</t>
        </is>
      </c>
      <c r="B2762" s="3" t="n">
        <v>45625</v>
      </c>
      <c r="C2762" t="n">
        <v>37585</v>
      </c>
      <c r="D2762" t="n">
        <v>3614381</v>
      </c>
      <c r="E2762">
        <f>IF(A2762="","",COUNTIFS($A$2:$A$20000,A2762,$B$2:$B$20000,"&gt;"&amp;B2762)+1)</f>
        <v/>
      </c>
    </row>
    <row r="2763">
      <c r="A2763" t="inlineStr">
        <is>
          <t>샘플종목26</t>
        </is>
      </c>
      <c r="B2763" s="3" t="n">
        <v>45632</v>
      </c>
      <c r="C2763" t="n">
        <v>38273</v>
      </c>
      <c r="D2763" t="n">
        <v>7369585</v>
      </c>
      <c r="E2763">
        <f>IF(A2763="","",COUNTIFS($A$2:$A$20000,A2763,$B$2:$B$20000,"&gt;"&amp;B2763)+1)</f>
        <v/>
      </c>
    </row>
    <row r="2764">
      <c r="A2764" t="inlineStr">
        <is>
          <t>샘플종목26</t>
        </is>
      </c>
      <c r="B2764" s="3" t="n">
        <v>45639</v>
      </c>
      <c r="C2764" t="n">
        <v>38255</v>
      </c>
      <c r="D2764" t="n">
        <v>4129296</v>
      </c>
      <c r="E2764">
        <f>IF(A2764="","",COUNTIFS($A$2:$A$20000,A2764,$B$2:$B$20000,"&gt;"&amp;B2764)+1)</f>
        <v/>
      </c>
    </row>
    <row r="2765">
      <c r="A2765" t="inlineStr">
        <is>
          <t>샘플종목26</t>
        </is>
      </c>
      <c r="B2765" s="3" t="n">
        <v>45646</v>
      </c>
      <c r="C2765" t="n">
        <v>40011</v>
      </c>
      <c r="D2765" t="n">
        <v>7936304</v>
      </c>
      <c r="E2765">
        <f>IF(A2765="","",COUNTIFS($A$2:$A$20000,A2765,$B$2:$B$20000,"&gt;"&amp;B2765)+1)</f>
        <v/>
      </c>
    </row>
    <row r="2766">
      <c r="A2766" t="inlineStr">
        <is>
          <t>샘플종목26</t>
        </is>
      </c>
      <c r="B2766" s="3" t="n">
        <v>45653</v>
      </c>
      <c r="C2766" t="n">
        <v>41227</v>
      </c>
      <c r="D2766" t="n">
        <v>6783573</v>
      </c>
      <c r="E2766">
        <f>IF(A2766="","",COUNTIFS($A$2:$A$20000,A2766,$B$2:$B$20000,"&gt;"&amp;B2766)+1)</f>
        <v/>
      </c>
    </row>
    <row r="2767">
      <c r="A2767" t="inlineStr">
        <is>
          <t>샘플종목26</t>
        </is>
      </c>
      <c r="B2767" s="3" t="n">
        <v>45660</v>
      </c>
      <c r="C2767" t="n">
        <v>41336</v>
      </c>
      <c r="D2767" t="n">
        <v>1794036</v>
      </c>
      <c r="E2767">
        <f>IF(A2767="","",COUNTIFS($A$2:$A$20000,A2767,$B$2:$B$20000,"&gt;"&amp;B2767)+1)</f>
        <v/>
      </c>
    </row>
    <row r="2768">
      <c r="A2768" t="inlineStr">
        <is>
          <t>샘플종목26</t>
        </is>
      </c>
      <c r="B2768" s="3" t="n">
        <v>45667</v>
      </c>
      <c r="C2768" t="n">
        <v>41645</v>
      </c>
      <c r="D2768" t="n">
        <v>4926560</v>
      </c>
      <c r="E2768">
        <f>IF(A2768="","",COUNTIFS($A$2:$A$20000,A2768,$B$2:$B$20000,"&gt;"&amp;B2768)+1)</f>
        <v/>
      </c>
    </row>
    <row r="2769">
      <c r="A2769" t="inlineStr">
        <is>
          <t>샘플종목26</t>
        </is>
      </c>
      <c r="B2769" s="3" t="n">
        <v>45674</v>
      </c>
      <c r="C2769" t="n">
        <v>42405</v>
      </c>
      <c r="D2769" t="n">
        <v>6212391</v>
      </c>
      <c r="E2769">
        <f>IF(A2769="","",COUNTIFS($A$2:$A$20000,A2769,$B$2:$B$20000,"&gt;"&amp;B2769)+1)</f>
        <v/>
      </c>
    </row>
    <row r="2770">
      <c r="A2770" t="inlineStr">
        <is>
          <t>샘플종목26</t>
        </is>
      </c>
      <c r="B2770" s="3" t="n">
        <v>45681</v>
      </c>
      <c r="C2770" t="n">
        <v>41810</v>
      </c>
      <c r="D2770" t="n">
        <v>5639461</v>
      </c>
      <c r="E2770">
        <f>IF(A2770="","",COUNTIFS($A$2:$A$20000,A2770,$B$2:$B$20000,"&gt;"&amp;B2770)+1)</f>
        <v/>
      </c>
    </row>
    <row r="2771">
      <c r="A2771" t="inlineStr">
        <is>
          <t>샘플종목26</t>
        </is>
      </c>
      <c r="B2771" s="3" t="n">
        <v>45688</v>
      </c>
      <c r="C2771" t="n">
        <v>43027</v>
      </c>
      <c r="D2771" t="n">
        <v>3834459</v>
      </c>
      <c r="E2771">
        <f>IF(A2771="","",COUNTIFS($A$2:$A$20000,A2771,$B$2:$B$20000,"&gt;"&amp;B2771)+1)</f>
        <v/>
      </c>
    </row>
    <row r="2772">
      <c r="A2772" t="inlineStr">
        <is>
          <t>샘플종목26</t>
        </is>
      </c>
      <c r="B2772" s="3" t="n">
        <v>45695</v>
      </c>
      <c r="C2772" t="n">
        <v>44849</v>
      </c>
      <c r="D2772" t="n">
        <v>7326101</v>
      </c>
      <c r="E2772">
        <f>IF(A2772="","",COUNTIFS($A$2:$A$20000,A2772,$B$2:$B$20000,"&gt;"&amp;B2772)+1)</f>
        <v/>
      </c>
    </row>
    <row r="2773">
      <c r="A2773" t="inlineStr">
        <is>
          <t>샘플종목26</t>
        </is>
      </c>
      <c r="B2773" s="3" t="n">
        <v>45702</v>
      </c>
      <c r="C2773" t="n">
        <v>45378</v>
      </c>
      <c r="D2773" t="n">
        <v>1259407</v>
      </c>
      <c r="E2773">
        <f>IF(A2773="","",COUNTIFS($A$2:$A$20000,A2773,$B$2:$B$20000,"&gt;"&amp;B2773)+1)</f>
        <v/>
      </c>
    </row>
    <row r="2774">
      <c r="A2774" t="inlineStr">
        <is>
          <t>샘플종목26</t>
        </is>
      </c>
      <c r="B2774" s="3" t="n">
        <v>45709</v>
      </c>
      <c r="C2774" t="n">
        <v>45856</v>
      </c>
      <c r="D2774" t="n">
        <v>9210257</v>
      </c>
      <c r="E2774">
        <f>IF(A2774="","",COUNTIFS($A$2:$A$20000,A2774,$B$2:$B$20000,"&gt;"&amp;B2774)+1)</f>
        <v/>
      </c>
    </row>
    <row r="2775">
      <c r="A2775" t="inlineStr">
        <is>
          <t>샘플종목26</t>
        </is>
      </c>
      <c r="B2775" s="3" t="n">
        <v>45716</v>
      </c>
      <c r="C2775" t="n">
        <v>46530</v>
      </c>
      <c r="D2775" t="n">
        <v>3319610</v>
      </c>
      <c r="E2775">
        <f>IF(A2775="","",COUNTIFS($A$2:$A$20000,A2775,$B$2:$B$20000,"&gt;"&amp;B2775)+1)</f>
        <v/>
      </c>
    </row>
    <row r="2776">
      <c r="A2776" t="inlineStr">
        <is>
          <t>샘플종목26</t>
        </is>
      </c>
      <c r="B2776" s="3" t="n">
        <v>45723</v>
      </c>
      <c r="C2776" t="n">
        <v>50798</v>
      </c>
      <c r="D2776" t="n">
        <v>1775706</v>
      </c>
      <c r="E2776">
        <f>IF(A2776="","",COUNTIFS($A$2:$A$20000,A2776,$B$2:$B$20000,"&gt;"&amp;B2776)+1)</f>
        <v/>
      </c>
    </row>
    <row r="2777">
      <c r="A2777" t="inlineStr">
        <is>
          <t>샘플종목26</t>
        </is>
      </c>
      <c r="B2777" s="3" t="n">
        <v>45730</v>
      </c>
      <c r="C2777" t="n">
        <v>50630</v>
      </c>
      <c r="D2777" t="n">
        <v>6516194</v>
      </c>
      <c r="E2777">
        <f>IF(A2777="","",COUNTIFS($A$2:$A$20000,A2777,$B$2:$B$20000,"&gt;"&amp;B2777)+1)</f>
        <v/>
      </c>
    </row>
    <row r="2778">
      <c r="A2778" t="inlineStr">
        <is>
          <t>샘플종목26</t>
        </is>
      </c>
      <c r="B2778" s="3" t="n">
        <v>45737</v>
      </c>
      <c r="C2778" t="n">
        <v>48387</v>
      </c>
      <c r="D2778" t="n">
        <v>3355094</v>
      </c>
      <c r="E2778">
        <f>IF(A2778="","",COUNTIFS($A$2:$A$20000,A2778,$B$2:$B$20000,"&gt;"&amp;B2778)+1)</f>
        <v/>
      </c>
    </row>
    <row r="2779">
      <c r="A2779" t="inlineStr">
        <is>
          <t>샘플종목26</t>
        </is>
      </c>
      <c r="B2779" s="3" t="n">
        <v>45744</v>
      </c>
      <c r="C2779" t="n">
        <v>48451</v>
      </c>
      <c r="D2779" t="n">
        <v>1764252</v>
      </c>
      <c r="E2779">
        <f>IF(A2779="","",COUNTIFS($A$2:$A$20000,A2779,$B$2:$B$20000,"&gt;"&amp;B2779)+1)</f>
        <v/>
      </c>
    </row>
    <row r="2780">
      <c r="A2780" t="inlineStr">
        <is>
          <t>샘플종목26</t>
        </is>
      </c>
      <c r="B2780" s="3" t="n">
        <v>45751</v>
      </c>
      <c r="C2780" t="n">
        <v>47454</v>
      </c>
      <c r="D2780" t="n">
        <v>7614181</v>
      </c>
      <c r="E2780">
        <f>IF(A2780="","",COUNTIFS($A$2:$A$20000,A2780,$B$2:$B$20000,"&gt;"&amp;B2780)+1)</f>
        <v/>
      </c>
    </row>
    <row r="2781">
      <c r="A2781" t="inlineStr">
        <is>
          <t>샘플종목26</t>
        </is>
      </c>
      <c r="B2781" s="3" t="n">
        <v>45758</v>
      </c>
      <c r="C2781" t="n">
        <v>45604</v>
      </c>
      <c r="D2781" t="n">
        <v>4997978</v>
      </c>
      <c r="E2781">
        <f>IF(A2781="","",COUNTIFS($A$2:$A$20000,A2781,$B$2:$B$20000,"&gt;"&amp;B2781)+1)</f>
        <v/>
      </c>
    </row>
    <row r="2782">
      <c r="A2782" t="inlineStr">
        <is>
          <t>샘플종목26</t>
        </is>
      </c>
      <c r="B2782" s="3" t="n">
        <v>45765</v>
      </c>
      <c r="C2782" t="n">
        <v>47938</v>
      </c>
      <c r="D2782" t="n">
        <v>8044234</v>
      </c>
      <c r="E2782">
        <f>IF(A2782="","",COUNTIFS($A$2:$A$20000,A2782,$B$2:$B$20000,"&gt;"&amp;B2782)+1)</f>
        <v/>
      </c>
    </row>
    <row r="2783">
      <c r="A2783" t="inlineStr">
        <is>
          <t>샘플종목26</t>
        </is>
      </c>
      <c r="B2783" s="3" t="n">
        <v>45772</v>
      </c>
      <c r="C2783" t="n">
        <v>49027</v>
      </c>
      <c r="D2783" t="n">
        <v>2229333</v>
      </c>
      <c r="E2783">
        <f>IF(A2783="","",COUNTIFS($A$2:$A$20000,A2783,$B$2:$B$20000,"&gt;"&amp;B2783)+1)</f>
        <v/>
      </c>
    </row>
    <row r="2784">
      <c r="A2784" t="inlineStr">
        <is>
          <t>샘플종목26</t>
        </is>
      </c>
      <c r="B2784" s="3" t="n">
        <v>45779</v>
      </c>
      <c r="C2784" t="n">
        <v>50548</v>
      </c>
      <c r="D2784" t="n">
        <v>2231622</v>
      </c>
      <c r="E2784">
        <f>IF(A2784="","",COUNTIFS($A$2:$A$20000,A2784,$B$2:$B$20000,"&gt;"&amp;B2784)+1)</f>
        <v/>
      </c>
    </row>
    <row r="2785">
      <c r="A2785" t="inlineStr">
        <is>
          <t>샘플종목26</t>
        </is>
      </c>
      <c r="B2785" s="3" t="n">
        <v>45786</v>
      </c>
      <c r="C2785" t="n">
        <v>52452</v>
      </c>
      <c r="D2785" t="n">
        <v>521935</v>
      </c>
      <c r="E2785">
        <f>IF(A2785="","",COUNTIFS($A$2:$A$20000,A2785,$B$2:$B$20000,"&gt;"&amp;B2785)+1)</f>
        <v/>
      </c>
    </row>
    <row r="2786">
      <c r="A2786" t="inlineStr">
        <is>
          <t>샘플종목26</t>
        </is>
      </c>
      <c r="B2786" s="3" t="n">
        <v>45793</v>
      </c>
      <c r="C2786" t="n">
        <v>51664</v>
      </c>
      <c r="D2786" t="n">
        <v>858766</v>
      </c>
      <c r="E2786">
        <f>IF(A2786="","",COUNTIFS($A$2:$A$20000,A2786,$B$2:$B$20000,"&gt;"&amp;B2786)+1)</f>
        <v/>
      </c>
    </row>
    <row r="2787">
      <c r="A2787" t="inlineStr">
        <is>
          <t>샘플종목26</t>
        </is>
      </c>
      <c r="B2787" s="3" t="n">
        <v>45800</v>
      </c>
      <c r="C2787" t="n">
        <v>49199</v>
      </c>
      <c r="D2787" t="n">
        <v>1356656</v>
      </c>
      <c r="E2787">
        <f>IF(A2787="","",COUNTIFS($A$2:$A$20000,A2787,$B$2:$B$20000,"&gt;"&amp;B2787)+1)</f>
        <v/>
      </c>
    </row>
    <row r="2788">
      <c r="A2788" t="inlineStr">
        <is>
          <t>샘플종목26</t>
        </is>
      </c>
      <c r="B2788" s="3" t="n">
        <v>45807</v>
      </c>
      <c r="C2788" t="n">
        <v>50614</v>
      </c>
      <c r="D2788" t="n">
        <v>1001900</v>
      </c>
      <c r="E2788">
        <f>IF(A2788="","",COUNTIFS($A$2:$A$20000,A2788,$B$2:$B$20000,"&gt;"&amp;B2788)+1)</f>
        <v/>
      </c>
    </row>
    <row r="2789">
      <c r="A2789" t="inlineStr">
        <is>
          <t>샘플종목26</t>
        </is>
      </c>
      <c r="B2789" s="3" t="n">
        <v>45814</v>
      </c>
      <c r="C2789" t="n">
        <v>51877</v>
      </c>
      <c r="D2789" t="n">
        <v>3807712</v>
      </c>
      <c r="E2789">
        <f>IF(A2789="","",COUNTIFS($A$2:$A$20000,A2789,$B$2:$B$20000,"&gt;"&amp;B2789)+1)</f>
        <v/>
      </c>
    </row>
    <row r="2790">
      <c r="A2790" t="inlineStr">
        <is>
          <t>샘플종목26</t>
        </is>
      </c>
      <c r="B2790" s="3" t="n">
        <v>45821</v>
      </c>
      <c r="C2790" t="n">
        <v>49098</v>
      </c>
      <c r="D2790" t="n">
        <v>5938045</v>
      </c>
      <c r="E2790">
        <f>IF(A2790="","",COUNTIFS($A$2:$A$20000,A2790,$B$2:$B$20000,"&gt;"&amp;B2790)+1)</f>
        <v/>
      </c>
    </row>
    <row r="2791">
      <c r="A2791" t="inlineStr">
        <is>
          <t>샘플종목26</t>
        </is>
      </c>
      <c r="B2791" s="3" t="n">
        <v>45828</v>
      </c>
      <c r="C2791" t="n">
        <v>47629</v>
      </c>
      <c r="D2791" t="n">
        <v>2961310</v>
      </c>
      <c r="E2791">
        <f>IF(A2791="","",COUNTIFS($A$2:$A$20000,A2791,$B$2:$B$20000,"&gt;"&amp;B2791)+1)</f>
        <v/>
      </c>
    </row>
    <row r="2792">
      <c r="A2792" t="inlineStr">
        <is>
          <t>샘플종목26</t>
        </is>
      </c>
      <c r="B2792" s="3" t="n">
        <v>45835</v>
      </c>
      <c r="C2792" t="n">
        <v>47112</v>
      </c>
      <c r="D2792" t="n">
        <v>4746054</v>
      </c>
      <c r="E2792">
        <f>IF(A2792="","",COUNTIFS($A$2:$A$20000,A2792,$B$2:$B$20000,"&gt;"&amp;B2792)+1)</f>
        <v/>
      </c>
    </row>
    <row r="2793">
      <c r="A2793" t="inlineStr">
        <is>
          <t>샘플종목26</t>
        </is>
      </c>
      <c r="B2793" s="3" t="n">
        <v>45842</v>
      </c>
      <c r="C2793" t="n">
        <v>45510</v>
      </c>
      <c r="D2793" t="n">
        <v>2814559</v>
      </c>
      <c r="E2793">
        <f>IF(A2793="","",COUNTIFS($A$2:$A$20000,A2793,$B$2:$B$20000,"&gt;"&amp;B2793)+1)</f>
        <v/>
      </c>
    </row>
    <row r="2794">
      <c r="A2794" t="inlineStr">
        <is>
          <t>샘플종목26</t>
        </is>
      </c>
      <c r="B2794" s="3" t="n">
        <v>45849</v>
      </c>
      <c r="C2794" t="n">
        <v>47536</v>
      </c>
      <c r="D2794" t="n">
        <v>160388</v>
      </c>
      <c r="E2794">
        <f>IF(A2794="","",COUNTIFS($A$2:$A$20000,A2794,$B$2:$B$20000,"&gt;"&amp;B2794)+1)</f>
        <v/>
      </c>
    </row>
    <row r="2795">
      <c r="A2795" t="inlineStr">
        <is>
          <t>샘플종목26</t>
        </is>
      </c>
      <c r="B2795" s="3" t="n">
        <v>45856</v>
      </c>
      <c r="C2795" t="n">
        <v>47352</v>
      </c>
      <c r="D2795" t="n">
        <v>2314989</v>
      </c>
      <c r="E2795">
        <f>IF(A2795="","",COUNTIFS($A$2:$A$20000,A2795,$B$2:$B$20000,"&gt;"&amp;B2795)+1)</f>
        <v/>
      </c>
    </row>
    <row r="2796">
      <c r="A2796" t="inlineStr">
        <is>
          <t>샘플종목26</t>
        </is>
      </c>
      <c r="B2796" s="3" t="n">
        <v>45863</v>
      </c>
      <c r="C2796" t="n">
        <v>50006</v>
      </c>
      <c r="D2796" t="n">
        <v>4045981</v>
      </c>
      <c r="E2796">
        <f>IF(A2796="","",COUNTIFS($A$2:$A$20000,A2796,$B$2:$B$20000,"&gt;"&amp;B2796)+1)</f>
        <v/>
      </c>
    </row>
    <row r="2797">
      <c r="A2797" t="inlineStr">
        <is>
          <t>샘플종목26</t>
        </is>
      </c>
      <c r="B2797" s="3" t="n">
        <v>45870</v>
      </c>
      <c r="C2797" t="n">
        <v>51855</v>
      </c>
      <c r="D2797" t="n">
        <v>2706788</v>
      </c>
      <c r="E2797">
        <f>IF(A2797="","",COUNTIFS($A$2:$A$20000,A2797,$B$2:$B$20000,"&gt;"&amp;B2797)+1)</f>
        <v/>
      </c>
    </row>
    <row r="2798">
      <c r="A2798" t="inlineStr">
        <is>
          <t>샘플종목26</t>
        </is>
      </c>
      <c r="B2798" s="3" t="n">
        <v>45877</v>
      </c>
      <c r="C2798" t="n">
        <v>51087</v>
      </c>
      <c r="D2798" t="n">
        <v>2062731</v>
      </c>
      <c r="E2798">
        <f>IF(A2798="","",COUNTIFS($A$2:$A$20000,A2798,$B$2:$B$20000,"&gt;"&amp;B2798)+1)</f>
        <v/>
      </c>
    </row>
    <row r="2799">
      <c r="A2799" t="inlineStr">
        <is>
          <t>샘플종목26</t>
        </is>
      </c>
      <c r="B2799" s="3" t="n">
        <v>45884</v>
      </c>
      <c r="C2799" t="n">
        <v>49853</v>
      </c>
      <c r="D2799" t="n">
        <v>2032817</v>
      </c>
      <c r="E2799">
        <f>IF(A2799="","",COUNTIFS($A$2:$A$20000,A2799,$B$2:$B$20000,"&gt;"&amp;B2799)+1)</f>
        <v/>
      </c>
    </row>
    <row r="2800">
      <c r="A2800" t="inlineStr">
        <is>
          <t>샘플종목26</t>
        </is>
      </c>
      <c r="B2800" s="3" t="n">
        <v>45891</v>
      </c>
      <c r="C2800" t="n">
        <v>50264</v>
      </c>
      <c r="D2800" t="n">
        <v>3807724</v>
      </c>
      <c r="E2800">
        <f>IF(A2800="","",COUNTIFS($A$2:$A$20000,A2800,$B$2:$B$20000,"&gt;"&amp;B2800)+1)</f>
        <v/>
      </c>
    </row>
    <row r="2801">
      <c r="A2801" t="inlineStr">
        <is>
          <t>샘플종목26</t>
        </is>
      </c>
      <c r="B2801" s="3" t="n">
        <v>45898</v>
      </c>
      <c r="C2801" t="n">
        <v>49539</v>
      </c>
      <c r="D2801" t="n">
        <v>160776</v>
      </c>
      <c r="E2801">
        <f>IF(A2801="","",COUNTIFS($A$2:$A$20000,A2801,$B$2:$B$20000,"&gt;"&amp;B2801)+1)</f>
        <v/>
      </c>
    </row>
    <row r="2802">
      <c r="A2802" t="inlineStr">
        <is>
          <t>샘플종목26</t>
        </is>
      </c>
      <c r="B2802" s="3" t="n">
        <v>45905</v>
      </c>
      <c r="C2802" t="n">
        <v>51947</v>
      </c>
      <c r="D2802" t="n">
        <v>1512783</v>
      </c>
      <c r="E2802">
        <f>IF(A2802="","",COUNTIFS($A$2:$A$20000,A2802,$B$2:$B$20000,"&gt;"&amp;B2802)+1)</f>
        <v/>
      </c>
    </row>
    <row r="2803">
      <c r="A2803" t="inlineStr">
        <is>
          <t>샘플종목26</t>
        </is>
      </c>
      <c r="B2803" s="3" t="n">
        <v>45912</v>
      </c>
      <c r="C2803" t="n">
        <v>55520</v>
      </c>
      <c r="D2803" t="n">
        <v>5234392</v>
      </c>
      <c r="E2803">
        <f>IF(A2803="","",COUNTIFS($A$2:$A$20000,A2803,$B$2:$B$20000,"&gt;"&amp;B2803)+1)</f>
        <v/>
      </c>
    </row>
    <row r="2804">
      <c r="A2804" t="inlineStr">
        <is>
          <t>샘플종목26</t>
        </is>
      </c>
      <c r="B2804" s="3" t="n">
        <v>45919</v>
      </c>
      <c r="C2804" t="n">
        <v>57575</v>
      </c>
      <c r="D2804" t="n">
        <v>9479173</v>
      </c>
      <c r="E2804">
        <f>IF(A2804="","",COUNTIFS($A$2:$A$20000,A2804,$B$2:$B$20000,"&gt;"&amp;B2804)+1)</f>
        <v/>
      </c>
    </row>
    <row r="2805">
      <c r="A2805" t="inlineStr">
        <is>
          <t>샘플종목26</t>
        </is>
      </c>
      <c r="B2805" s="3" t="n">
        <v>45926</v>
      </c>
      <c r="C2805" t="n">
        <v>57644</v>
      </c>
      <c r="D2805" t="n">
        <v>9968804</v>
      </c>
      <c r="E2805">
        <f>IF(A2805="","",COUNTIFS($A$2:$A$20000,A2805,$B$2:$B$20000,"&gt;"&amp;B2805)+1)</f>
        <v/>
      </c>
    </row>
    <row r="2806">
      <c r="A2806" t="inlineStr">
        <is>
          <t>샘플종목26</t>
        </is>
      </c>
      <c r="B2806" s="3" t="n">
        <v>45933</v>
      </c>
      <c r="C2806" t="n">
        <v>52411</v>
      </c>
      <c r="D2806" t="n">
        <v>9593415</v>
      </c>
      <c r="E2806">
        <f>IF(A2806="","",COUNTIFS($A$2:$A$20000,A2806,$B$2:$B$20000,"&gt;"&amp;B2806)+1)</f>
        <v/>
      </c>
    </row>
    <row r="2807">
      <c r="A2807" t="inlineStr">
        <is>
          <t>샘플종목26</t>
        </is>
      </c>
      <c r="B2807" s="3" t="n">
        <v>45940</v>
      </c>
      <c r="C2807" t="n">
        <v>54371</v>
      </c>
      <c r="D2807" t="n">
        <v>9045324</v>
      </c>
      <c r="E2807">
        <f>IF(A2807="","",COUNTIFS($A$2:$A$20000,A2807,$B$2:$B$20000,"&gt;"&amp;B2807)+1)</f>
        <v/>
      </c>
    </row>
    <row r="2808">
      <c r="A2808" t="inlineStr">
        <is>
          <t>샘플종목26</t>
        </is>
      </c>
      <c r="B2808" s="3" t="n">
        <v>45947</v>
      </c>
      <c r="C2808" t="n">
        <v>55347</v>
      </c>
      <c r="D2808" t="n">
        <v>8202829</v>
      </c>
      <c r="E2808">
        <f>IF(A2808="","",COUNTIFS($A$2:$A$20000,A2808,$B$2:$B$20000,"&gt;"&amp;B2808)+1)</f>
        <v/>
      </c>
    </row>
    <row r="2809">
      <c r="A2809" t="inlineStr">
        <is>
          <t>샘플종목26</t>
        </is>
      </c>
      <c r="B2809" s="3" t="n">
        <v>45954</v>
      </c>
      <c r="C2809" t="n">
        <v>57985</v>
      </c>
      <c r="D2809" t="n">
        <v>5760450</v>
      </c>
      <c r="E2809">
        <f>IF(A2809="","",COUNTIFS($A$2:$A$20000,A2809,$B$2:$B$20000,"&gt;"&amp;B2809)+1)</f>
        <v/>
      </c>
    </row>
    <row r="2810">
      <c r="A2810" t="inlineStr">
        <is>
          <t>샘플종목26</t>
        </is>
      </c>
      <c r="B2810" s="3" t="n">
        <v>45961</v>
      </c>
      <c r="C2810" t="n">
        <v>59623</v>
      </c>
      <c r="D2810" t="n">
        <v>9480107</v>
      </c>
      <c r="E2810">
        <f>IF(A2810="","",COUNTIFS($A$2:$A$20000,A2810,$B$2:$B$20000,"&gt;"&amp;B2810)+1)</f>
        <v/>
      </c>
    </row>
    <row r="2811">
      <c r="A2811" t="inlineStr">
        <is>
          <t>샘플종목26</t>
        </is>
      </c>
      <c r="B2811" s="3" t="n">
        <v>45968</v>
      </c>
      <c r="C2811" t="n">
        <v>61335</v>
      </c>
      <c r="D2811" t="n">
        <v>9965739</v>
      </c>
      <c r="E2811">
        <f>IF(A2811="","",COUNTIFS($A$2:$A$20000,A2811,$B$2:$B$20000,"&gt;"&amp;B2811)+1)</f>
        <v/>
      </c>
    </row>
    <row r="2812">
      <c r="A2812" t="inlineStr">
        <is>
          <t>샘플종목26</t>
        </is>
      </c>
      <c r="B2812" s="3" t="n">
        <v>45975</v>
      </c>
      <c r="C2812" t="n">
        <v>64861</v>
      </c>
      <c r="D2812" t="n">
        <v>8537065</v>
      </c>
      <c r="E2812">
        <f>IF(A2812="","",COUNTIFS($A$2:$A$20000,A2812,$B$2:$B$20000,"&gt;"&amp;B2812)+1)</f>
        <v/>
      </c>
    </row>
    <row r="2813">
      <c r="A2813" t="inlineStr">
        <is>
          <t>샘플종목26</t>
        </is>
      </c>
      <c r="B2813" s="3" t="n">
        <v>45982</v>
      </c>
      <c r="C2813" t="n">
        <v>64759</v>
      </c>
      <c r="D2813" t="n">
        <v>2259009</v>
      </c>
      <c r="E2813">
        <f>IF(A2813="","",COUNTIFS($A$2:$A$20000,A2813,$B$2:$B$20000,"&gt;"&amp;B2813)+1)</f>
        <v/>
      </c>
    </row>
    <row r="2814">
      <c r="A2814" t="inlineStr">
        <is>
          <t>샘플종목26</t>
        </is>
      </c>
      <c r="B2814" s="3" t="n">
        <v>45989</v>
      </c>
      <c r="C2814" t="n">
        <v>62191</v>
      </c>
      <c r="D2814" t="n">
        <v>3211114</v>
      </c>
      <c r="E2814">
        <f>IF(A2814="","",COUNTIFS($A$2:$A$20000,A2814,$B$2:$B$20000,"&gt;"&amp;B2814)+1)</f>
        <v/>
      </c>
    </row>
    <row r="2815">
      <c r="A2815" t="inlineStr">
        <is>
          <t>샘플종목26</t>
        </is>
      </c>
      <c r="B2815" s="3" t="n">
        <v>45996</v>
      </c>
      <c r="C2815" t="n">
        <v>62252</v>
      </c>
      <c r="D2815" t="n">
        <v>831622</v>
      </c>
      <c r="E2815">
        <f>IF(A2815="","",COUNTIFS($A$2:$A$20000,A2815,$B$2:$B$20000,"&gt;"&amp;B2815)+1)</f>
        <v/>
      </c>
    </row>
    <row r="2816">
      <c r="A2816" t="inlineStr">
        <is>
          <t>샘플종목26</t>
        </is>
      </c>
      <c r="B2816" s="3" t="n">
        <v>46003</v>
      </c>
      <c r="C2816" t="n">
        <v>60416</v>
      </c>
      <c r="D2816" t="n">
        <v>7580487</v>
      </c>
      <c r="E2816">
        <f>IF(A2816="","",COUNTIFS($A$2:$A$20000,A2816,$B$2:$B$20000,"&gt;"&amp;B2816)+1)</f>
        <v/>
      </c>
    </row>
    <row r="2817">
      <c r="A2817" t="inlineStr">
        <is>
          <t>샘플종목26</t>
        </is>
      </c>
      <c r="B2817" s="3" t="n">
        <v>46010</v>
      </c>
      <c r="C2817" t="n">
        <v>60151</v>
      </c>
      <c r="D2817" t="n">
        <v>6391425</v>
      </c>
      <c r="E2817">
        <f>IF(A2817="","",COUNTIFS($A$2:$A$20000,A2817,$B$2:$B$20000,"&gt;"&amp;B2817)+1)</f>
        <v/>
      </c>
    </row>
    <row r="2818">
      <c r="A2818" t="inlineStr">
        <is>
          <t>샘플종목26</t>
        </is>
      </c>
      <c r="B2818" s="3" t="n">
        <v>46017</v>
      </c>
      <c r="C2818" t="n">
        <v>58462</v>
      </c>
      <c r="D2818" t="n">
        <v>8670294</v>
      </c>
      <c r="E2818">
        <f>IF(A2818="","",COUNTIFS($A$2:$A$20000,A2818,$B$2:$B$20000,"&gt;"&amp;B2818)+1)</f>
        <v/>
      </c>
    </row>
    <row r="2819">
      <c r="A2819" t="inlineStr">
        <is>
          <t>샘플종목26</t>
        </is>
      </c>
      <c r="B2819" s="3" t="n">
        <v>46024</v>
      </c>
      <c r="C2819" t="n">
        <v>58386</v>
      </c>
      <c r="D2819" t="n">
        <v>9202227</v>
      </c>
      <c r="E2819">
        <f>IF(A2819="","",COUNTIFS($A$2:$A$20000,A2819,$B$2:$B$20000,"&gt;"&amp;B2819)+1)</f>
        <v/>
      </c>
    </row>
    <row r="2820">
      <c r="A2820" t="inlineStr">
        <is>
          <t>샘플종목26</t>
        </is>
      </c>
      <c r="B2820" s="3" t="n">
        <v>46031</v>
      </c>
      <c r="C2820" t="n">
        <v>57133</v>
      </c>
      <c r="D2820" t="n">
        <v>6844902</v>
      </c>
      <c r="E2820">
        <f>IF(A2820="","",COUNTIFS($A$2:$A$20000,A2820,$B$2:$B$20000,"&gt;"&amp;B2820)+1)</f>
        <v/>
      </c>
    </row>
    <row r="2821">
      <c r="A2821" t="inlineStr">
        <is>
          <t>샘플종목26</t>
        </is>
      </c>
      <c r="B2821" s="3" t="n">
        <v>46038</v>
      </c>
      <c r="C2821" t="n">
        <v>58585</v>
      </c>
      <c r="D2821" t="n">
        <v>634213</v>
      </c>
      <c r="E2821">
        <f>IF(A2821="","",COUNTIFS($A$2:$A$20000,A2821,$B$2:$B$20000,"&gt;"&amp;B2821)+1)</f>
        <v/>
      </c>
    </row>
    <row r="2822">
      <c r="A2822" t="inlineStr">
        <is>
          <t>샘플종목26</t>
        </is>
      </c>
      <c r="B2822" s="3" t="n">
        <v>46045</v>
      </c>
      <c r="C2822" t="n">
        <v>59825</v>
      </c>
      <c r="D2822" t="n">
        <v>3672164</v>
      </c>
      <c r="E2822">
        <f>IF(A2822="","",COUNTIFS($A$2:$A$20000,A2822,$B$2:$B$20000,"&gt;"&amp;B2822)+1)</f>
        <v/>
      </c>
    </row>
    <row r="2823">
      <c r="A2823" t="inlineStr">
        <is>
          <t>샘플종목26</t>
        </is>
      </c>
      <c r="B2823" s="3" t="n">
        <v>46052</v>
      </c>
      <c r="C2823" t="n">
        <v>57449</v>
      </c>
      <c r="D2823" t="n">
        <v>7683810</v>
      </c>
      <c r="E2823">
        <f>IF(A2823="","",COUNTIFS($A$2:$A$20000,A2823,$B$2:$B$20000,"&gt;"&amp;B2823)+1)</f>
        <v/>
      </c>
    </row>
    <row r="2824">
      <c r="A2824" t="inlineStr">
        <is>
          <t>샘플종목26</t>
        </is>
      </c>
      <c r="B2824" s="3" t="n">
        <v>46059</v>
      </c>
      <c r="C2824" t="n">
        <v>59903</v>
      </c>
      <c r="D2824" t="n">
        <v>7733856</v>
      </c>
      <c r="E2824">
        <f>IF(A2824="","",COUNTIFS($A$2:$A$20000,A2824,$B$2:$B$20000,"&gt;"&amp;B2824)+1)</f>
        <v/>
      </c>
    </row>
    <row r="2825">
      <c r="A2825" t="inlineStr">
        <is>
          <t>샘플종목26</t>
        </is>
      </c>
      <c r="B2825" s="3" t="n">
        <v>46066</v>
      </c>
      <c r="C2825" t="n">
        <v>57154</v>
      </c>
      <c r="D2825" t="n">
        <v>6130764</v>
      </c>
      <c r="E2825">
        <f>IF(A2825="","",COUNTIFS($A$2:$A$20000,A2825,$B$2:$B$20000,"&gt;"&amp;B2825)+1)</f>
        <v/>
      </c>
    </row>
    <row r="2826">
      <c r="A2826" t="inlineStr">
        <is>
          <t>샘플종목26</t>
        </is>
      </c>
      <c r="B2826" s="3" t="n">
        <v>46073</v>
      </c>
      <c r="C2826" t="n">
        <v>59120</v>
      </c>
      <c r="D2826" t="n">
        <v>3579179</v>
      </c>
      <c r="E2826">
        <f>IF(A2826="","",COUNTIFS($A$2:$A$20000,A2826,$B$2:$B$20000,"&gt;"&amp;B2826)+1)</f>
        <v/>
      </c>
    </row>
    <row r="2827">
      <c r="A2827" t="inlineStr">
        <is>
          <t>샘플종목26</t>
        </is>
      </c>
      <c r="B2827" s="3" t="n">
        <v>46080</v>
      </c>
      <c r="C2827" t="n">
        <v>60391</v>
      </c>
      <c r="D2827" t="n">
        <v>4022594</v>
      </c>
      <c r="E2827">
        <f>IF(A2827="","",COUNTIFS($A$2:$A$20000,A2827,$B$2:$B$20000,"&gt;"&amp;B2827)+1)</f>
        <v/>
      </c>
    </row>
    <row r="2828">
      <c r="A2828" t="inlineStr">
        <is>
          <t>샘플종목26</t>
        </is>
      </c>
      <c r="B2828" s="3" t="n">
        <v>46087</v>
      </c>
      <c r="C2828" t="n">
        <v>63067</v>
      </c>
      <c r="D2828" t="n">
        <v>4391772</v>
      </c>
      <c r="E2828">
        <f>IF(A2828="","",COUNTIFS($A$2:$A$20000,A2828,$B$2:$B$20000,"&gt;"&amp;B2828)+1)</f>
        <v/>
      </c>
    </row>
    <row r="2829">
      <c r="A2829" t="inlineStr">
        <is>
          <t>샘플종목26</t>
        </is>
      </c>
      <c r="B2829" s="3" t="n">
        <v>46094</v>
      </c>
      <c r="C2829" t="n">
        <v>62913</v>
      </c>
      <c r="D2829" t="n">
        <v>6247992</v>
      </c>
      <c r="E2829">
        <f>IF(A2829="","",COUNTIFS($A$2:$A$20000,A2829,$B$2:$B$20000,"&gt;"&amp;B2829)+1)</f>
        <v/>
      </c>
    </row>
    <row r="2830">
      <c r="A2830" t="inlineStr">
        <is>
          <t>샘플종목26</t>
        </is>
      </c>
      <c r="B2830" s="3" t="n">
        <v>46101</v>
      </c>
      <c r="C2830" t="n">
        <v>62340</v>
      </c>
      <c r="D2830" t="n">
        <v>1121242</v>
      </c>
      <c r="E2830">
        <f>IF(A2830="","",COUNTIFS($A$2:$A$20000,A2830,$B$2:$B$20000,"&gt;"&amp;B2830)+1)</f>
        <v/>
      </c>
    </row>
    <row r="2831">
      <c r="A2831" t="inlineStr">
        <is>
          <t>샘플종목26</t>
        </is>
      </c>
      <c r="B2831" s="3" t="n">
        <v>46108</v>
      </c>
      <c r="C2831" t="n">
        <v>60599</v>
      </c>
      <c r="D2831" t="n">
        <v>5833870</v>
      </c>
      <c r="E2831">
        <f>IF(A2831="","",COUNTIFS($A$2:$A$20000,A2831,$B$2:$B$20000,"&gt;"&amp;B2831)+1)</f>
        <v/>
      </c>
    </row>
    <row r="2832">
      <c r="A2832" t="inlineStr">
        <is>
          <t>샘플종목26</t>
        </is>
      </c>
      <c r="B2832" s="3" t="n">
        <v>46115</v>
      </c>
      <c r="C2832" t="n">
        <v>60322</v>
      </c>
      <c r="D2832" t="n">
        <v>8904247</v>
      </c>
      <c r="E2832">
        <f>IF(A2832="","",COUNTIFS($A$2:$A$20000,A2832,$B$2:$B$20000,"&gt;"&amp;B2832)+1)</f>
        <v/>
      </c>
    </row>
    <row r="2833">
      <c r="A2833" t="inlineStr">
        <is>
          <t>샘플종목26</t>
        </is>
      </c>
      <c r="B2833" s="3" t="n">
        <v>46122</v>
      </c>
      <c r="C2833" t="n">
        <v>60918</v>
      </c>
      <c r="D2833" t="n">
        <v>5225959</v>
      </c>
      <c r="E2833">
        <f>IF(A2833="","",COUNTIFS($A$2:$A$20000,A2833,$B$2:$B$20000,"&gt;"&amp;B2833)+1)</f>
        <v/>
      </c>
    </row>
    <row r="2834">
      <c r="A2834" t="inlineStr">
        <is>
          <t>샘플종목26</t>
        </is>
      </c>
      <c r="B2834" s="3" t="n">
        <v>46129</v>
      </c>
      <c r="C2834" t="n">
        <v>61629</v>
      </c>
      <c r="D2834" t="n">
        <v>5752485</v>
      </c>
      <c r="E2834">
        <f>IF(A2834="","",COUNTIFS($A$2:$A$20000,A2834,$B$2:$B$20000,"&gt;"&amp;B2834)+1)</f>
        <v/>
      </c>
    </row>
    <row r="2835">
      <c r="A2835" t="inlineStr">
        <is>
          <t>샘플종목26</t>
        </is>
      </c>
      <c r="B2835" s="3" t="n">
        <v>46136</v>
      </c>
      <c r="C2835" t="n">
        <v>60076</v>
      </c>
      <c r="D2835" t="n">
        <v>8022707</v>
      </c>
      <c r="E2835">
        <f>IF(A2835="","",COUNTIFS($A$2:$A$20000,A2835,$B$2:$B$20000,"&gt;"&amp;B2835)+1)</f>
        <v/>
      </c>
    </row>
    <row r="2836">
      <c r="A2836" t="inlineStr">
        <is>
          <t>샘플종목26</t>
        </is>
      </c>
      <c r="B2836" s="3" t="n">
        <v>46143</v>
      </c>
      <c r="C2836" t="n">
        <v>63521</v>
      </c>
      <c r="D2836" t="n">
        <v>3220906</v>
      </c>
      <c r="E2836">
        <f>IF(A2836="","",COUNTIFS($A$2:$A$20000,A2836,$B$2:$B$20000,"&gt;"&amp;B2836)+1)</f>
        <v/>
      </c>
    </row>
    <row r="2837">
      <c r="A2837" t="inlineStr">
        <is>
          <t>샘플종목26</t>
        </is>
      </c>
      <c r="B2837" s="3" t="n">
        <v>46150</v>
      </c>
      <c r="C2837" t="n">
        <v>66502</v>
      </c>
      <c r="D2837" t="n">
        <v>8281620</v>
      </c>
      <c r="E2837">
        <f>IF(A2837="","",COUNTIFS($A$2:$A$20000,A2837,$B$2:$B$20000,"&gt;"&amp;B2837)+1)</f>
        <v/>
      </c>
    </row>
    <row r="2838">
      <c r="A2838" t="inlineStr">
        <is>
          <t>샘플종목26</t>
        </is>
      </c>
      <c r="B2838" s="3" t="n">
        <v>46157</v>
      </c>
      <c r="C2838" t="n">
        <v>68047</v>
      </c>
      <c r="D2838" t="n">
        <v>8273917</v>
      </c>
      <c r="E2838">
        <f>IF(A2838="","",COUNTIFS($A$2:$A$20000,A2838,$B$2:$B$20000,"&gt;"&amp;B2838)+1)</f>
        <v/>
      </c>
    </row>
    <row r="2839">
      <c r="A2839" t="inlineStr">
        <is>
          <t>샘플종목26</t>
        </is>
      </c>
      <c r="B2839" s="3" t="n">
        <v>46164</v>
      </c>
      <c r="C2839" t="n">
        <v>69263</v>
      </c>
      <c r="D2839" t="n">
        <v>825239</v>
      </c>
      <c r="E2839">
        <f>IF(A2839="","",COUNTIFS($A$2:$A$20000,A2839,$B$2:$B$20000,"&gt;"&amp;B2839)+1)</f>
        <v/>
      </c>
    </row>
    <row r="2840">
      <c r="A2840" t="inlineStr">
        <is>
          <t>샘플종목26</t>
        </is>
      </c>
      <c r="B2840" s="3" t="n">
        <v>46171</v>
      </c>
      <c r="C2840" t="n">
        <v>68011</v>
      </c>
      <c r="D2840" t="n">
        <v>7148568</v>
      </c>
      <c r="E2840">
        <f>IF(A2840="","",COUNTIFS($A$2:$A$20000,A2840,$B$2:$B$20000,"&gt;"&amp;B2840)+1)</f>
        <v/>
      </c>
    </row>
    <row r="2841">
      <c r="A2841" t="inlineStr">
        <is>
          <t>샘플종목26</t>
        </is>
      </c>
      <c r="B2841" s="3" t="n">
        <v>46178</v>
      </c>
      <c r="C2841" t="n">
        <v>62530</v>
      </c>
      <c r="D2841" t="n">
        <v>7469411</v>
      </c>
      <c r="E2841">
        <f>IF(A2841="","",COUNTIFS($A$2:$A$20000,A2841,$B$2:$B$20000,"&gt;"&amp;B2841)+1)</f>
        <v/>
      </c>
    </row>
    <row r="2842">
      <c r="A2842" t="inlineStr">
        <is>
          <t>샘플종목26</t>
        </is>
      </c>
      <c r="B2842" s="3" t="n">
        <v>46185</v>
      </c>
      <c r="C2842" t="n">
        <v>62306</v>
      </c>
      <c r="D2842" t="n">
        <v>2682245</v>
      </c>
      <c r="E2842">
        <f>IF(A2842="","",COUNTIFS($A$2:$A$20000,A2842,$B$2:$B$20000,"&gt;"&amp;B2842)+1)</f>
        <v/>
      </c>
    </row>
    <row r="2843">
      <c r="A2843" t="inlineStr">
        <is>
          <t>샘플종목26</t>
        </is>
      </c>
      <c r="B2843" s="3" t="n">
        <v>46192</v>
      </c>
      <c r="C2843" t="n">
        <v>63837</v>
      </c>
      <c r="D2843" t="n">
        <v>3176404</v>
      </c>
      <c r="E2843">
        <f>IF(A2843="","",COUNTIFS($A$2:$A$20000,A2843,$B$2:$B$20000,"&gt;"&amp;B2843)+1)</f>
        <v/>
      </c>
    </row>
    <row r="2844">
      <c r="A2844" t="inlineStr">
        <is>
          <t>샘플종목26</t>
        </is>
      </c>
      <c r="B2844" s="3" t="n">
        <v>46199</v>
      </c>
      <c r="C2844" t="n">
        <v>63413</v>
      </c>
      <c r="D2844" t="n">
        <v>1117815</v>
      </c>
      <c r="E2844">
        <f>IF(A2844="","",COUNTIFS($A$2:$A$20000,A2844,$B$2:$B$20000,"&gt;"&amp;B2844)+1)</f>
        <v/>
      </c>
    </row>
    <row r="2845">
      <c r="A2845" t="inlineStr">
        <is>
          <t>샘플종목26</t>
        </is>
      </c>
      <c r="B2845" s="3" t="n">
        <v>46206</v>
      </c>
      <c r="C2845" t="n">
        <v>61241</v>
      </c>
      <c r="D2845" t="n">
        <v>4216752</v>
      </c>
      <c r="E2845">
        <f>IF(A2845="","",COUNTIFS($A$2:$A$20000,A2845,$B$2:$B$20000,"&gt;"&amp;B2845)+1)</f>
        <v/>
      </c>
    </row>
    <row r="2846">
      <c r="A2846" t="inlineStr">
        <is>
          <t>샘플종목26</t>
        </is>
      </c>
      <c r="B2846" s="3" t="n">
        <v>46213</v>
      </c>
      <c r="C2846" t="n">
        <v>59018</v>
      </c>
      <c r="D2846" t="n">
        <v>1004267</v>
      </c>
      <c r="E2846">
        <f>IF(A2846="","",COUNTIFS($A$2:$A$20000,A2846,$B$2:$B$20000,"&gt;"&amp;B2846)+1)</f>
        <v/>
      </c>
    </row>
    <row r="2847">
      <c r="A2847" t="inlineStr">
        <is>
          <t>샘플종목26</t>
        </is>
      </c>
      <c r="B2847" s="3" t="n">
        <v>46220</v>
      </c>
      <c r="C2847" t="n">
        <v>63157</v>
      </c>
      <c r="D2847" t="n">
        <v>7267611</v>
      </c>
      <c r="E2847">
        <f>IF(A2847="","",COUNTIFS($A$2:$A$20000,A2847,$B$2:$B$20000,"&gt;"&amp;B2847)+1)</f>
        <v/>
      </c>
    </row>
    <row r="2848">
      <c r="A2848" t="inlineStr">
        <is>
          <t>샘플종목26</t>
        </is>
      </c>
      <c r="B2848" s="3" t="n">
        <v>46227</v>
      </c>
      <c r="C2848" t="n">
        <v>61993</v>
      </c>
      <c r="D2848" t="n">
        <v>6385539</v>
      </c>
      <c r="E2848">
        <f>IF(A2848="","",COUNTIFS($A$2:$A$20000,A2848,$B$2:$B$20000,"&gt;"&amp;B2848)+1)</f>
        <v/>
      </c>
    </row>
    <row r="2849">
      <c r="A2849" t="inlineStr">
        <is>
          <t>샘플종목26</t>
        </is>
      </c>
      <c r="B2849" s="3" t="n">
        <v>46234</v>
      </c>
      <c r="C2849" t="n">
        <v>62772</v>
      </c>
      <c r="D2849" t="n">
        <v>8643563</v>
      </c>
      <c r="E2849">
        <f>IF(A2849="","",COUNTIFS($A$2:$A$20000,A2849,$B$2:$B$20000,"&gt;"&amp;B2849)+1)</f>
        <v/>
      </c>
    </row>
    <row r="2850">
      <c r="A2850" t="inlineStr">
        <is>
          <t>샘플종목26</t>
        </is>
      </c>
      <c r="B2850" s="3" t="n">
        <v>46241</v>
      </c>
      <c r="C2850" t="n">
        <v>66865</v>
      </c>
      <c r="D2850" t="n">
        <v>7474108</v>
      </c>
      <c r="E2850">
        <f>IF(A2850="","",COUNTIFS($A$2:$A$20000,A2850,$B$2:$B$20000,"&gt;"&amp;B2850)+1)</f>
        <v/>
      </c>
    </row>
    <row r="2851">
      <c r="A2851" t="inlineStr">
        <is>
          <t>샘플종목26</t>
        </is>
      </c>
      <c r="B2851" s="3" t="n">
        <v>46248</v>
      </c>
      <c r="C2851" t="n">
        <v>70934</v>
      </c>
      <c r="D2851" t="n">
        <v>8664956</v>
      </c>
      <c r="E2851">
        <f>IF(A2851="","",COUNTIFS($A$2:$A$20000,A2851,$B$2:$B$20000,"&gt;"&amp;B2851)+1)</f>
        <v/>
      </c>
    </row>
    <row r="2852">
      <c r="A2852" t="inlineStr">
        <is>
          <t>샘플종목26</t>
        </is>
      </c>
      <c r="B2852" s="3" t="n">
        <v>46255</v>
      </c>
      <c r="C2852" t="n">
        <v>68024</v>
      </c>
      <c r="D2852" t="n">
        <v>4382843</v>
      </c>
      <c r="E2852">
        <f>IF(A2852="","",COUNTIFS($A$2:$A$20000,A2852,$B$2:$B$20000,"&gt;"&amp;B2852)+1)</f>
        <v/>
      </c>
    </row>
    <row r="2853">
      <c r="A2853" t="inlineStr">
        <is>
          <t>샘플종목26</t>
        </is>
      </c>
      <c r="B2853" s="3" t="n">
        <v>46262</v>
      </c>
      <c r="C2853" t="n">
        <v>70358</v>
      </c>
      <c r="D2853" t="n">
        <v>439651</v>
      </c>
      <c r="E2853">
        <f>IF(A2853="","",COUNTIFS($A$2:$A$20000,A2853,$B$2:$B$20000,"&gt;"&amp;B2853)+1)</f>
        <v/>
      </c>
    </row>
    <row r="2854">
      <c r="A2854" t="inlineStr">
        <is>
          <t>샘플종목26</t>
        </is>
      </c>
      <c r="B2854" s="3" t="n">
        <v>46269</v>
      </c>
      <c r="C2854" t="n">
        <v>69094</v>
      </c>
      <c r="D2854" t="n">
        <v>285863</v>
      </c>
      <c r="E2854">
        <f>IF(A2854="","",COUNTIFS($A$2:$A$20000,A2854,$B$2:$B$20000,"&gt;"&amp;B2854)+1)</f>
        <v/>
      </c>
    </row>
    <row r="2855">
      <c r="A2855" t="inlineStr">
        <is>
          <t>샘플종목26</t>
        </is>
      </c>
      <c r="B2855" s="3" t="n">
        <v>46276</v>
      </c>
      <c r="C2855" t="n">
        <v>70345</v>
      </c>
      <c r="D2855" t="n">
        <v>6337202</v>
      </c>
      <c r="E2855">
        <f>IF(A2855="","",COUNTIFS($A$2:$A$20000,A2855,$B$2:$B$20000,"&gt;"&amp;B2855)+1)</f>
        <v/>
      </c>
    </row>
    <row r="2856">
      <c r="A2856" t="inlineStr">
        <is>
          <t>샘플종목26</t>
        </is>
      </c>
      <c r="B2856" s="3" t="n">
        <v>46283</v>
      </c>
      <c r="C2856" t="n">
        <v>72353</v>
      </c>
      <c r="D2856" t="n">
        <v>2226339</v>
      </c>
      <c r="E2856">
        <f>IF(A2856="","",COUNTIFS($A$2:$A$20000,A2856,$B$2:$B$20000,"&gt;"&amp;B2856)+1)</f>
        <v/>
      </c>
    </row>
    <row r="2857">
      <c r="A2857" t="inlineStr">
        <is>
          <t>샘플종목26</t>
        </is>
      </c>
      <c r="B2857" s="3" t="n">
        <v>46290</v>
      </c>
      <c r="C2857" t="n">
        <v>74171</v>
      </c>
      <c r="D2857" t="n">
        <v>688301</v>
      </c>
      <c r="E2857">
        <f>IF(A2857="","",COUNTIFS($A$2:$A$20000,A2857,$B$2:$B$20000,"&gt;"&amp;B2857)+1)</f>
        <v/>
      </c>
    </row>
    <row r="2858">
      <c r="A2858" t="inlineStr">
        <is>
          <t>샘플종목26</t>
        </is>
      </c>
      <c r="B2858" s="3" t="n">
        <v>46297</v>
      </c>
      <c r="C2858" t="n">
        <v>72960</v>
      </c>
      <c r="D2858" t="n">
        <v>441893</v>
      </c>
      <c r="E2858">
        <f>IF(A2858="","",COUNTIFS($A$2:$A$20000,A2858,$B$2:$B$20000,"&gt;"&amp;B2858)+1)</f>
        <v/>
      </c>
    </row>
    <row r="2859">
      <c r="A2859" t="inlineStr">
        <is>
          <t>샘플종목26</t>
        </is>
      </c>
      <c r="B2859" s="3" t="n">
        <v>46304</v>
      </c>
      <c r="C2859" t="n">
        <v>71776</v>
      </c>
      <c r="D2859" t="n">
        <v>9820867</v>
      </c>
      <c r="E2859">
        <f>IF(A2859="","",COUNTIFS($A$2:$A$20000,A2859,$B$2:$B$20000,"&gt;"&amp;B2859)+1)</f>
        <v/>
      </c>
    </row>
    <row r="2860">
      <c r="A2860" t="inlineStr">
        <is>
          <t>샘플종목26</t>
        </is>
      </c>
      <c r="B2860" s="3" t="n">
        <v>46311</v>
      </c>
      <c r="C2860" t="n">
        <v>70114</v>
      </c>
      <c r="D2860" t="n">
        <v>5029039</v>
      </c>
      <c r="E2860">
        <f>IF(A2860="","",COUNTIFS($A$2:$A$20000,A2860,$B$2:$B$20000,"&gt;"&amp;B2860)+1)</f>
        <v/>
      </c>
    </row>
    <row r="2861">
      <c r="A2861" t="inlineStr">
        <is>
          <t>샘플종목26</t>
        </is>
      </c>
      <c r="B2861" s="3" t="n">
        <v>46318</v>
      </c>
      <c r="C2861" t="n">
        <v>66828</v>
      </c>
      <c r="D2861" t="n">
        <v>1749646</v>
      </c>
      <c r="E2861">
        <f>IF(A2861="","",COUNTIFS($A$2:$A$20000,A2861,$B$2:$B$20000,"&gt;"&amp;B2861)+1)</f>
        <v/>
      </c>
    </row>
    <row r="2862">
      <c r="A2862" t="inlineStr">
        <is>
          <t>샘플종목27</t>
        </is>
      </c>
      <c r="B2862" s="3" t="n">
        <v>45555</v>
      </c>
      <c r="C2862" t="n">
        <v>46497</v>
      </c>
      <c r="D2862" t="n">
        <v>4014800</v>
      </c>
      <c r="E2862">
        <f>IF(A2862="","",COUNTIFS($A$2:$A$20000,A2862,$B$2:$B$20000,"&gt;"&amp;B2862)+1)</f>
        <v/>
      </c>
    </row>
    <row r="2863">
      <c r="A2863" t="inlineStr">
        <is>
          <t>샘플종목27</t>
        </is>
      </c>
      <c r="B2863" s="3" t="n">
        <v>45562</v>
      </c>
      <c r="C2863" t="n">
        <v>43375</v>
      </c>
      <c r="D2863" t="n">
        <v>8006930</v>
      </c>
      <c r="E2863">
        <f>IF(A2863="","",COUNTIFS($A$2:$A$20000,A2863,$B$2:$B$20000,"&gt;"&amp;B2863)+1)</f>
        <v/>
      </c>
    </row>
    <row r="2864">
      <c r="A2864" t="inlineStr">
        <is>
          <t>샘플종목27</t>
        </is>
      </c>
      <c r="B2864" s="3" t="n">
        <v>45569</v>
      </c>
      <c r="C2864" t="n">
        <v>41517</v>
      </c>
      <c r="D2864" t="n">
        <v>5502291</v>
      </c>
      <c r="E2864">
        <f>IF(A2864="","",COUNTIFS($A$2:$A$20000,A2864,$B$2:$B$20000,"&gt;"&amp;B2864)+1)</f>
        <v/>
      </c>
    </row>
    <row r="2865">
      <c r="A2865" t="inlineStr">
        <is>
          <t>샘플종목27</t>
        </is>
      </c>
      <c r="B2865" s="3" t="n">
        <v>45576</v>
      </c>
      <c r="C2865" t="n">
        <v>40483</v>
      </c>
      <c r="D2865" t="n">
        <v>2134788</v>
      </c>
      <c r="E2865">
        <f>IF(A2865="","",COUNTIFS($A$2:$A$20000,A2865,$B$2:$B$20000,"&gt;"&amp;B2865)+1)</f>
        <v/>
      </c>
    </row>
    <row r="2866">
      <c r="A2866" t="inlineStr">
        <is>
          <t>샘플종목27</t>
        </is>
      </c>
      <c r="B2866" s="3" t="n">
        <v>45583</v>
      </c>
      <c r="C2866" t="n">
        <v>41963</v>
      </c>
      <c r="D2866" t="n">
        <v>1610067</v>
      </c>
      <c r="E2866">
        <f>IF(A2866="","",COUNTIFS($A$2:$A$20000,A2866,$B$2:$B$20000,"&gt;"&amp;B2866)+1)</f>
        <v/>
      </c>
    </row>
    <row r="2867">
      <c r="A2867" t="inlineStr">
        <is>
          <t>샘플종목27</t>
        </is>
      </c>
      <c r="B2867" s="3" t="n">
        <v>45590</v>
      </c>
      <c r="C2867" t="n">
        <v>42385</v>
      </c>
      <c r="D2867" t="n">
        <v>8656927</v>
      </c>
      <c r="E2867">
        <f>IF(A2867="","",COUNTIFS($A$2:$A$20000,A2867,$B$2:$B$20000,"&gt;"&amp;B2867)+1)</f>
        <v/>
      </c>
    </row>
    <row r="2868">
      <c r="A2868" t="inlineStr">
        <is>
          <t>샘플종목27</t>
        </is>
      </c>
      <c r="B2868" s="3" t="n">
        <v>45597</v>
      </c>
      <c r="C2868" t="n">
        <v>41260</v>
      </c>
      <c r="D2868" t="n">
        <v>7490500</v>
      </c>
      <c r="E2868">
        <f>IF(A2868="","",COUNTIFS($A$2:$A$20000,A2868,$B$2:$B$20000,"&gt;"&amp;B2868)+1)</f>
        <v/>
      </c>
    </row>
    <row r="2869">
      <c r="A2869" t="inlineStr">
        <is>
          <t>샘플종목27</t>
        </is>
      </c>
      <c r="B2869" s="3" t="n">
        <v>45604</v>
      </c>
      <c r="C2869" t="n">
        <v>41643</v>
      </c>
      <c r="D2869" t="n">
        <v>5323196</v>
      </c>
      <c r="E2869">
        <f>IF(A2869="","",COUNTIFS($A$2:$A$20000,A2869,$B$2:$B$20000,"&gt;"&amp;B2869)+1)</f>
        <v/>
      </c>
    </row>
    <row r="2870">
      <c r="A2870" t="inlineStr">
        <is>
          <t>샘플종목27</t>
        </is>
      </c>
      <c r="B2870" s="3" t="n">
        <v>45611</v>
      </c>
      <c r="C2870" t="n">
        <v>45423</v>
      </c>
      <c r="D2870" t="n">
        <v>358190</v>
      </c>
      <c r="E2870">
        <f>IF(A2870="","",COUNTIFS($A$2:$A$20000,A2870,$B$2:$B$20000,"&gt;"&amp;B2870)+1)</f>
        <v/>
      </c>
    </row>
    <row r="2871">
      <c r="A2871" t="inlineStr">
        <is>
          <t>샘플종목27</t>
        </is>
      </c>
      <c r="B2871" s="3" t="n">
        <v>45618</v>
      </c>
      <c r="C2871" t="n">
        <v>45341</v>
      </c>
      <c r="D2871" t="n">
        <v>3929286</v>
      </c>
      <c r="E2871">
        <f>IF(A2871="","",COUNTIFS($A$2:$A$20000,A2871,$B$2:$B$20000,"&gt;"&amp;B2871)+1)</f>
        <v/>
      </c>
    </row>
    <row r="2872">
      <c r="A2872" t="inlineStr">
        <is>
          <t>샘플종목27</t>
        </is>
      </c>
      <c r="B2872" s="3" t="n">
        <v>45625</v>
      </c>
      <c r="C2872" t="n">
        <v>49397</v>
      </c>
      <c r="D2872" t="n">
        <v>4132886</v>
      </c>
      <c r="E2872">
        <f>IF(A2872="","",COUNTIFS($A$2:$A$20000,A2872,$B$2:$B$20000,"&gt;"&amp;B2872)+1)</f>
        <v/>
      </c>
    </row>
    <row r="2873">
      <c r="A2873" t="inlineStr">
        <is>
          <t>샘플종목27</t>
        </is>
      </c>
      <c r="B2873" s="3" t="n">
        <v>45632</v>
      </c>
      <c r="C2873" t="n">
        <v>53354</v>
      </c>
      <c r="D2873" t="n">
        <v>7186370</v>
      </c>
      <c r="E2873">
        <f>IF(A2873="","",COUNTIFS($A$2:$A$20000,A2873,$B$2:$B$20000,"&gt;"&amp;B2873)+1)</f>
        <v/>
      </c>
    </row>
    <row r="2874">
      <c r="A2874" t="inlineStr">
        <is>
          <t>샘플종목27</t>
        </is>
      </c>
      <c r="B2874" s="3" t="n">
        <v>45639</v>
      </c>
      <c r="C2874" t="n">
        <v>53575</v>
      </c>
      <c r="D2874" t="n">
        <v>6428484</v>
      </c>
      <c r="E2874">
        <f>IF(A2874="","",COUNTIFS($A$2:$A$20000,A2874,$B$2:$B$20000,"&gt;"&amp;B2874)+1)</f>
        <v/>
      </c>
    </row>
    <row r="2875">
      <c r="A2875" t="inlineStr">
        <is>
          <t>샘플종목27</t>
        </is>
      </c>
      <c r="B2875" s="3" t="n">
        <v>45646</v>
      </c>
      <c r="C2875" t="n">
        <v>56531</v>
      </c>
      <c r="D2875" t="n">
        <v>736911</v>
      </c>
      <c r="E2875">
        <f>IF(A2875="","",COUNTIFS($A$2:$A$20000,A2875,$B$2:$B$20000,"&gt;"&amp;B2875)+1)</f>
        <v/>
      </c>
    </row>
    <row r="2876">
      <c r="A2876" t="inlineStr">
        <is>
          <t>샘플종목27</t>
        </is>
      </c>
      <c r="B2876" s="3" t="n">
        <v>45653</v>
      </c>
      <c r="C2876" t="n">
        <v>53808</v>
      </c>
      <c r="D2876" t="n">
        <v>5196352</v>
      </c>
      <c r="E2876">
        <f>IF(A2876="","",COUNTIFS($A$2:$A$20000,A2876,$B$2:$B$20000,"&gt;"&amp;B2876)+1)</f>
        <v/>
      </c>
    </row>
    <row r="2877">
      <c r="A2877" t="inlineStr">
        <is>
          <t>샘플종목27</t>
        </is>
      </c>
      <c r="B2877" s="3" t="n">
        <v>45660</v>
      </c>
      <c r="C2877" t="n">
        <v>53580</v>
      </c>
      <c r="D2877" t="n">
        <v>4616107</v>
      </c>
      <c r="E2877">
        <f>IF(A2877="","",COUNTIFS($A$2:$A$20000,A2877,$B$2:$B$20000,"&gt;"&amp;B2877)+1)</f>
        <v/>
      </c>
    </row>
    <row r="2878">
      <c r="A2878" t="inlineStr">
        <is>
          <t>샘플종목27</t>
        </is>
      </c>
      <c r="B2878" s="3" t="n">
        <v>45667</v>
      </c>
      <c r="C2878" t="n">
        <v>50358</v>
      </c>
      <c r="D2878" t="n">
        <v>7948417</v>
      </c>
      <c r="E2878">
        <f>IF(A2878="","",COUNTIFS($A$2:$A$20000,A2878,$B$2:$B$20000,"&gt;"&amp;B2878)+1)</f>
        <v/>
      </c>
    </row>
    <row r="2879">
      <c r="A2879" t="inlineStr">
        <is>
          <t>샘플종목27</t>
        </is>
      </c>
      <c r="B2879" s="3" t="n">
        <v>45674</v>
      </c>
      <c r="C2879" t="n">
        <v>51068</v>
      </c>
      <c r="D2879" t="n">
        <v>328442</v>
      </c>
      <c r="E2879">
        <f>IF(A2879="","",COUNTIFS($A$2:$A$20000,A2879,$B$2:$B$20000,"&gt;"&amp;B2879)+1)</f>
        <v/>
      </c>
    </row>
    <row r="2880">
      <c r="A2880" t="inlineStr">
        <is>
          <t>샘플종목27</t>
        </is>
      </c>
      <c r="B2880" s="3" t="n">
        <v>45681</v>
      </c>
      <c r="C2880" t="n">
        <v>53053</v>
      </c>
      <c r="D2880" t="n">
        <v>3922359</v>
      </c>
      <c r="E2880">
        <f>IF(A2880="","",COUNTIFS($A$2:$A$20000,A2880,$B$2:$B$20000,"&gt;"&amp;B2880)+1)</f>
        <v/>
      </c>
    </row>
    <row r="2881">
      <c r="A2881" t="inlineStr">
        <is>
          <t>샘플종목27</t>
        </is>
      </c>
      <c r="B2881" s="3" t="n">
        <v>45688</v>
      </c>
      <c r="C2881" t="n">
        <v>53855</v>
      </c>
      <c r="D2881" t="n">
        <v>3039197</v>
      </c>
      <c r="E2881">
        <f>IF(A2881="","",COUNTIFS($A$2:$A$20000,A2881,$B$2:$B$20000,"&gt;"&amp;B2881)+1)</f>
        <v/>
      </c>
    </row>
    <row r="2882">
      <c r="A2882" t="inlineStr">
        <is>
          <t>샘플종목27</t>
        </is>
      </c>
      <c r="B2882" s="3" t="n">
        <v>45695</v>
      </c>
      <c r="C2882" t="n">
        <v>54685</v>
      </c>
      <c r="D2882" t="n">
        <v>9299795</v>
      </c>
      <c r="E2882">
        <f>IF(A2882="","",COUNTIFS($A$2:$A$20000,A2882,$B$2:$B$20000,"&gt;"&amp;B2882)+1)</f>
        <v/>
      </c>
    </row>
    <row r="2883">
      <c r="A2883" t="inlineStr">
        <is>
          <t>샘플종목27</t>
        </is>
      </c>
      <c r="B2883" s="3" t="n">
        <v>45702</v>
      </c>
      <c r="C2883" t="n">
        <v>50656</v>
      </c>
      <c r="D2883" t="n">
        <v>6596747</v>
      </c>
      <c r="E2883">
        <f>IF(A2883="","",COUNTIFS($A$2:$A$20000,A2883,$B$2:$B$20000,"&gt;"&amp;B2883)+1)</f>
        <v/>
      </c>
    </row>
    <row r="2884">
      <c r="A2884" t="inlineStr">
        <is>
          <t>샘플종목27</t>
        </is>
      </c>
      <c r="B2884" s="3" t="n">
        <v>45709</v>
      </c>
      <c r="C2884" t="n">
        <v>53478</v>
      </c>
      <c r="D2884" t="n">
        <v>4461867</v>
      </c>
      <c r="E2884">
        <f>IF(A2884="","",COUNTIFS($A$2:$A$20000,A2884,$B$2:$B$20000,"&gt;"&amp;B2884)+1)</f>
        <v/>
      </c>
    </row>
    <row r="2885">
      <c r="A2885" t="inlineStr">
        <is>
          <t>샘플종목27</t>
        </is>
      </c>
      <c r="B2885" s="3" t="n">
        <v>45716</v>
      </c>
      <c r="C2885" t="n">
        <v>58099</v>
      </c>
      <c r="D2885" t="n">
        <v>7489132</v>
      </c>
      <c r="E2885">
        <f>IF(A2885="","",COUNTIFS($A$2:$A$20000,A2885,$B$2:$B$20000,"&gt;"&amp;B2885)+1)</f>
        <v/>
      </c>
    </row>
    <row r="2886">
      <c r="A2886" t="inlineStr">
        <is>
          <t>샘플종목27</t>
        </is>
      </c>
      <c r="B2886" s="3" t="n">
        <v>45723</v>
      </c>
      <c r="C2886" t="n">
        <v>62634</v>
      </c>
      <c r="D2886" t="n">
        <v>5312150</v>
      </c>
      <c r="E2886">
        <f>IF(A2886="","",COUNTIFS($A$2:$A$20000,A2886,$B$2:$B$20000,"&gt;"&amp;B2886)+1)</f>
        <v/>
      </c>
    </row>
    <row r="2887">
      <c r="A2887" t="inlineStr">
        <is>
          <t>샘플종목27</t>
        </is>
      </c>
      <c r="B2887" s="3" t="n">
        <v>45730</v>
      </c>
      <c r="C2887" t="n">
        <v>60832</v>
      </c>
      <c r="D2887" t="n">
        <v>7848652</v>
      </c>
      <c r="E2887">
        <f>IF(A2887="","",COUNTIFS($A$2:$A$20000,A2887,$B$2:$B$20000,"&gt;"&amp;B2887)+1)</f>
        <v/>
      </c>
    </row>
    <row r="2888">
      <c r="A2888" t="inlineStr">
        <is>
          <t>샘플종목27</t>
        </is>
      </c>
      <c r="B2888" s="3" t="n">
        <v>45737</v>
      </c>
      <c r="C2888" t="n">
        <v>63535</v>
      </c>
      <c r="D2888" t="n">
        <v>1232080</v>
      </c>
      <c r="E2888">
        <f>IF(A2888="","",COUNTIFS($A$2:$A$20000,A2888,$B$2:$B$20000,"&gt;"&amp;B2888)+1)</f>
        <v/>
      </c>
    </row>
    <row r="2889">
      <c r="A2889" t="inlineStr">
        <is>
          <t>샘플종목27</t>
        </is>
      </c>
      <c r="B2889" s="3" t="n">
        <v>45744</v>
      </c>
      <c r="C2889" t="n">
        <v>60834</v>
      </c>
      <c r="D2889" t="n">
        <v>1668747</v>
      </c>
      <c r="E2889">
        <f>IF(A2889="","",COUNTIFS($A$2:$A$20000,A2889,$B$2:$B$20000,"&gt;"&amp;B2889)+1)</f>
        <v/>
      </c>
    </row>
    <row r="2890">
      <c r="A2890" t="inlineStr">
        <is>
          <t>샘플종목27</t>
        </is>
      </c>
      <c r="B2890" s="3" t="n">
        <v>45751</v>
      </c>
      <c r="C2890" t="n">
        <v>62239</v>
      </c>
      <c r="D2890" t="n">
        <v>180624</v>
      </c>
      <c r="E2890">
        <f>IF(A2890="","",COUNTIFS($A$2:$A$20000,A2890,$B$2:$B$20000,"&gt;"&amp;B2890)+1)</f>
        <v/>
      </c>
    </row>
    <row r="2891">
      <c r="A2891" t="inlineStr">
        <is>
          <t>샘플종목27</t>
        </is>
      </c>
      <c r="B2891" s="3" t="n">
        <v>45758</v>
      </c>
      <c r="C2891" t="n">
        <v>61471</v>
      </c>
      <c r="D2891" t="n">
        <v>7357634</v>
      </c>
      <c r="E2891">
        <f>IF(A2891="","",COUNTIFS($A$2:$A$20000,A2891,$B$2:$B$20000,"&gt;"&amp;B2891)+1)</f>
        <v/>
      </c>
    </row>
    <row r="2892">
      <c r="A2892" t="inlineStr">
        <is>
          <t>샘플종목27</t>
        </is>
      </c>
      <c r="B2892" s="3" t="n">
        <v>45765</v>
      </c>
      <c r="C2892" t="n">
        <v>59302</v>
      </c>
      <c r="D2892" t="n">
        <v>5935898</v>
      </c>
      <c r="E2892">
        <f>IF(A2892="","",COUNTIFS($A$2:$A$20000,A2892,$B$2:$B$20000,"&gt;"&amp;B2892)+1)</f>
        <v/>
      </c>
    </row>
    <row r="2893">
      <c r="A2893" t="inlineStr">
        <is>
          <t>샘플종목27</t>
        </is>
      </c>
      <c r="B2893" s="3" t="n">
        <v>45772</v>
      </c>
      <c r="C2893" t="n">
        <v>60817</v>
      </c>
      <c r="D2893" t="n">
        <v>8758804</v>
      </c>
      <c r="E2893">
        <f>IF(A2893="","",COUNTIFS($A$2:$A$20000,A2893,$B$2:$B$20000,"&gt;"&amp;B2893)+1)</f>
        <v/>
      </c>
    </row>
    <row r="2894">
      <c r="A2894" t="inlineStr">
        <is>
          <t>샘플종목27</t>
        </is>
      </c>
      <c r="B2894" s="3" t="n">
        <v>45779</v>
      </c>
      <c r="C2894" t="n">
        <v>58335</v>
      </c>
      <c r="D2894" t="n">
        <v>1781216</v>
      </c>
      <c r="E2894">
        <f>IF(A2894="","",COUNTIFS($A$2:$A$20000,A2894,$B$2:$B$20000,"&gt;"&amp;B2894)+1)</f>
        <v/>
      </c>
    </row>
    <row r="2895">
      <c r="A2895" t="inlineStr">
        <is>
          <t>샘플종목27</t>
        </is>
      </c>
      <c r="B2895" s="3" t="n">
        <v>45786</v>
      </c>
      <c r="C2895" t="n">
        <v>61164</v>
      </c>
      <c r="D2895" t="n">
        <v>8666463</v>
      </c>
      <c r="E2895">
        <f>IF(A2895="","",COUNTIFS($A$2:$A$20000,A2895,$B$2:$B$20000,"&gt;"&amp;B2895)+1)</f>
        <v/>
      </c>
    </row>
    <row r="2896">
      <c r="A2896" t="inlineStr">
        <is>
          <t>샘플종목27</t>
        </is>
      </c>
      <c r="B2896" s="3" t="n">
        <v>45793</v>
      </c>
      <c r="C2896" t="n">
        <v>60101</v>
      </c>
      <c r="D2896" t="n">
        <v>4969519</v>
      </c>
      <c r="E2896">
        <f>IF(A2896="","",COUNTIFS($A$2:$A$20000,A2896,$B$2:$B$20000,"&gt;"&amp;B2896)+1)</f>
        <v/>
      </c>
    </row>
    <row r="2897">
      <c r="A2897" t="inlineStr">
        <is>
          <t>샘플종목27</t>
        </is>
      </c>
      <c r="B2897" s="3" t="n">
        <v>45800</v>
      </c>
      <c r="C2897" t="n">
        <v>60015</v>
      </c>
      <c r="D2897" t="n">
        <v>9177544</v>
      </c>
      <c r="E2897">
        <f>IF(A2897="","",COUNTIFS($A$2:$A$20000,A2897,$B$2:$B$20000,"&gt;"&amp;B2897)+1)</f>
        <v/>
      </c>
    </row>
    <row r="2898">
      <c r="A2898" t="inlineStr">
        <is>
          <t>샘플종목27</t>
        </is>
      </c>
      <c r="B2898" s="3" t="n">
        <v>45807</v>
      </c>
      <c r="C2898" t="n">
        <v>61373</v>
      </c>
      <c r="D2898" t="n">
        <v>6102458</v>
      </c>
      <c r="E2898">
        <f>IF(A2898="","",COUNTIFS($A$2:$A$20000,A2898,$B$2:$B$20000,"&gt;"&amp;B2898)+1)</f>
        <v/>
      </c>
    </row>
    <row r="2899">
      <c r="A2899" t="inlineStr">
        <is>
          <t>샘플종목27</t>
        </is>
      </c>
      <c r="B2899" s="3" t="n">
        <v>45814</v>
      </c>
      <c r="C2899" t="n">
        <v>66366</v>
      </c>
      <c r="D2899" t="n">
        <v>5728400</v>
      </c>
      <c r="E2899">
        <f>IF(A2899="","",COUNTIFS($A$2:$A$20000,A2899,$B$2:$B$20000,"&gt;"&amp;B2899)+1)</f>
        <v/>
      </c>
    </row>
    <row r="2900">
      <c r="A2900" t="inlineStr">
        <is>
          <t>샘플종목27</t>
        </is>
      </c>
      <c r="B2900" s="3" t="n">
        <v>45821</v>
      </c>
      <c r="C2900" t="n">
        <v>63774</v>
      </c>
      <c r="D2900" t="n">
        <v>4696365</v>
      </c>
      <c r="E2900">
        <f>IF(A2900="","",COUNTIFS($A$2:$A$20000,A2900,$B$2:$B$20000,"&gt;"&amp;B2900)+1)</f>
        <v/>
      </c>
    </row>
    <row r="2901">
      <c r="A2901" t="inlineStr">
        <is>
          <t>샘플종목27</t>
        </is>
      </c>
      <c r="B2901" s="3" t="n">
        <v>45828</v>
      </c>
      <c r="C2901" t="n">
        <v>61950</v>
      </c>
      <c r="D2901" t="n">
        <v>4864477</v>
      </c>
      <c r="E2901">
        <f>IF(A2901="","",COUNTIFS($A$2:$A$20000,A2901,$B$2:$B$20000,"&gt;"&amp;B2901)+1)</f>
        <v/>
      </c>
    </row>
    <row r="2902">
      <c r="A2902" t="inlineStr">
        <is>
          <t>샘플종목27</t>
        </is>
      </c>
      <c r="B2902" s="3" t="n">
        <v>45835</v>
      </c>
      <c r="C2902" t="n">
        <v>62321</v>
      </c>
      <c r="D2902" t="n">
        <v>6297238</v>
      </c>
      <c r="E2902">
        <f>IF(A2902="","",COUNTIFS($A$2:$A$20000,A2902,$B$2:$B$20000,"&gt;"&amp;B2902)+1)</f>
        <v/>
      </c>
    </row>
    <row r="2903">
      <c r="A2903" t="inlineStr">
        <is>
          <t>샘플종목27</t>
        </is>
      </c>
      <c r="B2903" s="3" t="n">
        <v>45842</v>
      </c>
      <c r="C2903" t="n">
        <v>58996</v>
      </c>
      <c r="D2903" t="n">
        <v>2019143</v>
      </c>
      <c r="E2903">
        <f>IF(A2903="","",COUNTIFS($A$2:$A$20000,A2903,$B$2:$B$20000,"&gt;"&amp;B2903)+1)</f>
        <v/>
      </c>
    </row>
    <row r="2904">
      <c r="A2904" t="inlineStr">
        <is>
          <t>샘플종목27</t>
        </is>
      </c>
      <c r="B2904" s="3" t="n">
        <v>45849</v>
      </c>
      <c r="C2904" t="n">
        <v>54585</v>
      </c>
      <c r="D2904" t="n">
        <v>5595623</v>
      </c>
      <c r="E2904">
        <f>IF(A2904="","",COUNTIFS($A$2:$A$20000,A2904,$B$2:$B$20000,"&gt;"&amp;B2904)+1)</f>
        <v/>
      </c>
    </row>
    <row r="2905">
      <c r="A2905" t="inlineStr">
        <is>
          <t>샘플종목27</t>
        </is>
      </c>
      <c r="B2905" s="3" t="n">
        <v>45856</v>
      </c>
      <c r="C2905" t="n">
        <v>59385</v>
      </c>
      <c r="D2905" t="n">
        <v>2407807</v>
      </c>
      <c r="E2905">
        <f>IF(A2905="","",COUNTIFS($A$2:$A$20000,A2905,$B$2:$B$20000,"&gt;"&amp;B2905)+1)</f>
        <v/>
      </c>
    </row>
    <row r="2906">
      <c r="A2906" t="inlineStr">
        <is>
          <t>샘플종목27</t>
        </is>
      </c>
      <c r="B2906" s="3" t="n">
        <v>45863</v>
      </c>
      <c r="C2906" t="n">
        <v>57334</v>
      </c>
      <c r="D2906" t="n">
        <v>5781119</v>
      </c>
      <c r="E2906">
        <f>IF(A2906="","",COUNTIFS($A$2:$A$20000,A2906,$B$2:$B$20000,"&gt;"&amp;B2906)+1)</f>
        <v/>
      </c>
    </row>
    <row r="2907">
      <c r="A2907" t="inlineStr">
        <is>
          <t>샘플종목27</t>
        </is>
      </c>
      <c r="B2907" s="3" t="n">
        <v>45870</v>
      </c>
      <c r="C2907" t="n">
        <v>61350</v>
      </c>
      <c r="D2907" t="n">
        <v>2807794</v>
      </c>
      <c r="E2907">
        <f>IF(A2907="","",COUNTIFS($A$2:$A$20000,A2907,$B$2:$B$20000,"&gt;"&amp;B2907)+1)</f>
        <v/>
      </c>
    </row>
    <row r="2908">
      <c r="A2908" t="inlineStr">
        <is>
          <t>샘플종목27</t>
        </is>
      </c>
      <c r="B2908" s="3" t="n">
        <v>45877</v>
      </c>
      <c r="C2908" t="n">
        <v>56129</v>
      </c>
      <c r="D2908" t="n">
        <v>6154126</v>
      </c>
      <c r="E2908">
        <f>IF(A2908="","",COUNTIFS($A$2:$A$20000,A2908,$B$2:$B$20000,"&gt;"&amp;B2908)+1)</f>
        <v/>
      </c>
    </row>
    <row r="2909">
      <c r="A2909" t="inlineStr">
        <is>
          <t>샘플종목27</t>
        </is>
      </c>
      <c r="B2909" s="3" t="n">
        <v>45884</v>
      </c>
      <c r="C2909" t="n">
        <v>59033</v>
      </c>
      <c r="D2909" t="n">
        <v>3828772</v>
      </c>
      <c r="E2909">
        <f>IF(A2909="","",COUNTIFS($A$2:$A$20000,A2909,$B$2:$B$20000,"&gt;"&amp;B2909)+1)</f>
        <v/>
      </c>
    </row>
    <row r="2910">
      <c r="A2910" t="inlineStr">
        <is>
          <t>샘플종목27</t>
        </is>
      </c>
      <c r="B2910" s="3" t="n">
        <v>45891</v>
      </c>
      <c r="C2910" t="n">
        <v>58005</v>
      </c>
      <c r="D2910" t="n">
        <v>3416939</v>
      </c>
      <c r="E2910">
        <f>IF(A2910="","",COUNTIFS($A$2:$A$20000,A2910,$B$2:$B$20000,"&gt;"&amp;B2910)+1)</f>
        <v/>
      </c>
    </row>
    <row r="2911">
      <c r="A2911" t="inlineStr">
        <is>
          <t>샘플종목27</t>
        </is>
      </c>
      <c r="B2911" s="3" t="n">
        <v>45898</v>
      </c>
      <c r="C2911" t="n">
        <v>58918</v>
      </c>
      <c r="D2911" t="n">
        <v>9017592</v>
      </c>
      <c r="E2911">
        <f>IF(A2911="","",COUNTIFS($A$2:$A$20000,A2911,$B$2:$B$20000,"&gt;"&amp;B2911)+1)</f>
        <v/>
      </c>
    </row>
    <row r="2912">
      <c r="A2912" t="inlineStr">
        <is>
          <t>샘플종목27</t>
        </is>
      </c>
      <c r="B2912" s="3" t="n">
        <v>45905</v>
      </c>
      <c r="C2912" t="n">
        <v>56766</v>
      </c>
      <c r="D2912" t="n">
        <v>4004402</v>
      </c>
      <c r="E2912">
        <f>IF(A2912="","",COUNTIFS($A$2:$A$20000,A2912,$B$2:$B$20000,"&gt;"&amp;B2912)+1)</f>
        <v/>
      </c>
    </row>
    <row r="2913">
      <c r="A2913" t="inlineStr">
        <is>
          <t>샘플종목27</t>
        </is>
      </c>
      <c r="B2913" s="3" t="n">
        <v>45912</v>
      </c>
      <c r="C2913" t="n">
        <v>57646</v>
      </c>
      <c r="D2913" t="n">
        <v>2990861</v>
      </c>
      <c r="E2913">
        <f>IF(A2913="","",COUNTIFS($A$2:$A$20000,A2913,$B$2:$B$20000,"&gt;"&amp;B2913)+1)</f>
        <v/>
      </c>
    </row>
    <row r="2914">
      <c r="A2914" t="inlineStr">
        <is>
          <t>샘플종목27</t>
        </is>
      </c>
      <c r="B2914" s="3" t="n">
        <v>45919</v>
      </c>
      <c r="C2914" t="n">
        <v>58395</v>
      </c>
      <c r="D2914" t="n">
        <v>6390506</v>
      </c>
      <c r="E2914">
        <f>IF(A2914="","",COUNTIFS($A$2:$A$20000,A2914,$B$2:$B$20000,"&gt;"&amp;B2914)+1)</f>
        <v/>
      </c>
    </row>
    <row r="2915">
      <c r="A2915" t="inlineStr">
        <is>
          <t>샘플종목27</t>
        </is>
      </c>
      <c r="B2915" s="3" t="n">
        <v>45926</v>
      </c>
      <c r="C2915" t="n">
        <v>56010</v>
      </c>
      <c r="D2915" t="n">
        <v>1077245</v>
      </c>
      <c r="E2915">
        <f>IF(A2915="","",COUNTIFS($A$2:$A$20000,A2915,$B$2:$B$20000,"&gt;"&amp;B2915)+1)</f>
        <v/>
      </c>
    </row>
    <row r="2916">
      <c r="A2916" t="inlineStr">
        <is>
          <t>샘플종목27</t>
        </is>
      </c>
      <c r="B2916" s="3" t="n">
        <v>45933</v>
      </c>
      <c r="C2916" t="n">
        <v>57675</v>
      </c>
      <c r="D2916" t="n">
        <v>5481120</v>
      </c>
      <c r="E2916">
        <f>IF(A2916="","",COUNTIFS($A$2:$A$20000,A2916,$B$2:$B$20000,"&gt;"&amp;B2916)+1)</f>
        <v/>
      </c>
    </row>
    <row r="2917">
      <c r="A2917" t="inlineStr">
        <is>
          <t>샘플종목27</t>
        </is>
      </c>
      <c r="B2917" s="3" t="n">
        <v>45940</v>
      </c>
      <c r="C2917" t="n">
        <v>58082</v>
      </c>
      <c r="D2917" t="n">
        <v>6835850</v>
      </c>
      <c r="E2917">
        <f>IF(A2917="","",COUNTIFS($A$2:$A$20000,A2917,$B$2:$B$20000,"&gt;"&amp;B2917)+1)</f>
        <v/>
      </c>
    </row>
    <row r="2918">
      <c r="A2918" t="inlineStr">
        <is>
          <t>샘플종목27</t>
        </is>
      </c>
      <c r="B2918" s="3" t="n">
        <v>45947</v>
      </c>
      <c r="C2918" t="n">
        <v>56973</v>
      </c>
      <c r="D2918" t="n">
        <v>8024599</v>
      </c>
      <c r="E2918">
        <f>IF(A2918="","",COUNTIFS($A$2:$A$20000,A2918,$B$2:$B$20000,"&gt;"&amp;B2918)+1)</f>
        <v/>
      </c>
    </row>
    <row r="2919">
      <c r="A2919" t="inlineStr">
        <is>
          <t>샘플종목27</t>
        </is>
      </c>
      <c r="B2919" s="3" t="n">
        <v>45954</v>
      </c>
      <c r="C2919" t="n">
        <v>54701</v>
      </c>
      <c r="D2919" t="n">
        <v>3413921</v>
      </c>
      <c r="E2919">
        <f>IF(A2919="","",COUNTIFS($A$2:$A$20000,A2919,$B$2:$B$20000,"&gt;"&amp;B2919)+1)</f>
        <v/>
      </c>
    </row>
    <row r="2920">
      <c r="A2920" t="inlineStr">
        <is>
          <t>샘플종목27</t>
        </is>
      </c>
      <c r="B2920" s="3" t="n">
        <v>45961</v>
      </c>
      <c r="C2920" t="n">
        <v>54020</v>
      </c>
      <c r="D2920" t="n">
        <v>3027561</v>
      </c>
      <c r="E2920">
        <f>IF(A2920="","",COUNTIFS($A$2:$A$20000,A2920,$B$2:$B$20000,"&gt;"&amp;B2920)+1)</f>
        <v/>
      </c>
    </row>
    <row r="2921">
      <c r="A2921" t="inlineStr">
        <is>
          <t>샘플종목27</t>
        </is>
      </c>
      <c r="B2921" s="3" t="n">
        <v>45968</v>
      </c>
      <c r="C2921" t="n">
        <v>53919</v>
      </c>
      <c r="D2921" t="n">
        <v>3224472</v>
      </c>
      <c r="E2921">
        <f>IF(A2921="","",COUNTIFS($A$2:$A$20000,A2921,$B$2:$B$20000,"&gt;"&amp;B2921)+1)</f>
        <v/>
      </c>
    </row>
    <row r="2922">
      <c r="A2922" t="inlineStr">
        <is>
          <t>샘플종목27</t>
        </is>
      </c>
      <c r="B2922" s="3" t="n">
        <v>45975</v>
      </c>
      <c r="C2922" t="n">
        <v>53858</v>
      </c>
      <c r="D2922" t="n">
        <v>2384412</v>
      </c>
      <c r="E2922">
        <f>IF(A2922="","",COUNTIFS($A$2:$A$20000,A2922,$B$2:$B$20000,"&gt;"&amp;B2922)+1)</f>
        <v/>
      </c>
    </row>
    <row r="2923">
      <c r="A2923" t="inlineStr">
        <is>
          <t>샘플종목27</t>
        </is>
      </c>
      <c r="B2923" s="3" t="n">
        <v>45982</v>
      </c>
      <c r="C2923" t="n">
        <v>57059</v>
      </c>
      <c r="D2923" t="n">
        <v>2979701</v>
      </c>
      <c r="E2923">
        <f>IF(A2923="","",COUNTIFS($A$2:$A$20000,A2923,$B$2:$B$20000,"&gt;"&amp;B2923)+1)</f>
        <v/>
      </c>
    </row>
    <row r="2924">
      <c r="A2924" t="inlineStr">
        <is>
          <t>샘플종목27</t>
        </is>
      </c>
      <c r="B2924" s="3" t="n">
        <v>45989</v>
      </c>
      <c r="C2924" t="n">
        <v>54672</v>
      </c>
      <c r="D2924" t="n">
        <v>4972297</v>
      </c>
      <c r="E2924">
        <f>IF(A2924="","",COUNTIFS($A$2:$A$20000,A2924,$B$2:$B$20000,"&gt;"&amp;B2924)+1)</f>
        <v/>
      </c>
    </row>
    <row r="2925">
      <c r="A2925" t="inlineStr">
        <is>
          <t>샘플종목27</t>
        </is>
      </c>
      <c r="B2925" s="3" t="n">
        <v>45996</v>
      </c>
      <c r="C2925" t="n">
        <v>51074</v>
      </c>
      <c r="D2925" t="n">
        <v>9338369</v>
      </c>
      <c r="E2925">
        <f>IF(A2925="","",COUNTIFS($A$2:$A$20000,A2925,$B$2:$B$20000,"&gt;"&amp;B2925)+1)</f>
        <v/>
      </c>
    </row>
    <row r="2926">
      <c r="A2926" t="inlineStr">
        <is>
          <t>샘플종목27</t>
        </is>
      </c>
      <c r="B2926" s="3" t="n">
        <v>46003</v>
      </c>
      <c r="C2926" t="n">
        <v>48007</v>
      </c>
      <c r="D2926" t="n">
        <v>1966768</v>
      </c>
      <c r="E2926">
        <f>IF(A2926="","",COUNTIFS($A$2:$A$20000,A2926,$B$2:$B$20000,"&gt;"&amp;B2926)+1)</f>
        <v/>
      </c>
    </row>
    <row r="2927">
      <c r="A2927" t="inlineStr">
        <is>
          <t>샘플종목27</t>
        </is>
      </c>
      <c r="B2927" s="3" t="n">
        <v>46010</v>
      </c>
      <c r="C2927" t="n">
        <v>47452</v>
      </c>
      <c r="D2927" t="n">
        <v>2360803</v>
      </c>
      <c r="E2927">
        <f>IF(A2927="","",COUNTIFS($A$2:$A$20000,A2927,$B$2:$B$20000,"&gt;"&amp;B2927)+1)</f>
        <v/>
      </c>
    </row>
    <row r="2928">
      <c r="A2928" t="inlineStr">
        <is>
          <t>샘플종목27</t>
        </is>
      </c>
      <c r="B2928" s="3" t="n">
        <v>46017</v>
      </c>
      <c r="C2928" t="n">
        <v>47309</v>
      </c>
      <c r="D2928" t="n">
        <v>3474299</v>
      </c>
      <c r="E2928">
        <f>IF(A2928="","",COUNTIFS($A$2:$A$20000,A2928,$B$2:$B$20000,"&gt;"&amp;B2928)+1)</f>
        <v/>
      </c>
    </row>
    <row r="2929">
      <c r="A2929" t="inlineStr">
        <is>
          <t>샘플종목27</t>
        </is>
      </c>
      <c r="B2929" s="3" t="n">
        <v>46024</v>
      </c>
      <c r="C2929" t="n">
        <v>48987</v>
      </c>
      <c r="D2929" t="n">
        <v>9263503</v>
      </c>
      <c r="E2929">
        <f>IF(A2929="","",COUNTIFS($A$2:$A$20000,A2929,$B$2:$B$20000,"&gt;"&amp;B2929)+1)</f>
        <v/>
      </c>
    </row>
    <row r="2930">
      <c r="A2930" t="inlineStr">
        <is>
          <t>샘플종목27</t>
        </is>
      </c>
      <c r="B2930" s="3" t="n">
        <v>46031</v>
      </c>
      <c r="C2930" t="n">
        <v>52486</v>
      </c>
      <c r="D2930" t="n">
        <v>9687714</v>
      </c>
      <c r="E2930">
        <f>IF(A2930="","",COUNTIFS($A$2:$A$20000,A2930,$B$2:$B$20000,"&gt;"&amp;B2930)+1)</f>
        <v/>
      </c>
    </row>
    <row r="2931">
      <c r="A2931" t="inlineStr">
        <is>
          <t>샘플종목27</t>
        </is>
      </c>
      <c r="B2931" s="3" t="n">
        <v>46038</v>
      </c>
      <c r="C2931" t="n">
        <v>51980</v>
      </c>
      <c r="D2931" t="n">
        <v>3827706</v>
      </c>
      <c r="E2931">
        <f>IF(A2931="","",COUNTIFS($A$2:$A$20000,A2931,$B$2:$B$20000,"&gt;"&amp;B2931)+1)</f>
        <v/>
      </c>
    </row>
    <row r="2932">
      <c r="A2932" t="inlineStr">
        <is>
          <t>샘플종목27</t>
        </is>
      </c>
      <c r="B2932" s="3" t="n">
        <v>46045</v>
      </c>
      <c r="C2932" t="n">
        <v>50468</v>
      </c>
      <c r="D2932" t="n">
        <v>5464580</v>
      </c>
      <c r="E2932">
        <f>IF(A2932="","",COUNTIFS($A$2:$A$20000,A2932,$B$2:$B$20000,"&gt;"&amp;B2932)+1)</f>
        <v/>
      </c>
    </row>
    <row r="2933">
      <c r="A2933" t="inlineStr">
        <is>
          <t>샘플종목27</t>
        </is>
      </c>
      <c r="B2933" s="3" t="n">
        <v>46052</v>
      </c>
      <c r="C2933" t="n">
        <v>47634</v>
      </c>
      <c r="D2933" t="n">
        <v>9607405</v>
      </c>
      <c r="E2933">
        <f>IF(A2933="","",COUNTIFS($A$2:$A$20000,A2933,$B$2:$B$20000,"&gt;"&amp;B2933)+1)</f>
        <v/>
      </c>
    </row>
    <row r="2934">
      <c r="A2934" t="inlineStr">
        <is>
          <t>샘플종목27</t>
        </is>
      </c>
      <c r="B2934" s="3" t="n">
        <v>46059</v>
      </c>
      <c r="C2934" t="n">
        <v>50345</v>
      </c>
      <c r="D2934" t="n">
        <v>8381019</v>
      </c>
      <c r="E2934">
        <f>IF(A2934="","",COUNTIFS($A$2:$A$20000,A2934,$B$2:$B$20000,"&gt;"&amp;B2934)+1)</f>
        <v/>
      </c>
    </row>
    <row r="2935">
      <c r="A2935" t="inlineStr">
        <is>
          <t>샘플종목27</t>
        </is>
      </c>
      <c r="B2935" s="3" t="n">
        <v>46066</v>
      </c>
      <c r="C2935" t="n">
        <v>53256</v>
      </c>
      <c r="D2935" t="n">
        <v>7624159</v>
      </c>
      <c r="E2935">
        <f>IF(A2935="","",COUNTIFS($A$2:$A$20000,A2935,$B$2:$B$20000,"&gt;"&amp;B2935)+1)</f>
        <v/>
      </c>
    </row>
    <row r="2936">
      <c r="A2936" t="inlineStr">
        <is>
          <t>샘플종목27</t>
        </is>
      </c>
      <c r="B2936" s="3" t="n">
        <v>46073</v>
      </c>
      <c r="C2936" t="n">
        <v>52148</v>
      </c>
      <c r="D2936" t="n">
        <v>1096424</v>
      </c>
      <c r="E2936">
        <f>IF(A2936="","",COUNTIFS($A$2:$A$20000,A2936,$B$2:$B$20000,"&gt;"&amp;B2936)+1)</f>
        <v/>
      </c>
    </row>
    <row r="2937">
      <c r="A2937" t="inlineStr">
        <is>
          <t>샘플종목27</t>
        </is>
      </c>
      <c r="B2937" s="3" t="n">
        <v>46080</v>
      </c>
      <c r="C2937" t="n">
        <v>51868</v>
      </c>
      <c r="D2937" t="n">
        <v>1886690</v>
      </c>
      <c r="E2937">
        <f>IF(A2937="","",COUNTIFS($A$2:$A$20000,A2937,$B$2:$B$20000,"&gt;"&amp;B2937)+1)</f>
        <v/>
      </c>
    </row>
    <row r="2938">
      <c r="A2938" t="inlineStr">
        <is>
          <t>샘플종목27</t>
        </is>
      </c>
      <c r="B2938" s="3" t="n">
        <v>46087</v>
      </c>
      <c r="C2938" t="n">
        <v>54510</v>
      </c>
      <c r="D2938" t="n">
        <v>8692866</v>
      </c>
      <c r="E2938">
        <f>IF(A2938="","",COUNTIFS($A$2:$A$20000,A2938,$B$2:$B$20000,"&gt;"&amp;B2938)+1)</f>
        <v/>
      </c>
    </row>
    <row r="2939">
      <c r="A2939" t="inlineStr">
        <is>
          <t>샘플종목27</t>
        </is>
      </c>
      <c r="B2939" s="3" t="n">
        <v>46094</v>
      </c>
      <c r="C2939" t="n">
        <v>56103</v>
      </c>
      <c r="D2939" t="n">
        <v>2576335</v>
      </c>
      <c r="E2939">
        <f>IF(A2939="","",COUNTIFS($A$2:$A$20000,A2939,$B$2:$B$20000,"&gt;"&amp;B2939)+1)</f>
        <v/>
      </c>
    </row>
    <row r="2940">
      <c r="A2940" t="inlineStr">
        <is>
          <t>샘플종목27</t>
        </is>
      </c>
      <c r="B2940" s="3" t="n">
        <v>46101</v>
      </c>
      <c r="C2940" t="n">
        <v>55737</v>
      </c>
      <c r="D2940" t="n">
        <v>3072841</v>
      </c>
      <c r="E2940">
        <f>IF(A2940="","",COUNTIFS($A$2:$A$20000,A2940,$B$2:$B$20000,"&gt;"&amp;B2940)+1)</f>
        <v/>
      </c>
    </row>
    <row r="2941">
      <c r="A2941" t="inlineStr">
        <is>
          <t>샘플종목27</t>
        </is>
      </c>
      <c r="B2941" s="3" t="n">
        <v>46108</v>
      </c>
      <c r="C2941" t="n">
        <v>60133</v>
      </c>
      <c r="D2941" t="n">
        <v>8836131</v>
      </c>
      <c r="E2941">
        <f>IF(A2941="","",COUNTIFS($A$2:$A$20000,A2941,$B$2:$B$20000,"&gt;"&amp;B2941)+1)</f>
        <v/>
      </c>
    </row>
    <row r="2942">
      <c r="A2942" t="inlineStr">
        <is>
          <t>샘플종목27</t>
        </is>
      </c>
      <c r="B2942" s="3" t="n">
        <v>46115</v>
      </c>
      <c r="C2942" t="n">
        <v>63557</v>
      </c>
      <c r="D2942" t="n">
        <v>3954886</v>
      </c>
      <c r="E2942">
        <f>IF(A2942="","",COUNTIFS($A$2:$A$20000,A2942,$B$2:$B$20000,"&gt;"&amp;B2942)+1)</f>
        <v/>
      </c>
    </row>
    <row r="2943">
      <c r="A2943" t="inlineStr">
        <is>
          <t>샘플종목27</t>
        </is>
      </c>
      <c r="B2943" s="3" t="n">
        <v>46122</v>
      </c>
      <c r="C2943" t="n">
        <v>64201</v>
      </c>
      <c r="D2943" t="n">
        <v>7482437</v>
      </c>
      <c r="E2943">
        <f>IF(A2943="","",COUNTIFS($A$2:$A$20000,A2943,$B$2:$B$20000,"&gt;"&amp;B2943)+1)</f>
        <v/>
      </c>
    </row>
    <row r="2944">
      <c r="A2944" t="inlineStr">
        <is>
          <t>샘플종목27</t>
        </is>
      </c>
      <c r="B2944" s="3" t="n">
        <v>46129</v>
      </c>
      <c r="C2944" t="n">
        <v>68433</v>
      </c>
      <c r="D2944" t="n">
        <v>7715507</v>
      </c>
      <c r="E2944">
        <f>IF(A2944="","",COUNTIFS($A$2:$A$20000,A2944,$B$2:$B$20000,"&gt;"&amp;B2944)+1)</f>
        <v/>
      </c>
    </row>
    <row r="2945">
      <c r="A2945" t="inlineStr">
        <is>
          <t>샘플종목27</t>
        </is>
      </c>
      <c r="B2945" s="3" t="n">
        <v>46136</v>
      </c>
      <c r="C2945" t="n">
        <v>71230</v>
      </c>
      <c r="D2945" t="n">
        <v>9037829</v>
      </c>
      <c r="E2945">
        <f>IF(A2945="","",COUNTIFS($A$2:$A$20000,A2945,$B$2:$B$20000,"&gt;"&amp;B2945)+1)</f>
        <v/>
      </c>
    </row>
    <row r="2946">
      <c r="A2946" t="inlineStr">
        <is>
          <t>샘플종목27</t>
        </is>
      </c>
      <c r="B2946" s="3" t="n">
        <v>46143</v>
      </c>
      <c r="C2946" t="n">
        <v>71501</v>
      </c>
      <c r="D2946" t="n">
        <v>5368531</v>
      </c>
      <c r="E2946">
        <f>IF(A2946="","",COUNTIFS($A$2:$A$20000,A2946,$B$2:$B$20000,"&gt;"&amp;B2946)+1)</f>
        <v/>
      </c>
    </row>
    <row r="2947">
      <c r="A2947" t="inlineStr">
        <is>
          <t>샘플종목27</t>
        </is>
      </c>
      <c r="B2947" s="3" t="n">
        <v>46150</v>
      </c>
      <c r="C2947" t="n">
        <v>73455</v>
      </c>
      <c r="D2947" t="n">
        <v>5784510</v>
      </c>
      <c r="E2947">
        <f>IF(A2947="","",COUNTIFS($A$2:$A$20000,A2947,$B$2:$B$20000,"&gt;"&amp;B2947)+1)</f>
        <v/>
      </c>
    </row>
    <row r="2948">
      <c r="A2948" t="inlineStr">
        <is>
          <t>샘플종목27</t>
        </is>
      </c>
      <c r="B2948" s="3" t="n">
        <v>46157</v>
      </c>
      <c r="C2948" t="n">
        <v>72358</v>
      </c>
      <c r="D2948" t="n">
        <v>6353210</v>
      </c>
      <c r="E2948">
        <f>IF(A2948="","",COUNTIFS($A$2:$A$20000,A2948,$B$2:$B$20000,"&gt;"&amp;B2948)+1)</f>
        <v/>
      </c>
    </row>
    <row r="2949">
      <c r="A2949" t="inlineStr">
        <is>
          <t>샘플종목27</t>
        </is>
      </c>
      <c r="B2949" s="3" t="n">
        <v>46164</v>
      </c>
      <c r="C2949" t="n">
        <v>71573</v>
      </c>
      <c r="D2949" t="n">
        <v>1208771</v>
      </c>
      <c r="E2949">
        <f>IF(A2949="","",COUNTIFS($A$2:$A$20000,A2949,$B$2:$B$20000,"&gt;"&amp;B2949)+1)</f>
        <v/>
      </c>
    </row>
    <row r="2950">
      <c r="A2950" t="inlineStr">
        <is>
          <t>샘플종목27</t>
        </is>
      </c>
      <c r="B2950" s="3" t="n">
        <v>46171</v>
      </c>
      <c r="C2950" t="n">
        <v>72230</v>
      </c>
      <c r="D2950" t="n">
        <v>2126855</v>
      </c>
      <c r="E2950">
        <f>IF(A2950="","",COUNTIFS($A$2:$A$20000,A2950,$B$2:$B$20000,"&gt;"&amp;B2950)+1)</f>
        <v/>
      </c>
    </row>
    <row r="2951">
      <c r="A2951" t="inlineStr">
        <is>
          <t>샘플종목27</t>
        </is>
      </c>
      <c r="B2951" s="3" t="n">
        <v>46178</v>
      </c>
      <c r="C2951" t="n">
        <v>72043</v>
      </c>
      <c r="D2951" t="n">
        <v>948875</v>
      </c>
      <c r="E2951">
        <f>IF(A2951="","",COUNTIFS($A$2:$A$20000,A2951,$B$2:$B$20000,"&gt;"&amp;B2951)+1)</f>
        <v/>
      </c>
    </row>
    <row r="2952">
      <c r="A2952" t="inlineStr">
        <is>
          <t>샘플종목27</t>
        </is>
      </c>
      <c r="B2952" s="3" t="n">
        <v>46185</v>
      </c>
      <c r="C2952" t="n">
        <v>73476</v>
      </c>
      <c r="D2952" t="n">
        <v>4776570</v>
      </c>
      <c r="E2952">
        <f>IF(A2952="","",COUNTIFS($A$2:$A$20000,A2952,$B$2:$B$20000,"&gt;"&amp;B2952)+1)</f>
        <v/>
      </c>
    </row>
    <row r="2953">
      <c r="A2953" t="inlineStr">
        <is>
          <t>샘플종목27</t>
        </is>
      </c>
      <c r="B2953" s="3" t="n">
        <v>46192</v>
      </c>
      <c r="C2953" t="n">
        <v>75685</v>
      </c>
      <c r="D2953" t="n">
        <v>5144993</v>
      </c>
      <c r="E2953">
        <f>IF(A2953="","",COUNTIFS($A$2:$A$20000,A2953,$B$2:$B$20000,"&gt;"&amp;B2953)+1)</f>
        <v/>
      </c>
    </row>
    <row r="2954">
      <c r="A2954" t="inlineStr">
        <is>
          <t>샘플종목27</t>
        </is>
      </c>
      <c r="B2954" s="3" t="n">
        <v>46199</v>
      </c>
      <c r="C2954" t="n">
        <v>81600</v>
      </c>
      <c r="D2954" t="n">
        <v>3537606</v>
      </c>
      <c r="E2954">
        <f>IF(A2954="","",COUNTIFS($A$2:$A$20000,A2954,$B$2:$B$20000,"&gt;"&amp;B2954)+1)</f>
        <v/>
      </c>
    </row>
    <row r="2955">
      <c r="A2955" t="inlineStr">
        <is>
          <t>샘플종목27</t>
        </is>
      </c>
      <c r="B2955" s="3" t="n">
        <v>46206</v>
      </c>
      <c r="C2955" t="n">
        <v>78353</v>
      </c>
      <c r="D2955" t="n">
        <v>7485138</v>
      </c>
      <c r="E2955">
        <f>IF(A2955="","",COUNTIFS($A$2:$A$20000,A2955,$B$2:$B$20000,"&gt;"&amp;B2955)+1)</f>
        <v/>
      </c>
    </row>
    <row r="2956">
      <c r="A2956" t="inlineStr">
        <is>
          <t>샘플종목27</t>
        </is>
      </c>
      <c r="B2956" s="3" t="n">
        <v>46213</v>
      </c>
      <c r="C2956" t="n">
        <v>71862</v>
      </c>
      <c r="D2956" t="n">
        <v>9378787</v>
      </c>
      <c r="E2956">
        <f>IF(A2956="","",COUNTIFS($A$2:$A$20000,A2956,$B$2:$B$20000,"&gt;"&amp;B2956)+1)</f>
        <v/>
      </c>
    </row>
    <row r="2957">
      <c r="A2957" t="inlineStr">
        <is>
          <t>샘플종목27</t>
        </is>
      </c>
      <c r="B2957" s="3" t="n">
        <v>46220</v>
      </c>
      <c r="C2957" t="n">
        <v>67403</v>
      </c>
      <c r="D2957" t="n">
        <v>192290</v>
      </c>
      <c r="E2957">
        <f>IF(A2957="","",COUNTIFS($A$2:$A$20000,A2957,$B$2:$B$20000,"&gt;"&amp;B2957)+1)</f>
        <v/>
      </c>
    </row>
    <row r="2958">
      <c r="A2958" t="inlineStr">
        <is>
          <t>샘플종목27</t>
        </is>
      </c>
      <c r="B2958" s="3" t="n">
        <v>46227</v>
      </c>
      <c r="C2958" t="n">
        <v>69166</v>
      </c>
      <c r="D2958" t="n">
        <v>3919502</v>
      </c>
      <c r="E2958">
        <f>IF(A2958="","",COUNTIFS($A$2:$A$20000,A2958,$B$2:$B$20000,"&gt;"&amp;B2958)+1)</f>
        <v/>
      </c>
    </row>
    <row r="2959">
      <c r="A2959" t="inlineStr">
        <is>
          <t>샘플종목27</t>
        </is>
      </c>
      <c r="B2959" s="3" t="n">
        <v>46234</v>
      </c>
      <c r="C2959" t="n">
        <v>65137</v>
      </c>
      <c r="D2959" t="n">
        <v>5265655</v>
      </c>
      <c r="E2959">
        <f>IF(A2959="","",COUNTIFS($A$2:$A$20000,A2959,$B$2:$B$20000,"&gt;"&amp;B2959)+1)</f>
        <v/>
      </c>
    </row>
    <row r="2960">
      <c r="A2960" t="inlineStr">
        <is>
          <t>샘플종목27</t>
        </is>
      </c>
      <c r="B2960" s="3" t="n">
        <v>46241</v>
      </c>
      <c r="C2960" t="n">
        <v>70245</v>
      </c>
      <c r="D2960" t="n">
        <v>9363766</v>
      </c>
      <c r="E2960">
        <f>IF(A2960="","",COUNTIFS($A$2:$A$20000,A2960,$B$2:$B$20000,"&gt;"&amp;B2960)+1)</f>
        <v/>
      </c>
    </row>
    <row r="2961">
      <c r="A2961" t="inlineStr">
        <is>
          <t>샘플종목27</t>
        </is>
      </c>
      <c r="B2961" s="3" t="n">
        <v>46248</v>
      </c>
      <c r="C2961" t="n">
        <v>73863</v>
      </c>
      <c r="D2961" t="n">
        <v>8220420</v>
      </c>
      <c r="E2961">
        <f>IF(A2961="","",COUNTIFS($A$2:$A$20000,A2961,$B$2:$B$20000,"&gt;"&amp;B2961)+1)</f>
        <v/>
      </c>
    </row>
    <row r="2962">
      <c r="A2962" t="inlineStr">
        <is>
          <t>샘플종목27</t>
        </is>
      </c>
      <c r="B2962" s="3" t="n">
        <v>46255</v>
      </c>
      <c r="C2962" t="n">
        <v>69536</v>
      </c>
      <c r="D2962" t="n">
        <v>2507615</v>
      </c>
      <c r="E2962">
        <f>IF(A2962="","",COUNTIFS($A$2:$A$20000,A2962,$B$2:$B$20000,"&gt;"&amp;B2962)+1)</f>
        <v/>
      </c>
    </row>
    <row r="2963">
      <c r="A2963" t="inlineStr">
        <is>
          <t>샘플종목27</t>
        </is>
      </c>
      <c r="B2963" s="3" t="n">
        <v>46262</v>
      </c>
      <c r="C2963" t="n">
        <v>66084</v>
      </c>
      <c r="D2963" t="n">
        <v>6506462</v>
      </c>
      <c r="E2963">
        <f>IF(A2963="","",COUNTIFS($A$2:$A$20000,A2963,$B$2:$B$20000,"&gt;"&amp;B2963)+1)</f>
        <v/>
      </c>
    </row>
    <row r="2964">
      <c r="A2964" t="inlineStr">
        <is>
          <t>샘플종목27</t>
        </is>
      </c>
      <c r="B2964" s="3" t="n">
        <v>46269</v>
      </c>
      <c r="C2964" t="n">
        <v>65292</v>
      </c>
      <c r="D2964" t="n">
        <v>7749317</v>
      </c>
      <c r="E2964">
        <f>IF(A2964="","",COUNTIFS($A$2:$A$20000,A2964,$B$2:$B$20000,"&gt;"&amp;B2964)+1)</f>
        <v/>
      </c>
    </row>
    <row r="2965">
      <c r="A2965" t="inlineStr">
        <is>
          <t>샘플종목27</t>
        </is>
      </c>
      <c r="B2965" s="3" t="n">
        <v>46276</v>
      </c>
      <c r="C2965" t="n">
        <v>62652</v>
      </c>
      <c r="D2965" t="n">
        <v>3400191</v>
      </c>
      <c r="E2965">
        <f>IF(A2965="","",COUNTIFS($A$2:$A$20000,A2965,$B$2:$B$20000,"&gt;"&amp;B2965)+1)</f>
        <v/>
      </c>
    </row>
    <row r="2966">
      <c r="A2966" t="inlineStr">
        <is>
          <t>샘플종목27</t>
        </is>
      </c>
      <c r="B2966" s="3" t="n">
        <v>46283</v>
      </c>
      <c r="C2966" t="n">
        <v>64420</v>
      </c>
      <c r="D2966" t="n">
        <v>4642454</v>
      </c>
      <c r="E2966">
        <f>IF(A2966="","",COUNTIFS($A$2:$A$20000,A2966,$B$2:$B$20000,"&gt;"&amp;B2966)+1)</f>
        <v/>
      </c>
    </row>
    <row r="2967">
      <c r="A2967" t="inlineStr">
        <is>
          <t>샘플종목27</t>
        </is>
      </c>
      <c r="B2967" s="3" t="n">
        <v>46290</v>
      </c>
      <c r="C2967" t="n">
        <v>63873</v>
      </c>
      <c r="D2967" t="n">
        <v>8664582</v>
      </c>
      <c r="E2967">
        <f>IF(A2967="","",COUNTIFS($A$2:$A$20000,A2967,$B$2:$B$20000,"&gt;"&amp;B2967)+1)</f>
        <v/>
      </c>
    </row>
    <row r="2968">
      <c r="A2968" t="inlineStr">
        <is>
          <t>샘플종목27</t>
        </is>
      </c>
      <c r="B2968" s="3" t="n">
        <v>46297</v>
      </c>
      <c r="C2968" t="n">
        <v>64055</v>
      </c>
      <c r="D2968" t="n">
        <v>6745338</v>
      </c>
      <c r="E2968">
        <f>IF(A2968="","",COUNTIFS($A$2:$A$20000,A2968,$B$2:$B$20000,"&gt;"&amp;B2968)+1)</f>
        <v/>
      </c>
    </row>
    <row r="2969">
      <c r="A2969" t="inlineStr">
        <is>
          <t>샘플종목27</t>
        </is>
      </c>
      <c r="B2969" s="3" t="n">
        <v>46304</v>
      </c>
      <c r="C2969" t="n">
        <v>68132</v>
      </c>
      <c r="D2969" t="n">
        <v>865118</v>
      </c>
      <c r="E2969">
        <f>IF(A2969="","",COUNTIFS($A$2:$A$20000,A2969,$B$2:$B$20000,"&gt;"&amp;B2969)+1)</f>
        <v/>
      </c>
    </row>
    <row r="2970">
      <c r="A2970" t="inlineStr">
        <is>
          <t>샘플종목27</t>
        </is>
      </c>
      <c r="B2970" s="3" t="n">
        <v>46311</v>
      </c>
      <c r="C2970" t="n">
        <v>68577</v>
      </c>
      <c r="D2970" t="n">
        <v>6277539</v>
      </c>
      <c r="E2970">
        <f>IF(A2970="","",COUNTIFS($A$2:$A$20000,A2970,$B$2:$B$20000,"&gt;"&amp;B2970)+1)</f>
        <v/>
      </c>
    </row>
    <row r="2971">
      <c r="A2971" t="inlineStr">
        <is>
          <t>샘플종목27</t>
        </is>
      </c>
      <c r="B2971" s="3" t="n">
        <v>46318</v>
      </c>
      <c r="C2971" t="n">
        <v>70609</v>
      </c>
      <c r="D2971" t="n">
        <v>7842644</v>
      </c>
      <c r="E2971">
        <f>IF(A2971="","",COUNTIFS($A$2:$A$20000,A2971,$B$2:$B$20000,"&gt;"&amp;B2971)+1)</f>
        <v/>
      </c>
    </row>
    <row r="2972">
      <c r="A2972" t="inlineStr">
        <is>
          <t>샘플종목28</t>
        </is>
      </c>
      <c r="B2972" s="3" t="n">
        <v>45555</v>
      </c>
      <c r="C2972" t="n">
        <v>103660</v>
      </c>
      <c r="D2972" t="n">
        <v>6088475</v>
      </c>
      <c r="E2972">
        <f>IF(A2972="","",COUNTIFS($A$2:$A$20000,A2972,$B$2:$B$20000,"&gt;"&amp;B2972)+1)</f>
        <v/>
      </c>
    </row>
    <row r="2973">
      <c r="A2973" t="inlineStr">
        <is>
          <t>샘플종목28</t>
        </is>
      </c>
      <c r="B2973" s="3" t="n">
        <v>45562</v>
      </c>
      <c r="C2973" t="n">
        <v>103859</v>
      </c>
      <c r="D2973" t="n">
        <v>6831110</v>
      </c>
      <c r="E2973">
        <f>IF(A2973="","",COUNTIFS($A$2:$A$20000,A2973,$B$2:$B$20000,"&gt;"&amp;B2973)+1)</f>
        <v/>
      </c>
    </row>
    <row r="2974">
      <c r="A2974" t="inlineStr">
        <is>
          <t>샘플종목28</t>
        </is>
      </c>
      <c r="B2974" s="3" t="n">
        <v>45569</v>
      </c>
      <c r="C2974" t="n">
        <v>105028</v>
      </c>
      <c r="D2974" t="n">
        <v>6912404</v>
      </c>
      <c r="E2974">
        <f>IF(A2974="","",COUNTIFS($A$2:$A$20000,A2974,$B$2:$B$20000,"&gt;"&amp;B2974)+1)</f>
        <v/>
      </c>
    </row>
    <row r="2975">
      <c r="A2975" t="inlineStr">
        <is>
          <t>샘플종목28</t>
        </is>
      </c>
      <c r="B2975" s="3" t="n">
        <v>45576</v>
      </c>
      <c r="C2975" t="n">
        <v>108996</v>
      </c>
      <c r="D2975" t="n">
        <v>2722378</v>
      </c>
      <c r="E2975">
        <f>IF(A2975="","",COUNTIFS($A$2:$A$20000,A2975,$B$2:$B$20000,"&gt;"&amp;B2975)+1)</f>
        <v/>
      </c>
    </row>
    <row r="2976">
      <c r="A2976" t="inlineStr">
        <is>
          <t>샘플종목28</t>
        </is>
      </c>
      <c r="B2976" s="3" t="n">
        <v>45583</v>
      </c>
      <c r="C2976" t="n">
        <v>106722</v>
      </c>
      <c r="D2976" t="n">
        <v>3196448</v>
      </c>
      <c r="E2976">
        <f>IF(A2976="","",COUNTIFS($A$2:$A$20000,A2976,$B$2:$B$20000,"&gt;"&amp;B2976)+1)</f>
        <v/>
      </c>
    </row>
    <row r="2977">
      <c r="A2977" t="inlineStr">
        <is>
          <t>샘플종목28</t>
        </is>
      </c>
      <c r="B2977" s="3" t="n">
        <v>45590</v>
      </c>
      <c r="C2977" t="n">
        <v>106555</v>
      </c>
      <c r="D2977" t="n">
        <v>8016094</v>
      </c>
      <c r="E2977">
        <f>IF(A2977="","",COUNTIFS($A$2:$A$20000,A2977,$B$2:$B$20000,"&gt;"&amp;B2977)+1)</f>
        <v/>
      </c>
    </row>
    <row r="2978">
      <c r="A2978" t="inlineStr">
        <is>
          <t>샘플종목28</t>
        </is>
      </c>
      <c r="B2978" s="3" t="n">
        <v>45597</v>
      </c>
      <c r="C2978" t="n">
        <v>109641</v>
      </c>
      <c r="D2978" t="n">
        <v>3419513</v>
      </c>
      <c r="E2978">
        <f>IF(A2978="","",COUNTIFS($A$2:$A$20000,A2978,$B$2:$B$20000,"&gt;"&amp;B2978)+1)</f>
        <v/>
      </c>
    </row>
    <row r="2979">
      <c r="A2979" t="inlineStr">
        <is>
          <t>샘플종목28</t>
        </is>
      </c>
      <c r="B2979" s="3" t="n">
        <v>45604</v>
      </c>
      <c r="C2979" t="n">
        <v>109308</v>
      </c>
      <c r="D2979" t="n">
        <v>4273090</v>
      </c>
      <c r="E2979">
        <f>IF(A2979="","",COUNTIFS($A$2:$A$20000,A2979,$B$2:$B$20000,"&gt;"&amp;B2979)+1)</f>
        <v/>
      </c>
    </row>
    <row r="2980">
      <c r="A2980" t="inlineStr">
        <is>
          <t>샘플종목28</t>
        </is>
      </c>
      <c r="B2980" s="3" t="n">
        <v>45611</v>
      </c>
      <c r="C2980" t="n">
        <v>104691</v>
      </c>
      <c r="D2980" t="n">
        <v>1682963</v>
      </c>
      <c r="E2980">
        <f>IF(A2980="","",COUNTIFS($A$2:$A$20000,A2980,$B$2:$B$20000,"&gt;"&amp;B2980)+1)</f>
        <v/>
      </c>
    </row>
    <row r="2981">
      <c r="A2981" t="inlineStr">
        <is>
          <t>샘플종목28</t>
        </is>
      </c>
      <c r="B2981" s="3" t="n">
        <v>45618</v>
      </c>
      <c r="C2981" t="n">
        <v>111005</v>
      </c>
      <c r="D2981" t="n">
        <v>4523912</v>
      </c>
      <c r="E2981">
        <f>IF(A2981="","",COUNTIFS($A$2:$A$20000,A2981,$B$2:$B$20000,"&gt;"&amp;B2981)+1)</f>
        <v/>
      </c>
    </row>
    <row r="2982">
      <c r="A2982" t="inlineStr">
        <is>
          <t>샘플종목28</t>
        </is>
      </c>
      <c r="B2982" s="3" t="n">
        <v>45625</v>
      </c>
      <c r="C2982" t="n">
        <v>110202</v>
      </c>
      <c r="D2982" t="n">
        <v>8193319</v>
      </c>
      <c r="E2982">
        <f>IF(A2982="","",COUNTIFS($A$2:$A$20000,A2982,$B$2:$B$20000,"&gt;"&amp;B2982)+1)</f>
        <v/>
      </c>
    </row>
    <row r="2983">
      <c r="A2983" t="inlineStr">
        <is>
          <t>샘플종목28</t>
        </is>
      </c>
      <c r="B2983" s="3" t="n">
        <v>45632</v>
      </c>
      <c r="C2983" t="n">
        <v>116603</v>
      </c>
      <c r="D2983" t="n">
        <v>4829501</v>
      </c>
      <c r="E2983">
        <f>IF(A2983="","",COUNTIFS($A$2:$A$20000,A2983,$B$2:$B$20000,"&gt;"&amp;B2983)+1)</f>
        <v/>
      </c>
    </row>
    <row r="2984">
      <c r="A2984" t="inlineStr">
        <is>
          <t>샘플종목28</t>
        </is>
      </c>
      <c r="B2984" s="3" t="n">
        <v>45639</v>
      </c>
      <c r="C2984" t="n">
        <v>112449</v>
      </c>
      <c r="D2984" t="n">
        <v>3753190</v>
      </c>
      <c r="E2984">
        <f>IF(A2984="","",COUNTIFS($A$2:$A$20000,A2984,$B$2:$B$20000,"&gt;"&amp;B2984)+1)</f>
        <v/>
      </c>
    </row>
    <row r="2985">
      <c r="A2985" t="inlineStr">
        <is>
          <t>샘플종목28</t>
        </is>
      </c>
      <c r="B2985" s="3" t="n">
        <v>45646</v>
      </c>
      <c r="C2985" t="n">
        <v>116806</v>
      </c>
      <c r="D2985" t="n">
        <v>5396841</v>
      </c>
      <c r="E2985">
        <f>IF(A2985="","",COUNTIFS($A$2:$A$20000,A2985,$B$2:$B$20000,"&gt;"&amp;B2985)+1)</f>
        <v/>
      </c>
    </row>
    <row r="2986">
      <c r="A2986" t="inlineStr">
        <is>
          <t>샘플종목28</t>
        </is>
      </c>
      <c r="B2986" s="3" t="n">
        <v>45653</v>
      </c>
      <c r="C2986" t="n">
        <v>116773</v>
      </c>
      <c r="D2986" t="n">
        <v>5177683</v>
      </c>
      <c r="E2986">
        <f>IF(A2986="","",COUNTIFS($A$2:$A$20000,A2986,$B$2:$B$20000,"&gt;"&amp;B2986)+1)</f>
        <v/>
      </c>
    </row>
    <row r="2987">
      <c r="A2987" t="inlineStr">
        <is>
          <t>샘플종목28</t>
        </is>
      </c>
      <c r="B2987" s="3" t="n">
        <v>45660</v>
      </c>
      <c r="C2987" t="n">
        <v>117117</v>
      </c>
      <c r="D2987" t="n">
        <v>4360141</v>
      </c>
      <c r="E2987">
        <f>IF(A2987="","",COUNTIFS($A$2:$A$20000,A2987,$B$2:$B$20000,"&gt;"&amp;B2987)+1)</f>
        <v/>
      </c>
    </row>
    <row r="2988">
      <c r="A2988" t="inlineStr">
        <is>
          <t>샘플종목28</t>
        </is>
      </c>
      <c r="B2988" s="3" t="n">
        <v>45667</v>
      </c>
      <c r="C2988" t="n">
        <v>118034</v>
      </c>
      <c r="D2988" t="n">
        <v>9369820</v>
      </c>
      <c r="E2988">
        <f>IF(A2988="","",COUNTIFS($A$2:$A$20000,A2988,$B$2:$B$20000,"&gt;"&amp;B2988)+1)</f>
        <v/>
      </c>
    </row>
    <row r="2989">
      <c r="A2989" t="inlineStr">
        <is>
          <t>샘플종목28</t>
        </is>
      </c>
      <c r="B2989" s="3" t="n">
        <v>45674</v>
      </c>
      <c r="C2989" t="n">
        <v>115793</v>
      </c>
      <c r="D2989" t="n">
        <v>9550776</v>
      </c>
      <c r="E2989">
        <f>IF(A2989="","",COUNTIFS($A$2:$A$20000,A2989,$B$2:$B$20000,"&gt;"&amp;B2989)+1)</f>
        <v/>
      </c>
    </row>
    <row r="2990">
      <c r="A2990" t="inlineStr">
        <is>
          <t>샘플종목28</t>
        </is>
      </c>
      <c r="B2990" s="3" t="n">
        <v>45681</v>
      </c>
      <c r="C2990" t="n">
        <v>114340</v>
      </c>
      <c r="D2990" t="n">
        <v>2950883</v>
      </c>
      <c r="E2990">
        <f>IF(A2990="","",COUNTIFS($A$2:$A$20000,A2990,$B$2:$B$20000,"&gt;"&amp;B2990)+1)</f>
        <v/>
      </c>
    </row>
    <row r="2991">
      <c r="A2991" t="inlineStr">
        <is>
          <t>샘플종목28</t>
        </is>
      </c>
      <c r="B2991" s="3" t="n">
        <v>45688</v>
      </c>
      <c r="C2991" t="n">
        <v>112883</v>
      </c>
      <c r="D2991" t="n">
        <v>4999933</v>
      </c>
      <c r="E2991">
        <f>IF(A2991="","",COUNTIFS($A$2:$A$20000,A2991,$B$2:$B$20000,"&gt;"&amp;B2991)+1)</f>
        <v/>
      </c>
    </row>
    <row r="2992">
      <c r="A2992" t="inlineStr">
        <is>
          <t>샘플종목28</t>
        </is>
      </c>
      <c r="B2992" s="3" t="n">
        <v>45695</v>
      </c>
      <c r="C2992" t="n">
        <v>112158</v>
      </c>
      <c r="D2992" t="n">
        <v>7404087</v>
      </c>
      <c r="E2992">
        <f>IF(A2992="","",COUNTIFS($A$2:$A$20000,A2992,$B$2:$B$20000,"&gt;"&amp;B2992)+1)</f>
        <v/>
      </c>
    </row>
    <row r="2993">
      <c r="A2993" t="inlineStr">
        <is>
          <t>샘플종목28</t>
        </is>
      </c>
      <c r="B2993" s="3" t="n">
        <v>45702</v>
      </c>
      <c r="C2993" t="n">
        <v>110607</v>
      </c>
      <c r="D2993" t="n">
        <v>7936143</v>
      </c>
      <c r="E2993">
        <f>IF(A2993="","",COUNTIFS($A$2:$A$20000,A2993,$B$2:$B$20000,"&gt;"&amp;B2993)+1)</f>
        <v/>
      </c>
    </row>
    <row r="2994">
      <c r="A2994" t="inlineStr">
        <is>
          <t>샘플종목28</t>
        </is>
      </c>
      <c r="B2994" s="3" t="n">
        <v>45709</v>
      </c>
      <c r="C2994" t="n">
        <v>104726</v>
      </c>
      <c r="D2994" t="n">
        <v>7428129</v>
      </c>
      <c r="E2994">
        <f>IF(A2994="","",COUNTIFS($A$2:$A$20000,A2994,$B$2:$B$20000,"&gt;"&amp;B2994)+1)</f>
        <v/>
      </c>
    </row>
    <row r="2995">
      <c r="A2995" t="inlineStr">
        <is>
          <t>샘플종목28</t>
        </is>
      </c>
      <c r="B2995" s="3" t="n">
        <v>45716</v>
      </c>
      <c r="C2995" t="n">
        <v>107364</v>
      </c>
      <c r="D2995" t="n">
        <v>3272489</v>
      </c>
      <c r="E2995">
        <f>IF(A2995="","",COUNTIFS($A$2:$A$20000,A2995,$B$2:$B$20000,"&gt;"&amp;B2995)+1)</f>
        <v/>
      </c>
    </row>
    <row r="2996">
      <c r="A2996" t="inlineStr">
        <is>
          <t>샘플종목28</t>
        </is>
      </c>
      <c r="B2996" s="3" t="n">
        <v>45723</v>
      </c>
      <c r="C2996" t="n">
        <v>109020</v>
      </c>
      <c r="D2996" t="n">
        <v>2990757</v>
      </c>
      <c r="E2996">
        <f>IF(A2996="","",COUNTIFS($A$2:$A$20000,A2996,$B$2:$B$20000,"&gt;"&amp;B2996)+1)</f>
        <v/>
      </c>
    </row>
    <row r="2997">
      <c r="A2997" t="inlineStr">
        <is>
          <t>샘플종목28</t>
        </is>
      </c>
      <c r="B2997" s="3" t="n">
        <v>45730</v>
      </c>
      <c r="C2997" t="n">
        <v>107162</v>
      </c>
      <c r="D2997" t="n">
        <v>8649010</v>
      </c>
      <c r="E2997">
        <f>IF(A2997="","",COUNTIFS($A$2:$A$20000,A2997,$B$2:$B$20000,"&gt;"&amp;B2997)+1)</f>
        <v/>
      </c>
    </row>
    <row r="2998">
      <c r="A2998" t="inlineStr">
        <is>
          <t>샘플종목28</t>
        </is>
      </c>
      <c r="B2998" s="3" t="n">
        <v>45737</v>
      </c>
      <c r="C2998" t="n">
        <v>110364</v>
      </c>
      <c r="D2998" t="n">
        <v>7381418</v>
      </c>
      <c r="E2998">
        <f>IF(A2998="","",COUNTIFS($A$2:$A$20000,A2998,$B$2:$B$20000,"&gt;"&amp;B2998)+1)</f>
        <v/>
      </c>
    </row>
    <row r="2999">
      <c r="A2999" t="inlineStr">
        <is>
          <t>샘플종목28</t>
        </is>
      </c>
      <c r="B2999" s="3" t="n">
        <v>45744</v>
      </c>
      <c r="C2999" t="n">
        <v>108255</v>
      </c>
      <c r="D2999" t="n">
        <v>6609415</v>
      </c>
      <c r="E2999">
        <f>IF(A2999="","",COUNTIFS($A$2:$A$20000,A2999,$B$2:$B$20000,"&gt;"&amp;B2999)+1)</f>
        <v/>
      </c>
    </row>
    <row r="3000">
      <c r="A3000" t="inlineStr">
        <is>
          <t>샘플종목28</t>
        </is>
      </c>
      <c r="B3000" s="3" t="n">
        <v>45751</v>
      </c>
      <c r="C3000" t="n">
        <v>108129</v>
      </c>
      <c r="D3000" t="n">
        <v>9788512</v>
      </c>
      <c r="E3000">
        <f>IF(A3000="","",COUNTIFS($A$2:$A$20000,A3000,$B$2:$B$20000,"&gt;"&amp;B3000)+1)</f>
        <v/>
      </c>
    </row>
    <row r="3001">
      <c r="A3001" t="inlineStr">
        <is>
          <t>샘플종목28</t>
        </is>
      </c>
      <c r="B3001" s="3" t="n">
        <v>45758</v>
      </c>
      <c r="C3001" t="n">
        <v>110299</v>
      </c>
      <c r="D3001" t="n">
        <v>3286907</v>
      </c>
      <c r="E3001">
        <f>IF(A3001="","",COUNTIFS($A$2:$A$20000,A3001,$B$2:$B$20000,"&gt;"&amp;B3001)+1)</f>
        <v/>
      </c>
    </row>
    <row r="3002">
      <c r="A3002" t="inlineStr">
        <is>
          <t>샘플종목28</t>
        </is>
      </c>
      <c r="B3002" s="3" t="n">
        <v>45765</v>
      </c>
      <c r="C3002" t="n">
        <v>113622</v>
      </c>
      <c r="D3002" t="n">
        <v>3340105</v>
      </c>
      <c r="E3002">
        <f>IF(A3002="","",COUNTIFS($A$2:$A$20000,A3002,$B$2:$B$20000,"&gt;"&amp;B3002)+1)</f>
        <v/>
      </c>
    </row>
    <row r="3003">
      <c r="A3003" t="inlineStr">
        <is>
          <t>샘플종목28</t>
        </is>
      </c>
      <c r="B3003" s="3" t="n">
        <v>45772</v>
      </c>
      <c r="C3003" t="n">
        <v>118973</v>
      </c>
      <c r="D3003" t="n">
        <v>7476457</v>
      </c>
      <c r="E3003">
        <f>IF(A3003="","",COUNTIFS($A$2:$A$20000,A3003,$B$2:$B$20000,"&gt;"&amp;B3003)+1)</f>
        <v/>
      </c>
    </row>
    <row r="3004">
      <c r="A3004" t="inlineStr">
        <is>
          <t>샘플종목28</t>
        </is>
      </c>
      <c r="B3004" s="3" t="n">
        <v>45779</v>
      </c>
      <c r="C3004" t="n">
        <v>115867</v>
      </c>
      <c r="D3004" t="n">
        <v>1763049</v>
      </c>
      <c r="E3004">
        <f>IF(A3004="","",COUNTIFS($A$2:$A$20000,A3004,$B$2:$B$20000,"&gt;"&amp;B3004)+1)</f>
        <v/>
      </c>
    </row>
    <row r="3005">
      <c r="A3005" t="inlineStr">
        <is>
          <t>샘플종목28</t>
        </is>
      </c>
      <c r="B3005" s="3" t="n">
        <v>45786</v>
      </c>
      <c r="C3005" t="n">
        <v>111856</v>
      </c>
      <c r="D3005" t="n">
        <v>380547</v>
      </c>
      <c r="E3005">
        <f>IF(A3005="","",COUNTIFS($A$2:$A$20000,A3005,$B$2:$B$20000,"&gt;"&amp;B3005)+1)</f>
        <v/>
      </c>
    </row>
    <row r="3006">
      <c r="A3006" t="inlineStr">
        <is>
          <t>샘플종목28</t>
        </is>
      </c>
      <c r="B3006" s="3" t="n">
        <v>45793</v>
      </c>
      <c r="C3006" t="n">
        <v>121072</v>
      </c>
      <c r="D3006" t="n">
        <v>7554225</v>
      </c>
      <c r="E3006">
        <f>IF(A3006="","",COUNTIFS($A$2:$A$20000,A3006,$B$2:$B$20000,"&gt;"&amp;B3006)+1)</f>
        <v/>
      </c>
    </row>
    <row r="3007">
      <c r="A3007" t="inlineStr">
        <is>
          <t>샘플종목28</t>
        </is>
      </c>
      <c r="B3007" s="3" t="n">
        <v>45800</v>
      </c>
      <c r="C3007" t="n">
        <v>120104</v>
      </c>
      <c r="D3007" t="n">
        <v>742713</v>
      </c>
      <c r="E3007">
        <f>IF(A3007="","",COUNTIFS($A$2:$A$20000,A3007,$B$2:$B$20000,"&gt;"&amp;B3007)+1)</f>
        <v/>
      </c>
    </row>
    <row r="3008">
      <c r="A3008" t="inlineStr">
        <is>
          <t>샘플종목28</t>
        </is>
      </c>
      <c r="B3008" s="3" t="n">
        <v>45807</v>
      </c>
      <c r="C3008" t="n">
        <v>125666</v>
      </c>
      <c r="D3008" t="n">
        <v>1809842</v>
      </c>
      <c r="E3008">
        <f>IF(A3008="","",COUNTIFS($A$2:$A$20000,A3008,$B$2:$B$20000,"&gt;"&amp;B3008)+1)</f>
        <v/>
      </c>
    </row>
    <row r="3009">
      <c r="A3009" t="inlineStr">
        <is>
          <t>샘플종목28</t>
        </is>
      </c>
      <c r="B3009" s="3" t="n">
        <v>45814</v>
      </c>
      <c r="C3009" t="n">
        <v>121283</v>
      </c>
      <c r="D3009" t="n">
        <v>9124544</v>
      </c>
      <c r="E3009">
        <f>IF(A3009="","",COUNTIFS($A$2:$A$20000,A3009,$B$2:$B$20000,"&gt;"&amp;B3009)+1)</f>
        <v/>
      </c>
    </row>
    <row r="3010">
      <c r="A3010" t="inlineStr">
        <is>
          <t>샘플종목28</t>
        </is>
      </c>
      <c r="B3010" s="3" t="n">
        <v>45821</v>
      </c>
      <c r="C3010" t="n">
        <v>112845</v>
      </c>
      <c r="D3010" t="n">
        <v>5240572</v>
      </c>
      <c r="E3010">
        <f>IF(A3010="","",COUNTIFS($A$2:$A$20000,A3010,$B$2:$B$20000,"&gt;"&amp;B3010)+1)</f>
        <v/>
      </c>
    </row>
    <row r="3011">
      <c r="A3011" t="inlineStr">
        <is>
          <t>샘플종목28</t>
        </is>
      </c>
      <c r="B3011" s="3" t="n">
        <v>45828</v>
      </c>
      <c r="C3011" t="n">
        <v>116545</v>
      </c>
      <c r="D3011" t="n">
        <v>3929593</v>
      </c>
      <c r="E3011">
        <f>IF(A3011="","",COUNTIFS($A$2:$A$20000,A3011,$B$2:$B$20000,"&gt;"&amp;B3011)+1)</f>
        <v/>
      </c>
    </row>
    <row r="3012">
      <c r="A3012" t="inlineStr">
        <is>
          <t>샘플종목28</t>
        </is>
      </c>
      <c r="B3012" s="3" t="n">
        <v>45835</v>
      </c>
      <c r="C3012" t="n">
        <v>119438</v>
      </c>
      <c r="D3012" t="n">
        <v>5917640</v>
      </c>
      <c r="E3012">
        <f>IF(A3012="","",COUNTIFS($A$2:$A$20000,A3012,$B$2:$B$20000,"&gt;"&amp;B3012)+1)</f>
        <v/>
      </c>
    </row>
    <row r="3013">
      <c r="A3013" t="inlineStr">
        <is>
          <t>샘플종목28</t>
        </is>
      </c>
      <c r="B3013" s="3" t="n">
        <v>45842</v>
      </c>
      <c r="C3013" t="n">
        <v>118587</v>
      </c>
      <c r="D3013" t="n">
        <v>6335230</v>
      </c>
      <c r="E3013">
        <f>IF(A3013="","",COUNTIFS($A$2:$A$20000,A3013,$B$2:$B$20000,"&gt;"&amp;B3013)+1)</f>
        <v/>
      </c>
    </row>
    <row r="3014">
      <c r="A3014" t="inlineStr">
        <is>
          <t>샘플종목28</t>
        </is>
      </c>
      <c r="B3014" s="3" t="n">
        <v>45849</v>
      </c>
      <c r="C3014" t="n">
        <v>125645</v>
      </c>
      <c r="D3014" t="n">
        <v>2744522</v>
      </c>
      <c r="E3014">
        <f>IF(A3014="","",COUNTIFS($A$2:$A$20000,A3014,$B$2:$B$20000,"&gt;"&amp;B3014)+1)</f>
        <v/>
      </c>
    </row>
    <row r="3015">
      <c r="A3015" t="inlineStr">
        <is>
          <t>샘플종목28</t>
        </is>
      </c>
      <c r="B3015" s="3" t="n">
        <v>45856</v>
      </c>
      <c r="C3015" t="n">
        <v>131452</v>
      </c>
      <c r="D3015" t="n">
        <v>5250757</v>
      </c>
      <c r="E3015">
        <f>IF(A3015="","",COUNTIFS($A$2:$A$20000,A3015,$B$2:$B$20000,"&gt;"&amp;B3015)+1)</f>
        <v/>
      </c>
    </row>
    <row r="3016">
      <c r="A3016" t="inlineStr">
        <is>
          <t>샘플종목28</t>
        </is>
      </c>
      <c r="B3016" s="3" t="n">
        <v>45863</v>
      </c>
      <c r="C3016" t="n">
        <v>135509</v>
      </c>
      <c r="D3016" t="n">
        <v>1796232</v>
      </c>
      <c r="E3016">
        <f>IF(A3016="","",COUNTIFS($A$2:$A$20000,A3016,$B$2:$B$20000,"&gt;"&amp;B3016)+1)</f>
        <v/>
      </c>
    </row>
    <row r="3017">
      <c r="A3017" t="inlineStr">
        <is>
          <t>샘플종목28</t>
        </is>
      </c>
      <c r="B3017" s="3" t="n">
        <v>45870</v>
      </c>
      <c r="C3017" t="n">
        <v>141411</v>
      </c>
      <c r="D3017" t="n">
        <v>1105109</v>
      </c>
      <c r="E3017">
        <f>IF(A3017="","",COUNTIFS($A$2:$A$20000,A3017,$B$2:$B$20000,"&gt;"&amp;B3017)+1)</f>
        <v/>
      </c>
    </row>
    <row r="3018">
      <c r="A3018" t="inlineStr">
        <is>
          <t>샘플종목28</t>
        </is>
      </c>
      <c r="B3018" s="3" t="n">
        <v>45877</v>
      </c>
      <c r="C3018" t="n">
        <v>147755</v>
      </c>
      <c r="D3018" t="n">
        <v>947100</v>
      </c>
      <c r="E3018">
        <f>IF(A3018="","",COUNTIFS($A$2:$A$20000,A3018,$B$2:$B$20000,"&gt;"&amp;B3018)+1)</f>
        <v/>
      </c>
    </row>
    <row r="3019">
      <c r="A3019" t="inlineStr">
        <is>
          <t>샘플종목28</t>
        </is>
      </c>
      <c r="B3019" s="3" t="n">
        <v>45884</v>
      </c>
      <c r="C3019" t="n">
        <v>137920</v>
      </c>
      <c r="D3019" t="n">
        <v>3412331</v>
      </c>
      <c r="E3019">
        <f>IF(A3019="","",COUNTIFS($A$2:$A$20000,A3019,$B$2:$B$20000,"&gt;"&amp;B3019)+1)</f>
        <v/>
      </c>
    </row>
    <row r="3020">
      <c r="A3020" t="inlineStr">
        <is>
          <t>샘플종목28</t>
        </is>
      </c>
      <c r="B3020" s="3" t="n">
        <v>45891</v>
      </c>
      <c r="C3020" t="n">
        <v>138218</v>
      </c>
      <c r="D3020" t="n">
        <v>4339223</v>
      </c>
      <c r="E3020">
        <f>IF(A3020="","",COUNTIFS($A$2:$A$20000,A3020,$B$2:$B$20000,"&gt;"&amp;B3020)+1)</f>
        <v/>
      </c>
    </row>
    <row r="3021">
      <c r="A3021" t="inlineStr">
        <is>
          <t>샘플종목28</t>
        </is>
      </c>
      <c r="B3021" s="3" t="n">
        <v>45898</v>
      </c>
      <c r="C3021" t="n">
        <v>140812</v>
      </c>
      <c r="D3021" t="n">
        <v>1547710</v>
      </c>
      <c r="E3021">
        <f>IF(A3021="","",COUNTIFS($A$2:$A$20000,A3021,$B$2:$B$20000,"&gt;"&amp;B3021)+1)</f>
        <v/>
      </c>
    </row>
    <row r="3022">
      <c r="A3022" t="inlineStr">
        <is>
          <t>샘플종목28</t>
        </is>
      </c>
      <c r="B3022" s="3" t="n">
        <v>45905</v>
      </c>
      <c r="C3022" t="n">
        <v>140804</v>
      </c>
      <c r="D3022" t="n">
        <v>103047</v>
      </c>
      <c r="E3022">
        <f>IF(A3022="","",COUNTIFS($A$2:$A$20000,A3022,$B$2:$B$20000,"&gt;"&amp;B3022)+1)</f>
        <v/>
      </c>
    </row>
    <row r="3023">
      <c r="A3023" t="inlineStr">
        <is>
          <t>샘플종목28</t>
        </is>
      </c>
      <c r="B3023" s="3" t="n">
        <v>45912</v>
      </c>
      <c r="C3023" t="n">
        <v>144648</v>
      </c>
      <c r="D3023" t="n">
        <v>5135221</v>
      </c>
      <c r="E3023">
        <f>IF(A3023="","",COUNTIFS($A$2:$A$20000,A3023,$B$2:$B$20000,"&gt;"&amp;B3023)+1)</f>
        <v/>
      </c>
    </row>
    <row r="3024">
      <c r="A3024" t="inlineStr">
        <is>
          <t>샘플종목28</t>
        </is>
      </c>
      <c r="B3024" s="3" t="n">
        <v>45919</v>
      </c>
      <c r="C3024" t="n">
        <v>148515</v>
      </c>
      <c r="D3024" t="n">
        <v>4170970</v>
      </c>
      <c r="E3024">
        <f>IF(A3024="","",COUNTIFS($A$2:$A$20000,A3024,$B$2:$B$20000,"&gt;"&amp;B3024)+1)</f>
        <v/>
      </c>
    </row>
    <row r="3025">
      <c r="A3025" t="inlineStr">
        <is>
          <t>샘플종목28</t>
        </is>
      </c>
      <c r="B3025" s="3" t="n">
        <v>45926</v>
      </c>
      <c r="C3025" t="n">
        <v>146730</v>
      </c>
      <c r="D3025" t="n">
        <v>7038430</v>
      </c>
      <c r="E3025">
        <f>IF(A3025="","",COUNTIFS($A$2:$A$20000,A3025,$B$2:$B$20000,"&gt;"&amp;B3025)+1)</f>
        <v/>
      </c>
    </row>
    <row r="3026">
      <c r="A3026" t="inlineStr">
        <is>
          <t>샘플종목28</t>
        </is>
      </c>
      <c r="B3026" s="3" t="n">
        <v>45933</v>
      </c>
      <c r="C3026" t="n">
        <v>150170</v>
      </c>
      <c r="D3026" t="n">
        <v>238614</v>
      </c>
      <c r="E3026">
        <f>IF(A3026="","",COUNTIFS($A$2:$A$20000,A3026,$B$2:$B$20000,"&gt;"&amp;B3026)+1)</f>
        <v/>
      </c>
    </row>
    <row r="3027">
      <c r="A3027" t="inlineStr">
        <is>
          <t>샘플종목28</t>
        </is>
      </c>
      <c r="B3027" s="3" t="n">
        <v>45940</v>
      </c>
      <c r="C3027" t="n">
        <v>153277</v>
      </c>
      <c r="D3027" t="n">
        <v>2020044</v>
      </c>
      <c r="E3027">
        <f>IF(A3027="","",COUNTIFS($A$2:$A$20000,A3027,$B$2:$B$20000,"&gt;"&amp;B3027)+1)</f>
        <v/>
      </c>
    </row>
    <row r="3028">
      <c r="A3028" t="inlineStr">
        <is>
          <t>샘플종목28</t>
        </is>
      </c>
      <c r="B3028" s="3" t="n">
        <v>45947</v>
      </c>
      <c r="C3028" t="n">
        <v>152182</v>
      </c>
      <c r="D3028" t="n">
        <v>8325946</v>
      </c>
      <c r="E3028">
        <f>IF(A3028="","",COUNTIFS($A$2:$A$20000,A3028,$B$2:$B$20000,"&gt;"&amp;B3028)+1)</f>
        <v/>
      </c>
    </row>
    <row r="3029">
      <c r="A3029" t="inlineStr">
        <is>
          <t>샘플종목28</t>
        </is>
      </c>
      <c r="B3029" s="3" t="n">
        <v>45954</v>
      </c>
      <c r="C3029" t="n">
        <v>155045</v>
      </c>
      <c r="D3029" t="n">
        <v>487084</v>
      </c>
      <c r="E3029">
        <f>IF(A3029="","",COUNTIFS($A$2:$A$20000,A3029,$B$2:$B$20000,"&gt;"&amp;B3029)+1)</f>
        <v/>
      </c>
    </row>
    <row r="3030">
      <c r="A3030" t="inlineStr">
        <is>
          <t>샘플종목28</t>
        </is>
      </c>
      <c r="B3030" s="3" t="n">
        <v>45961</v>
      </c>
      <c r="C3030" t="n">
        <v>159601</v>
      </c>
      <c r="D3030" t="n">
        <v>715177</v>
      </c>
      <c r="E3030">
        <f>IF(A3030="","",COUNTIFS($A$2:$A$20000,A3030,$B$2:$B$20000,"&gt;"&amp;B3030)+1)</f>
        <v/>
      </c>
    </row>
    <row r="3031">
      <c r="A3031" t="inlineStr">
        <is>
          <t>샘플종목28</t>
        </is>
      </c>
      <c r="B3031" s="3" t="n">
        <v>45968</v>
      </c>
      <c r="C3031" t="n">
        <v>159804</v>
      </c>
      <c r="D3031" t="n">
        <v>5358008</v>
      </c>
      <c r="E3031">
        <f>IF(A3031="","",COUNTIFS($A$2:$A$20000,A3031,$B$2:$B$20000,"&gt;"&amp;B3031)+1)</f>
        <v/>
      </c>
    </row>
    <row r="3032">
      <c r="A3032" t="inlineStr">
        <is>
          <t>샘플종목28</t>
        </is>
      </c>
      <c r="B3032" s="3" t="n">
        <v>45975</v>
      </c>
      <c r="C3032" t="n">
        <v>160410</v>
      </c>
      <c r="D3032" t="n">
        <v>9050689</v>
      </c>
      <c r="E3032">
        <f>IF(A3032="","",COUNTIFS($A$2:$A$20000,A3032,$B$2:$B$20000,"&gt;"&amp;B3032)+1)</f>
        <v/>
      </c>
    </row>
    <row r="3033">
      <c r="A3033" t="inlineStr">
        <is>
          <t>샘플종목28</t>
        </is>
      </c>
      <c r="B3033" s="3" t="n">
        <v>45982</v>
      </c>
      <c r="C3033" t="n">
        <v>154127</v>
      </c>
      <c r="D3033" t="n">
        <v>6684350</v>
      </c>
      <c r="E3033">
        <f>IF(A3033="","",COUNTIFS($A$2:$A$20000,A3033,$B$2:$B$20000,"&gt;"&amp;B3033)+1)</f>
        <v/>
      </c>
    </row>
    <row r="3034">
      <c r="A3034" t="inlineStr">
        <is>
          <t>샘플종목28</t>
        </is>
      </c>
      <c r="B3034" s="3" t="n">
        <v>45989</v>
      </c>
      <c r="C3034" t="n">
        <v>155488</v>
      </c>
      <c r="D3034" t="n">
        <v>8692102</v>
      </c>
      <c r="E3034">
        <f>IF(A3034="","",COUNTIFS($A$2:$A$20000,A3034,$B$2:$B$20000,"&gt;"&amp;B3034)+1)</f>
        <v/>
      </c>
    </row>
    <row r="3035">
      <c r="A3035" t="inlineStr">
        <is>
          <t>샘플종목28</t>
        </is>
      </c>
      <c r="B3035" s="3" t="n">
        <v>45996</v>
      </c>
      <c r="C3035" t="n">
        <v>162181</v>
      </c>
      <c r="D3035" t="n">
        <v>7493632</v>
      </c>
      <c r="E3035">
        <f>IF(A3035="","",COUNTIFS($A$2:$A$20000,A3035,$B$2:$B$20000,"&gt;"&amp;B3035)+1)</f>
        <v/>
      </c>
    </row>
    <row r="3036">
      <c r="A3036" t="inlineStr">
        <is>
          <t>샘플종목28</t>
        </is>
      </c>
      <c r="B3036" s="3" t="n">
        <v>46003</v>
      </c>
      <c r="C3036" t="n">
        <v>158686</v>
      </c>
      <c r="D3036" t="n">
        <v>9006241</v>
      </c>
      <c r="E3036">
        <f>IF(A3036="","",COUNTIFS($A$2:$A$20000,A3036,$B$2:$B$20000,"&gt;"&amp;B3036)+1)</f>
        <v/>
      </c>
    </row>
    <row r="3037">
      <c r="A3037" t="inlineStr">
        <is>
          <t>샘플종목28</t>
        </is>
      </c>
      <c r="B3037" s="3" t="n">
        <v>46010</v>
      </c>
      <c r="C3037" t="n">
        <v>151462</v>
      </c>
      <c r="D3037" t="n">
        <v>8085764</v>
      </c>
      <c r="E3037">
        <f>IF(A3037="","",COUNTIFS($A$2:$A$20000,A3037,$B$2:$B$20000,"&gt;"&amp;B3037)+1)</f>
        <v/>
      </c>
    </row>
    <row r="3038">
      <c r="A3038" t="inlineStr">
        <is>
          <t>샘플종목28</t>
        </is>
      </c>
      <c r="B3038" s="3" t="n">
        <v>46017</v>
      </c>
      <c r="C3038" t="n">
        <v>150021</v>
      </c>
      <c r="D3038" t="n">
        <v>6940180</v>
      </c>
      <c r="E3038">
        <f>IF(A3038="","",COUNTIFS($A$2:$A$20000,A3038,$B$2:$B$20000,"&gt;"&amp;B3038)+1)</f>
        <v/>
      </c>
    </row>
    <row r="3039">
      <c r="A3039" t="inlineStr">
        <is>
          <t>샘플종목28</t>
        </is>
      </c>
      <c r="B3039" s="3" t="n">
        <v>46024</v>
      </c>
      <c r="C3039" t="n">
        <v>161447</v>
      </c>
      <c r="D3039" t="n">
        <v>3641613</v>
      </c>
      <c r="E3039">
        <f>IF(A3039="","",COUNTIFS($A$2:$A$20000,A3039,$B$2:$B$20000,"&gt;"&amp;B3039)+1)</f>
        <v/>
      </c>
    </row>
    <row r="3040">
      <c r="A3040" t="inlineStr">
        <is>
          <t>샘플종목28</t>
        </is>
      </c>
      <c r="B3040" s="3" t="n">
        <v>46031</v>
      </c>
      <c r="C3040" t="n">
        <v>157378</v>
      </c>
      <c r="D3040" t="n">
        <v>7840202</v>
      </c>
      <c r="E3040">
        <f>IF(A3040="","",COUNTIFS($A$2:$A$20000,A3040,$B$2:$B$20000,"&gt;"&amp;B3040)+1)</f>
        <v/>
      </c>
    </row>
    <row r="3041">
      <c r="A3041" t="inlineStr">
        <is>
          <t>샘플종목28</t>
        </is>
      </c>
      <c r="B3041" s="3" t="n">
        <v>46038</v>
      </c>
      <c r="C3041" t="n">
        <v>150860</v>
      </c>
      <c r="D3041" t="n">
        <v>9743922</v>
      </c>
      <c r="E3041">
        <f>IF(A3041="","",COUNTIFS($A$2:$A$20000,A3041,$B$2:$B$20000,"&gt;"&amp;B3041)+1)</f>
        <v/>
      </c>
    </row>
    <row r="3042">
      <c r="A3042" t="inlineStr">
        <is>
          <t>샘플종목28</t>
        </is>
      </c>
      <c r="B3042" s="3" t="n">
        <v>46045</v>
      </c>
      <c r="C3042" t="n">
        <v>167308</v>
      </c>
      <c r="D3042" t="n">
        <v>8633101</v>
      </c>
      <c r="E3042">
        <f>IF(A3042="","",COUNTIFS($A$2:$A$20000,A3042,$B$2:$B$20000,"&gt;"&amp;B3042)+1)</f>
        <v/>
      </c>
    </row>
    <row r="3043">
      <c r="A3043" t="inlineStr">
        <is>
          <t>샘플종목28</t>
        </is>
      </c>
      <c r="B3043" s="3" t="n">
        <v>46052</v>
      </c>
      <c r="C3043" t="n">
        <v>155045</v>
      </c>
      <c r="D3043" t="n">
        <v>2086423</v>
      </c>
      <c r="E3043">
        <f>IF(A3043="","",COUNTIFS($A$2:$A$20000,A3043,$B$2:$B$20000,"&gt;"&amp;B3043)+1)</f>
        <v/>
      </c>
    </row>
    <row r="3044">
      <c r="A3044" t="inlineStr">
        <is>
          <t>샘플종목28</t>
        </is>
      </c>
      <c r="B3044" s="3" t="n">
        <v>46059</v>
      </c>
      <c r="C3044" t="n">
        <v>160573</v>
      </c>
      <c r="D3044" t="n">
        <v>7329437</v>
      </c>
      <c r="E3044">
        <f>IF(A3044="","",COUNTIFS($A$2:$A$20000,A3044,$B$2:$B$20000,"&gt;"&amp;B3044)+1)</f>
        <v/>
      </c>
    </row>
    <row r="3045">
      <c r="A3045" t="inlineStr">
        <is>
          <t>샘플종목28</t>
        </is>
      </c>
      <c r="B3045" s="3" t="n">
        <v>46066</v>
      </c>
      <c r="C3045" t="n">
        <v>163858</v>
      </c>
      <c r="D3045" t="n">
        <v>249263</v>
      </c>
      <c r="E3045">
        <f>IF(A3045="","",COUNTIFS($A$2:$A$20000,A3045,$B$2:$B$20000,"&gt;"&amp;B3045)+1)</f>
        <v/>
      </c>
    </row>
    <row r="3046">
      <c r="A3046" t="inlineStr">
        <is>
          <t>샘플종목28</t>
        </is>
      </c>
      <c r="B3046" s="3" t="n">
        <v>46073</v>
      </c>
      <c r="C3046" t="n">
        <v>173359</v>
      </c>
      <c r="D3046" t="n">
        <v>2747600</v>
      </c>
      <c r="E3046">
        <f>IF(A3046="","",COUNTIFS($A$2:$A$20000,A3046,$B$2:$B$20000,"&gt;"&amp;B3046)+1)</f>
        <v/>
      </c>
    </row>
    <row r="3047">
      <c r="A3047" t="inlineStr">
        <is>
          <t>샘플종목28</t>
        </is>
      </c>
      <c r="B3047" s="3" t="n">
        <v>46080</v>
      </c>
      <c r="C3047" t="n">
        <v>174517</v>
      </c>
      <c r="D3047" t="n">
        <v>3331830</v>
      </c>
      <c r="E3047">
        <f>IF(A3047="","",COUNTIFS($A$2:$A$20000,A3047,$B$2:$B$20000,"&gt;"&amp;B3047)+1)</f>
        <v/>
      </c>
    </row>
    <row r="3048">
      <c r="A3048" t="inlineStr">
        <is>
          <t>샘플종목28</t>
        </is>
      </c>
      <c r="B3048" s="3" t="n">
        <v>46087</v>
      </c>
      <c r="C3048" t="n">
        <v>171233</v>
      </c>
      <c r="D3048" t="n">
        <v>5136947</v>
      </c>
      <c r="E3048">
        <f>IF(A3048="","",COUNTIFS($A$2:$A$20000,A3048,$B$2:$B$20000,"&gt;"&amp;B3048)+1)</f>
        <v/>
      </c>
    </row>
    <row r="3049">
      <c r="A3049" t="inlineStr">
        <is>
          <t>샘플종목28</t>
        </is>
      </c>
      <c r="B3049" s="3" t="n">
        <v>46094</v>
      </c>
      <c r="C3049" t="n">
        <v>172256</v>
      </c>
      <c r="D3049" t="n">
        <v>7381853</v>
      </c>
      <c r="E3049">
        <f>IF(A3049="","",COUNTIFS($A$2:$A$20000,A3049,$B$2:$B$20000,"&gt;"&amp;B3049)+1)</f>
        <v/>
      </c>
    </row>
    <row r="3050">
      <c r="A3050" t="inlineStr">
        <is>
          <t>샘플종목28</t>
        </is>
      </c>
      <c r="B3050" s="3" t="n">
        <v>46101</v>
      </c>
      <c r="C3050" t="n">
        <v>170018</v>
      </c>
      <c r="D3050" t="n">
        <v>3532255</v>
      </c>
      <c r="E3050">
        <f>IF(A3050="","",COUNTIFS($A$2:$A$20000,A3050,$B$2:$B$20000,"&gt;"&amp;B3050)+1)</f>
        <v/>
      </c>
    </row>
    <row r="3051">
      <c r="A3051" t="inlineStr">
        <is>
          <t>샘플종목28</t>
        </is>
      </c>
      <c r="B3051" s="3" t="n">
        <v>46108</v>
      </c>
      <c r="C3051" t="n">
        <v>159679</v>
      </c>
      <c r="D3051" t="n">
        <v>2494430</v>
      </c>
      <c r="E3051">
        <f>IF(A3051="","",COUNTIFS($A$2:$A$20000,A3051,$B$2:$B$20000,"&gt;"&amp;B3051)+1)</f>
        <v/>
      </c>
    </row>
    <row r="3052">
      <c r="A3052" t="inlineStr">
        <is>
          <t>샘플종목28</t>
        </is>
      </c>
      <c r="B3052" s="3" t="n">
        <v>46115</v>
      </c>
      <c r="C3052" t="n">
        <v>154163</v>
      </c>
      <c r="D3052" t="n">
        <v>5070799</v>
      </c>
      <c r="E3052">
        <f>IF(A3052="","",COUNTIFS($A$2:$A$20000,A3052,$B$2:$B$20000,"&gt;"&amp;B3052)+1)</f>
        <v/>
      </c>
    </row>
    <row r="3053">
      <c r="A3053" t="inlineStr">
        <is>
          <t>샘플종목28</t>
        </is>
      </c>
      <c r="B3053" s="3" t="n">
        <v>46122</v>
      </c>
      <c r="C3053" t="n">
        <v>147430</v>
      </c>
      <c r="D3053" t="n">
        <v>467407</v>
      </c>
      <c r="E3053">
        <f>IF(A3053="","",COUNTIFS($A$2:$A$20000,A3053,$B$2:$B$20000,"&gt;"&amp;B3053)+1)</f>
        <v/>
      </c>
    </row>
    <row r="3054">
      <c r="A3054" t="inlineStr">
        <is>
          <t>샘플종목28</t>
        </is>
      </c>
      <c r="B3054" s="3" t="n">
        <v>46129</v>
      </c>
      <c r="C3054" t="n">
        <v>140785</v>
      </c>
      <c r="D3054" t="n">
        <v>8821703</v>
      </c>
      <c r="E3054">
        <f>IF(A3054="","",COUNTIFS($A$2:$A$20000,A3054,$B$2:$B$20000,"&gt;"&amp;B3054)+1)</f>
        <v/>
      </c>
    </row>
    <row r="3055">
      <c r="A3055" t="inlineStr">
        <is>
          <t>샘플종목28</t>
        </is>
      </c>
      <c r="B3055" s="3" t="n">
        <v>46136</v>
      </c>
      <c r="C3055" t="n">
        <v>147139</v>
      </c>
      <c r="D3055" t="n">
        <v>3983888</v>
      </c>
      <c r="E3055">
        <f>IF(A3055="","",COUNTIFS($A$2:$A$20000,A3055,$B$2:$B$20000,"&gt;"&amp;B3055)+1)</f>
        <v/>
      </c>
    </row>
    <row r="3056">
      <c r="A3056" t="inlineStr">
        <is>
          <t>샘플종목28</t>
        </is>
      </c>
      <c r="B3056" s="3" t="n">
        <v>46143</v>
      </c>
      <c r="C3056" t="n">
        <v>145835</v>
      </c>
      <c r="D3056" t="n">
        <v>1425289</v>
      </c>
      <c r="E3056">
        <f>IF(A3056="","",COUNTIFS($A$2:$A$20000,A3056,$B$2:$B$20000,"&gt;"&amp;B3056)+1)</f>
        <v/>
      </c>
    </row>
    <row r="3057">
      <c r="A3057" t="inlineStr">
        <is>
          <t>샘플종목28</t>
        </is>
      </c>
      <c r="B3057" s="3" t="n">
        <v>46150</v>
      </c>
      <c r="C3057" t="n">
        <v>148740</v>
      </c>
      <c r="D3057" t="n">
        <v>4913869</v>
      </c>
      <c r="E3057">
        <f>IF(A3057="","",COUNTIFS($A$2:$A$20000,A3057,$B$2:$B$20000,"&gt;"&amp;B3057)+1)</f>
        <v/>
      </c>
    </row>
    <row r="3058">
      <c r="A3058" t="inlineStr">
        <is>
          <t>샘플종목28</t>
        </is>
      </c>
      <c r="B3058" s="3" t="n">
        <v>46157</v>
      </c>
      <c r="C3058" t="n">
        <v>153834</v>
      </c>
      <c r="D3058" t="n">
        <v>9257710</v>
      </c>
      <c r="E3058">
        <f>IF(A3058="","",COUNTIFS($A$2:$A$20000,A3058,$B$2:$B$20000,"&gt;"&amp;B3058)+1)</f>
        <v/>
      </c>
    </row>
    <row r="3059">
      <c r="A3059" t="inlineStr">
        <is>
          <t>샘플종목28</t>
        </is>
      </c>
      <c r="B3059" s="3" t="n">
        <v>46164</v>
      </c>
      <c r="C3059" t="n">
        <v>155518</v>
      </c>
      <c r="D3059" t="n">
        <v>2824283</v>
      </c>
      <c r="E3059">
        <f>IF(A3059="","",COUNTIFS($A$2:$A$20000,A3059,$B$2:$B$20000,"&gt;"&amp;B3059)+1)</f>
        <v/>
      </c>
    </row>
    <row r="3060">
      <c r="A3060" t="inlineStr">
        <is>
          <t>샘플종목28</t>
        </is>
      </c>
      <c r="B3060" s="3" t="n">
        <v>46171</v>
      </c>
      <c r="C3060" t="n">
        <v>163368</v>
      </c>
      <c r="D3060" t="n">
        <v>1243153</v>
      </c>
      <c r="E3060">
        <f>IF(A3060="","",COUNTIFS($A$2:$A$20000,A3060,$B$2:$B$20000,"&gt;"&amp;B3060)+1)</f>
        <v/>
      </c>
    </row>
    <row r="3061">
      <c r="A3061" t="inlineStr">
        <is>
          <t>샘플종목28</t>
        </is>
      </c>
      <c r="B3061" s="3" t="n">
        <v>46178</v>
      </c>
      <c r="C3061" t="n">
        <v>170727</v>
      </c>
      <c r="D3061" t="n">
        <v>5116465</v>
      </c>
      <c r="E3061">
        <f>IF(A3061="","",COUNTIFS($A$2:$A$20000,A3061,$B$2:$B$20000,"&gt;"&amp;B3061)+1)</f>
        <v/>
      </c>
    </row>
    <row r="3062">
      <c r="A3062" t="inlineStr">
        <is>
          <t>샘플종목28</t>
        </is>
      </c>
      <c r="B3062" s="3" t="n">
        <v>46185</v>
      </c>
      <c r="C3062" t="n">
        <v>181891</v>
      </c>
      <c r="D3062" t="n">
        <v>6285815</v>
      </c>
      <c r="E3062">
        <f>IF(A3062="","",COUNTIFS($A$2:$A$20000,A3062,$B$2:$B$20000,"&gt;"&amp;B3062)+1)</f>
        <v/>
      </c>
    </row>
    <row r="3063">
      <c r="A3063" t="inlineStr">
        <is>
          <t>샘플종목28</t>
        </is>
      </c>
      <c r="B3063" s="3" t="n">
        <v>46192</v>
      </c>
      <c r="C3063" t="n">
        <v>184092</v>
      </c>
      <c r="D3063" t="n">
        <v>3114594</v>
      </c>
      <c r="E3063">
        <f>IF(A3063="","",COUNTIFS($A$2:$A$20000,A3063,$B$2:$B$20000,"&gt;"&amp;B3063)+1)</f>
        <v/>
      </c>
    </row>
    <row r="3064">
      <c r="A3064" t="inlineStr">
        <is>
          <t>샘플종목28</t>
        </is>
      </c>
      <c r="B3064" s="3" t="n">
        <v>46199</v>
      </c>
      <c r="C3064" t="n">
        <v>176652</v>
      </c>
      <c r="D3064" t="n">
        <v>7061422</v>
      </c>
      <c r="E3064">
        <f>IF(A3064="","",COUNTIFS($A$2:$A$20000,A3064,$B$2:$B$20000,"&gt;"&amp;B3064)+1)</f>
        <v/>
      </c>
    </row>
    <row r="3065">
      <c r="A3065" t="inlineStr">
        <is>
          <t>샘플종목28</t>
        </is>
      </c>
      <c r="B3065" s="3" t="n">
        <v>46206</v>
      </c>
      <c r="C3065" t="n">
        <v>170300</v>
      </c>
      <c r="D3065" t="n">
        <v>2152736</v>
      </c>
      <c r="E3065">
        <f>IF(A3065="","",COUNTIFS($A$2:$A$20000,A3065,$B$2:$B$20000,"&gt;"&amp;B3065)+1)</f>
        <v/>
      </c>
    </row>
    <row r="3066">
      <c r="A3066" t="inlineStr">
        <is>
          <t>샘플종목28</t>
        </is>
      </c>
      <c r="B3066" s="3" t="n">
        <v>46213</v>
      </c>
      <c r="C3066" t="n">
        <v>176258</v>
      </c>
      <c r="D3066" t="n">
        <v>8272381</v>
      </c>
      <c r="E3066">
        <f>IF(A3066="","",COUNTIFS($A$2:$A$20000,A3066,$B$2:$B$20000,"&gt;"&amp;B3066)+1)</f>
        <v/>
      </c>
    </row>
    <row r="3067">
      <c r="A3067" t="inlineStr">
        <is>
          <t>샘플종목28</t>
        </is>
      </c>
      <c r="B3067" s="3" t="n">
        <v>46220</v>
      </c>
      <c r="C3067" t="n">
        <v>181920</v>
      </c>
      <c r="D3067" t="n">
        <v>7547935</v>
      </c>
      <c r="E3067">
        <f>IF(A3067="","",COUNTIFS($A$2:$A$20000,A3067,$B$2:$B$20000,"&gt;"&amp;B3067)+1)</f>
        <v/>
      </c>
    </row>
    <row r="3068">
      <c r="A3068" t="inlineStr">
        <is>
          <t>샘플종목28</t>
        </is>
      </c>
      <c r="B3068" s="3" t="n">
        <v>46227</v>
      </c>
      <c r="C3068" t="n">
        <v>176510</v>
      </c>
      <c r="D3068" t="n">
        <v>3926075</v>
      </c>
      <c r="E3068">
        <f>IF(A3068="","",COUNTIFS($A$2:$A$20000,A3068,$B$2:$B$20000,"&gt;"&amp;B3068)+1)</f>
        <v/>
      </c>
    </row>
    <row r="3069">
      <c r="A3069" t="inlineStr">
        <is>
          <t>샘플종목28</t>
        </is>
      </c>
      <c r="B3069" s="3" t="n">
        <v>46234</v>
      </c>
      <c r="C3069" t="n">
        <v>181923</v>
      </c>
      <c r="D3069" t="n">
        <v>6476520</v>
      </c>
      <c r="E3069">
        <f>IF(A3069="","",COUNTIFS($A$2:$A$20000,A3069,$B$2:$B$20000,"&gt;"&amp;B3069)+1)</f>
        <v/>
      </c>
    </row>
    <row r="3070">
      <c r="A3070" t="inlineStr">
        <is>
          <t>샘플종목28</t>
        </is>
      </c>
      <c r="B3070" s="3" t="n">
        <v>46241</v>
      </c>
      <c r="C3070" t="n">
        <v>188576</v>
      </c>
      <c r="D3070" t="n">
        <v>6453722</v>
      </c>
      <c r="E3070">
        <f>IF(A3070="","",COUNTIFS($A$2:$A$20000,A3070,$B$2:$B$20000,"&gt;"&amp;B3070)+1)</f>
        <v/>
      </c>
    </row>
    <row r="3071">
      <c r="A3071" t="inlineStr">
        <is>
          <t>샘플종목28</t>
        </is>
      </c>
      <c r="B3071" s="3" t="n">
        <v>46248</v>
      </c>
      <c r="C3071" t="n">
        <v>187659</v>
      </c>
      <c r="D3071" t="n">
        <v>6696553</v>
      </c>
      <c r="E3071">
        <f>IF(A3071="","",COUNTIFS($A$2:$A$20000,A3071,$B$2:$B$20000,"&gt;"&amp;B3071)+1)</f>
        <v/>
      </c>
    </row>
    <row r="3072">
      <c r="A3072" t="inlineStr">
        <is>
          <t>샘플종목28</t>
        </is>
      </c>
      <c r="B3072" s="3" t="n">
        <v>46255</v>
      </c>
      <c r="C3072" t="n">
        <v>178535</v>
      </c>
      <c r="D3072" t="n">
        <v>1937592</v>
      </c>
      <c r="E3072">
        <f>IF(A3072="","",COUNTIFS($A$2:$A$20000,A3072,$B$2:$B$20000,"&gt;"&amp;B3072)+1)</f>
        <v/>
      </c>
    </row>
    <row r="3073">
      <c r="A3073" t="inlineStr">
        <is>
          <t>샘플종목28</t>
        </is>
      </c>
      <c r="B3073" s="3" t="n">
        <v>46262</v>
      </c>
      <c r="C3073" t="n">
        <v>177803</v>
      </c>
      <c r="D3073" t="n">
        <v>9936355</v>
      </c>
      <c r="E3073">
        <f>IF(A3073="","",COUNTIFS($A$2:$A$20000,A3073,$B$2:$B$20000,"&gt;"&amp;B3073)+1)</f>
        <v/>
      </c>
    </row>
    <row r="3074">
      <c r="A3074" t="inlineStr">
        <is>
          <t>샘플종목28</t>
        </is>
      </c>
      <c r="B3074" s="3" t="n">
        <v>46269</v>
      </c>
      <c r="C3074" t="n">
        <v>185652</v>
      </c>
      <c r="D3074" t="n">
        <v>3506255</v>
      </c>
      <c r="E3074">
        <f>IF(A3074="","",COUNTIFS($A$2:$A$20000,A3074,$B$2:$B$20000,"&gt;"&amp;B3074)+1)</f>
        <v/>
      </c>
    </row>
    <row r="3075">
      <c r="A3075" t="inlineStr">
        <is>
          <t>샘플종목28</t>
        </is>
      </c>
      <c r="B3075" s="3" t="n">
        <v>46276</v>
      </c>
      <c r="C3075" t="n">
        <v>188148</v>
      </c>
      <c r="D3075" t="n">
        <v>2674009</v>
      </c>
      <c r="E3075">
        <f>IF(A3075="","",COUNTIFS($A$2:$A$20000,A3075,$B$2:$B$20000,"&gt;"&amp;B3075)+1)</f>
        <v/>
      </c>
    </row>
    <row r="3076">
      <c r="A3076" t="inlineStr">
        <is>
          <t>샘플종목28</t>
        </is>
      </c>
      <c r="B3076" s="3" t="n">
        <v>46283</v>
      </c>
      <c r="C3076" t="n">
        <v>176639</v>
      </c>
      <c r="D3076" t="n">
        <v>4733368</v>
      </c>
      <c r="E3076">
        <f>IF(A3076="","",COUNTIFS($A$2:$A$20000,A3076,$B$2:$B$20000,"&gt;"&amp;B3076)+1)</f>
        <v/>
      </c>
    </row>
    <row r="3077">
      <c r="A3077" t="inlineStr">
        <is>
          <t>샘플종목28</t>
        </is>
      </c>
      <c r="B3077" s="3" t="n">
        <v>46290</v>
      </c>
      <c r="C3077" t="n">
        <v>181371</v>
      </c>
      <c r="D3077" t="n">
        <v>6163235</v>
      </c>
      <c r="E3077">
        <f>IF(A3077="","",COUNTIFS($A$2:$A$20000,A3077,$B$2:$B$20000,"&gt;"&amp;B3077)+1)</f>
        <v/>
      </c>
    </row>
    <row r="3078">
      <c r="A3078" t="inlineStr">
        <is>
          <t>샘플종목28</t>
        </is>
      </c>
      <c r="B3078" s="3" t="n">
        <v>46297</v>
      </c>
      <c r="C3078" t="n">
        <v>186776</v>
      </c>
      <c r="D3078" t="n">
        <v>7236666</v>
      </c>
      <c r="E3078">
        <f>IF(A3078="","",COUNTIFS($A$2:$A$20000,A3078,$B$2:$B$20000,"&gt;"&amp;B3078)+1)</f>
        <v/>
      </c>
    </row>
    <row r="3079">
      <c r="A3079" t="inlineStr">
        <is>
          <t>샘플종목28</t>
        </is>
      </c>
      <c r="B3079" s="3" t="n">
        <v>46304</v>
      </c>
      <c r="C3079" t="n">
        <v>194552</v>
      </c>
      <c r="D3079" t="n">
        <v>2594386</v>
      </c>
      <c r="E3079">
        <f>IF(A3079="","",COUNTIFS($A$2:$A$20000,A3079,$B$2:$B$20000,"&gt;"&amp;B3079)+1)</f>
        <v/>
      </c>
    </row>
    <row r="3080">
      <c r="A3080" t="inlineStr">
        <is>
          <t>샘플종목28</t>
        </is>
      </c>
      <c r="B3080" s="3" t="n">
        <v>46311</v>
      </c>
      <c r="C3080" t="n">
        <v>210323</v>
      </c>
      <c r="D3080" t="n">
        <v>4093884</v>
      </c>
      <c r="E3080">
        <f>IF(A3080="","",COUNTIFS($A$2:$A$20000,A3080,$B$2:$B$20000,"&gt;"&amp;B3080)+1)</f>
        <v/>
      </c>
    </row>
    <row r="3081">
      <c r="A3081" t="inlineStr">
        <is>
          <t>샘플종목28</t>
        </is>
      </c>
      <c r="B3081" s="3" t="n">
        <v>46318</v>
      </c>
      <c r="C3081" t="n">
        <v>203977</v>
      </c>
      <c r="D3081" t="n">
        <v>2160249</v>
      </c>
      <c r="E3081">
        <f>IF(A3081="","",COUNTIFS($A$2:$A$20000,A3081,$B$2:$B$20000,"&gt;"&amp;B3081)+1)</f>
        <v/>
      </c>
    </row>
    <row r="3082">
      <c r="A3082" t="inlineStr">
        <is>
          <t>샘플종목29</t>
        </is>
      </c>
      <c r="B3082" s="3" t="n">
        <v>45555</v>
      </c>
      <c r="C3082" t="n">
        <v>113557</v>
      </c>
      <c r="D3082" t="n">
        <v>7554846</v>
      </c>
      <c r="E3082">
        <f>IF(A3082="","",COUNTIFS($A$2:$A$20000,A3082,$B$2:$B$20000,"&gt;"&amp;B3082)+1)</f>
        <v/>
      </c>
    </row>
    <row r="3083">
      <c r="A3083" t="inlineStr">
        <is>
          <t>샘플종목29</t>
        </is>
      </c>
      <c r="B3083" s="3" t="n">
        <v>45562</v>
      </c>
      <c r="C3083" t="n">
        <v>114383</v>
      </c>
      <c r="D3083" t="n">
        <v>5179839</v>
      </c>
      <c r="E3083">
        <f>IF(A3083="","",COUNTIFS($A$2:$A$20000,A3083,$B$2:$B$20000,"&gt;"&amp;B3083)+1)</f>
        <v/>
      </c>
    </row>
    <row r="3084">
      <c r="A3084" t="inlineStr">
        <is>
          <t>샘플종목29</t>
        </is>
      </c>
      <c r="B3084" s="3" t="n">
        <v>45569</v>
      </c>
      <c r="C3084" t="n">
        <v>118785</v>
      </c>
      <c r="D3084" t="n">
        <v>1158086</v>
      </c>
      <c r="E3084">
        <f>IF(A3084="","",COUNTIFS($A$2:$A$20000,A3084,$B$2:$B$20000,"&gt;"&amp;B3084)+1)</f>
        <v/>
      </c>
    </row>
    <row r="3085">
      <c r="A3085" t="inlineStr">
        <is>
          <t>샘플종목29</t>
        </is>
      </c>
      <c r="B3085" s="3" t="n">
        <v>45576</v>
      </c>
      <c r="C3085" t="n">
        <v>116307</v>
      </c>
      <c r="D3085" t="n">
        <v>1816901</v>
      </c>
      <c r="E3085">
        <f>IF(A3085="","",COUNTIFS($A$2:$A$20000,A3085,$B$2:$B$20000,"&gt;"&amp;B3085)+1)</f>
        <v/>
      </c>
    </row>
    <row r="3086">
      <c r="A3086" t="inlineStr">
        <is>
          <t>샘플종목29</t>
        </is>
      </c>
      <c r="B3086" s="3" t="n">
        <v>45583</v>
      </c>
      <c r="C3086" t="n">
        <v>118527</v>
      </c>
      <c r="D3086" t="n">
        <v>5159032</v>
      </c>
      <c r="E3086">
        <f>IF(A3086="","",COUNTIFS($A$2:$A$20000,A3086,$B$2:$B$20000,"&gt;"&amp;B3086)+1)</f>
        <v/>
      </c>
    </row>
    <row r="3087">
      <c r="A3087" t="inlineStr">
        <is>
          <t>샘플종목29</t>
        </is>
      </c>
      <c r="B3087" s="3" t="n">
        <v>45590</v>
      </c>
      <c r="C3087" t="n">
        <v>117718</v>
      </c>
      <c r="D3087" t="n">
        <v>8591362</v>
      </c>
      <c r="E3087">
        <f>IF(A3087="","",COUNTIFS($A$2:$A$20000,A3087,$B$2:$B$20000,"&gt;"&amp;B3087)+1)</f>
        <v/>
      </c>
    </row>
    <row r="3088">
      <c r="A3088" t="inlineStr">
        <is>
          <t>샘플종목29</t>
        </is>
      </c>
      <c r="B3088" s="3" t="n">
        <v>45597</v>
      </c>
      <c r="C3088" t="n">
        <v>117756</v>
      </c>
      <c r="D3088" t="n">
        <v>6399169</v>
      </c>
      <c r="E3088">
        <f>IF(A3088="","",COUNTIFS($A$2:$A$20000,A3088,$B$2:$B$20000,"&gt;"&amp;B3088)+1)</f>
        <v/>
      </c>
    </row>
    <row r="3089">
      <c r="A3089" t="inlineStr">
        <is>
          <t>샘플종목29</t>
        </is>
      </c>
      <c r="B3089" s="3" t="n">
        <v>45604</v>
      </c>
      <c r="C3089" t="n">
        <v>117082</v>
      </c>
      <c r="D3089" t="n">
        <v>6208592</v>
      </c>
      <c r="E3089">
        <f>IF(A3089="","",COUNTIFS($A$2:$A$20000,A3089,$B$2:$B$20000,"&gt;"&amp;B3089)+1)</f>
        <v/>
      </c>
    </row>
    <row r="3090">
      <c r="A3090" t="inlineStr">
        <is>
          <t>샘플종목29</t>
        </is>
      </c>
      <c r="B3090" s="3" t="n">
        <v>45611</v>
      </c>
      <c r="C3090" t="n">
        <v>121027</v>
      </c>
      <c r="D3090" t="n">
        <v>365140</v>
      </c>
      <c r="E3090">
        <f>IF(A3090="","",COUNTIFS($A$2:$A$20000,A3090,$B$2:$B$20000,"&gt;"&amp;B3090)+1)</f>
        <v/>
      </c>
    </row>
    <row r="3091">
      <c r="A3091" t="inlineStr">
        <is>
          <t>샘플종목29</t>
        </is>
      </c>
      <c r="B3091" s="3" t="n">
        <v>45618</v>
      </c>
      <c r="C3091" t="n">
        <v>125186</v>
      </c>
      <c r="D3091" t="n">
        <v>554579</v>
      </c>
      <c r="E3091">
        <f>IF(A3091="","",COUNTIFS($A$2:$A$20000,A3091,$B$2:$B$20000,"&gt;"&amp;B3091)+1)</f>
        <v/>
      </c>
    </row>
    <row r="3092">
      <c r="A3092" t="inlineStr">
        <is>
          <t>샘플종목29</t>
        </is>
      </c>
      <c r="B3092" s="3" t="n">
        <v>45625</v>
      </c>
      <c r="C3092" t="n">
        <v>127504</v>
      </c>
      <c r="D3092" t="n">
        <v>1467206</v>
      </c>
      <c r="E3092">
        <f>IF(A3092="","",COUNTIFS($A$2:$A$20000,A3092,$B$2:$B$20000,"&gt;"&amp;B3092)+1)</f>
        <v/>
      </c>
    </row>
    <row r="3093">
      <c r="A3093" t="inlineStr">
        <is>
          <t>샘플종목29</t>
        </is>
      </c>
      <c r="B3093" s="3" t="n">
        <v>45632</v>
      </c>
      <c r="C3093" t="n">
        <v>130701</v>
      </c>
      <c r="D3093" t="n">
        <v>1618881</v>
      </c>
      <c r="E3093">
        <f>IF(A3093="","",COUNTIFS($A$2:$A$20000,A3093,$B$2:$B$20000,"&gt;"&amp;B3093)+1)</f>
        <v/>
      </c>
    </row>
    <row r="3094">
      <c r="A3094" t="inlineStr">
        <is>
          <t>샘플종목29</t>
        </is>
      </c>
      <c r="B3094" s="3" t="n">
        <v>45639</v>
      </c>
      <c r="C3094" t="n">
        <v>124230</v>
      </c>
      <c r="D3094" t="n">
        <v>1282433</v>
      </c>
      <c r="E3094">
        <f>IF(A3094="","",COUNTIFS($A$2:$A$20000,A3094,$B$2:$B$20000,"&gt;"&amp;B3094)+1)</f>
        <v/>
      </c>
    </row>
    <row r="3095">
      <c r="A3095" t="inlineStr">
        <is>
          <t>샘플종목29</t>
        </is>
      </c>
      <c r="B3095" s="3" t="n">
        <v>45646</v>
      </c>
      <c r="C3095" t="n">
        <v>122276</v>
      </c>
      <c r="D3095" t="n">
        <v>2397630</v>
      </c>
      <c r="E3095">
        <f>IF(A3095="","",COUNTIFS($A$2:$A$20000,A3095,$B$2:$B$20000,"&gt;"&amp;B3095)+1)</f>
        <v/>
      </c>
    </row>
    <row r="3096">
      <c r="A3096" t="inlineStr">
        <is>
          <t>샘플종목29</t>
        </is>
      </c>
      <c r="B3096" s="3" t="n">
        <v>45653</v>
      </c>
      <c r="C3096" t="n">
        <v>119347</v>
      </c>
      <c r="D3096" t="n">
        <v>7500405</v>
      </c>
      <c r="E3096">
        <f>IF(A3096="","",COUNTIFS($A$2:$A$20000,A3096,$B$2:$B$20000,"&gt;"&amp;B3096)+1)</f>
        <v/>
      </c>
    </row>
    <row r="3097">
      <c r="A3097" t="inlineStr">
        <is>
          <t>샘플종목29</t>
        </is>
      </c>
      <c r="B3097" s="3" t="n">
        <v>45660</v>
      </c>
      <c r="C3097" t="n">
        <v>131773</v>
      </c>
      <c r="D3097" t="n">
        <v>4325802</v>
      </c>
      <c r="E3097">
        <f>IF(A3097="","",COUNTIFS($A$2:$A$20000,A3097,$B$2:$B$20000,"&gt;"&amp;B3097)+1)</f>
        <v/>
      </c>
    </row>
    <row r="3098">
      <c r="A3098" t="inlineStr">
        <is>
          <t>샘플종목29</t>
        </is>
      </c>
      <c r="B3098" s="3" t="n">
        <v>45667</v>
      </c>
      <c r="C3098" t="n">
        <v>128122</v>
      </c>
      <c r="D3098" t="n">
        <v>887004</v>
      </c>
      <c r="E3098">
        <f>IF(A3098="","",COUNTIFS($A$2:$A$20000,A3098,$B$2:$B$20000,"&gt;"&amp;B3098)+1)</f>
        <v/>
      </c>
    </row>
    <row r="3099">
      <c r="A3099" t="inlineStr">
        <is>
          <t>샘플종목29</t>
        </is>
      </c>
      <c r="B3099" s="3" t="n">
        <v>45674</v>
      </c>
      <c r="C3099" t="n">
        <v>126095</v>
      </c>
      <c r="D3099" t="n">
        <v>9550351</v>
      </c>
      <c r="E3099">
        <f>IF(A3099="","",COUNTIFS($A$2:$A$20000,A3099,$B$2:$B$20000,"&gt;"&amp;B3099)+1)</f>
        <v/>
      </c>
    </row>
    <row r="3100">
      <c r="A3100" t="inlineStr">
        <is>
          <t>샘플종목29</t>
        </is>
      </c>
      <c r="B3100" s="3" t="n">
        <v>45681</v>
      </c>
      <c r="C3100" t="n">
        <v>126235</v>
      </c>
      <c r="D3100" t="n">
        <v>6948878</v>
      </c>
      <c r="E3100">
        <f>IF(A3100="","",COUNTIFS($A$2:$A$20000,A3100,$B$2:$B$20000,"&gt;"&amp;B3100)+1)</f>
        <v/>
      </c>
    </row>
    <row r="3101">
      <c r="A3101" t="inlineStr">
        <is>
          <t>샘플종목29</t>
        </is>
      </c>
      <c r="B3101" s="3" t="n">
        <v>45688</v>
      </c>
      <c r="C3101" t="n">
        <v>124202</v>
      </c>
      <c r="D3101" t="n">
        <v>5222300</v>
      </c>
      <c r="E3101">
        <f>IF(A3101="","",COUNTIFS($A$2:$A$20000,A3101,$B$2:$B$20000,"&gt;"&amp;B3101)+1)</f>
        <v/>
      </c>
    </row>
    <row r="3102">
      <c r="A3102" t="inlineStr">
        <is>
          <t>샘플종목29</t>
        </is>
      </c>
      <c r="B3102" s="3" t="n">
        <v>45695</v>
      </c>
      <c r="C3102" t="n">
        <v>116347</v>
      </c>
      <c r="D3102" t="n">
        <v>1785056</v>
      </c>
      <c r="E3102">
        <f>IF(A3102="","",COUNTIFS($A$2:$A$20000,A3102,$B$2:$B$20000,"&gt;"&amp;B3102)+1)</f>
        <v/>
      </c>
    </row>
    <row r="3103">
      <c r="A3103" t="inlineStr">
        <is>
          <t>샘플종목29</t>
        </is>
      </c>
      <c r="B3103" s="3" t="n">
        <v>45702</v>
      </c>
      <c r="C3103" t="n">
        <v>111235</v>
      </c>
      <c r="D3103" t="n">
        <v>7278724</v>
      </c>
      <c r="E3103">
        <f>IF(A3103="","",COUNTIFS($A$2:$A$20000,A3103,$B$2:$B$20000,"&gt;"&amp;B3103)+1)</f>
        <v/>
      </c>
    </row>
    <row r="3104">
      <c r="A3104" t="inlineStr">
        <is>
          <t>샘플종목29</t>
        </is>
      </c>
      <c r="B3104" s="3" t="n">
        <v>45709</v>
      </c>
      <c r="C3104" t="n">
        <v>117755</v>
      </c>
      <c r="D3104" t="n">
        <v>9958419</v>
      </c>
      <c r="E3104">
        <f>IF(A3104="","",COUNTIFS($A$2:$A$20000,A3104,$B$2:$B$20000,"&gt;"&amp;B3104)+1)</f>
        <v/>
      </c>
    </row>
    <row r="3105">
      <c r="A3105" t="inlineStr">
        <is>
          <t>샘플종목29</t>
        </is>
      </c>
      <c r="B3105" s="3" t="n">
        <v>45716</v>
      </c>
      <c r="C3105" t="n">
        <v>120826</v>
      </c>
      <c r="D3105" t="n">
        <v>4760976</v>
      </c>
      <c r="E3105">
        <f>IF(A3105="","",COUNTIFS($A$2:$A$20000,A3105,$B$2:$B$20000,"&gt;"&amp;B3105)+1)</f>
        <v/>
      </c>
    </row>
    <row r="3106">
      <c r="A3106" t="inlineStr">
        <is>
          <t>샘플종목29</t>
        </is>
      </c>
      <c r="B3106" s="3" t="n">
        <v>45723</v>
      </c>
      <c r="C3106" t="n">
        <v>119313</v>
      </c>
      <c r="D3106" t="n">
        <v>9737342</v>
      </c>
      <c r="E3106">
        <f>IF(A3106="","",COUNTIFS($A$2:$A$20000,A3106,$B$2:$B$20000,"&gt;"&amp;B3106)+1)</f>
        <v/>
      </c>
    </row>
    <row r="3107">
      <c r="A3107" t="inlineStr">
        <is>
          <t>샘플종목29</t>
        </is>
      </c>
      <c r="B3107" s="3" t="n">
        <v>45730</v>
      </c>
      <c r="C3107" t="n">
        <v>116007</v>
      </c>
      <c r="D3107" t="n">
        <v>7433221</v>
      </c>
      <c r="E3107">
        <f>IF(A3107="","",COUNTIFS($A$2:$A$20000,A3107,$B$2:$B$20000,"&gt;"&amp;B3107)+1)</f>
        <v/>
      </c>
    </row>
    <row r="3108">
      <c r="A3108" t="inlineStr">
        <is>
          <t>샘플종목29</t>
        </is>
      </c>
      <c r="B3108" s="3" t="n">
        <v>45737</v>
      </c>
      <c r="C3108" t="n">
        <v>121316</v>
      </c>
      <c r="D3108" t="n">
        <v>5558318</v>
      </c>
      <c r="E3108">
        <f>IF(A3108="","",COUNTIFS($A$2:$A$20000,A3108,$B$2:$B$20000,"&gt;"&amp;B3108)+1)</f>
        <v/>
      </c>
    </row>
    <row r="3109">
      <c r="A3109" t="inlineStr">
        <is>
          <t>샘플종목29</t>
        </is>
      </c>
      <c r="B3109" s="3" t="n">
        <v>45744</v>
      </c>
      <c r="C3109" t="n">
        <v>122277</v>
      </c>
      <c r="D3109" t="n">
        <v>5117609</v>
      </c>
      <c r="E3109">
        <f>IF(A3109="","",COUNTIFS($A$2:$A$20000,A3109,$B$2:$B$20000,"&gt;"&amp;B3109)+1)</f>
        <v/>
      </c>
    </row>
    <row r="3110">
      <c r="A3110" t="inlineStr">
        <is>
          <t>샘플종목29</t>
        </is>
      </c>
      <c r="B3110" s="3" t="n">
        <v>45751</v>
      </c>
      <c r="C3110" t="n">
        <v>115892</v>
      </c>
      <c r="D3110" t="n">
        <v>8642035</v>
      </c>
      <c r="E3110">
        <f>IF(A3110="","",COUNTIFS($A$2:$A$20000,A3110,$B$2:$B$20000,"&gt;"&amp;B3110)+1)</f>
        <v/>
      </c>
    </row>
    <row r="3111">
      <c r="A3111" t="inlineStr">
        <is>
          <t>샘플종목29</t>
        </is>
      </c>
      <c r="B3111" s="3" t="n">
        <v>45758</v>
      </c>
      <c r="C3111" t="n">
        <v>114063</v>
      </c>
      <c r="D3111" t="n">
        <v>1535361</v>
      </c>
      <c r="E3111">
        <f>IF(A3111="","",COUNTIFS($A$2:$A$20000,A3111,$B$2:$B$20000,"&gt;"&amp;B3111)+1)</f>
        <v/>
      </c>
    </row>
    <row r="3112">
      <c r="A3112" t="inlineStr">
        <is>
          <t>샘플종목29</t>
        </is>
      </c>
      <c r="B3112" s="3" t="n">
        <v>45765</v>
      </c>
      <c r="C3112" t="n">
        <v>118856</v>
      </c>
      <c r="D3112" t="n">
        <v>5811281</v>
      </c>
      <c r="E3112">
        <f>IF(A3112="","",COUNTIFS($A$2:$A$20000,A3112,$B$2:$B$20000,"&gt;"&amp;B3112)+1)</f>
        <v/>
      </c>
    </row>
    <row r="3113">
      <c r="A3113" t="inlineStr">
        <is>
          <t>샘플종목29</t>
        </is>
      </c>
      <c r="B3113" s="3" t="n">
        <v>45772</v>
      </c>
      <c r="C3113" t="n">
        <v>122289</v>
      </c>
      <c r="D3113" t="n">
        <v>3939866</v>
      </c>
      <c r="E3113">
        <f>IF(A3113="","",COUNTIFS($A$2:$A$20000,A3113,$B$2:$B$20000,"&gt;"&amp;B3113)+1)</f>
        <v/>
      </c>
    </row>
    <row r="3114">
      <c r="A3114" t="inlineStr">
        <is>
          <t>샘플종목29</t>
        </is>
      </c>
      <c r="B3114" s="3" t="n">
        <v>45779</v>
      </c>
      <c r="C3114" t="n">
        <v>119636</v>
      </c>
      <c r="D3114" t="n">
        <v>8553728</v>
      </c>
      <c r="E3114">
        <f>IF(A3114="","",COUNTIFS($A$2:$A$20000,A3114,$B$2:$B$20000,"&gt;"&amp;B3114)+1)</f>
        <v/>
      </c>
    </row>
    <row r="3115">
      <c r="A3115" t="inlineStr">
        <is>
          <t>샘플종목29</t>
        </is>
      </c>
      <c r="B3115" s="3" t="n">
        <v>45786</v>
      </c>
      <c r="C3115" t="n">
        <v>122942</v>
      </c>
      <c r="D3115" t="n">
        <v>4986621</v>
      </c>
      <c r="E3115">
        <f>IF(A3115="","",COUNTIFS($A$2:$A$20000,A3115,$B$2:$B$20000,"&gt;"&amp;B3115)+1)</f>
        <v/>
      </c>
    </row>
    <row r="3116">
      <c r="A3116" t="inlineStr">
        <is>
          <t>샘플종목29</t>
        </is>
      </c>
      <c r="B3116" s="3" t="n">
        <v>45793</v>
      </c>
      <c r="C3116" t="n">
        <v>122282</v>
      </c>
      <c r="D3116" t="n">
        <v>7016262</v>
      </c>
      <c r="E3116">
        <f>IF(A3116="","",COUNTIFS($A$2:$A$20000,A3116,$B$2:$B$20000,"&gt;"&amp;B3116)+1)</f>
        <v/>
      </c>
    </row>
    <row r="3117">
      <c r="A3117" t="inlineStr">
        <is>
          <t>샘플종목29</t>
        </is>
      </c>
      <c r="B3117" s="3" t="n">
        <v>45800</v>
      </c>
      <c r="C3117" t="n">
        <v>117880</v>
      </c>
      <c r="D3117" t="n">
        <v>8707817</v>
      </c>
      <c r="E3117">
        <f>IF(A3117="","",COUNTIFS($A$2:$A$20000,A3117,$B$2:$B$20000,"&gt;"&amp;B3117)+1)</f>
        <v/>
      </c>
    </row>
    <row r="3118">
      <c r="A3118" t="inlineStr">
        <is>
          <t>샘플종목29</t>
        </is>
      </c>
      <c r="B3118" s="3" t="n">
        <v>45807</v>
      </c>
      <c r="C3118" t="n">
        <v>116136</v>
      </c>
      <c r="D3118" t="n">
        <v>4143828</v>
      </c>
      <c r="E3118">
        <f>IF(A3118="","",COUNTIFS($A$2:$A$20000,A3118,$B$2:$B$20000,"&gt;"&amp;B3118)+1)</f>
        <v/>
      </c>
    </row>
    <row r="3119">
      <c r="A3119" t="inlineStr">
        <is>
          <t>샘플종목29</t>
        </is>
      </c>
      <c r="B3119" s="3" t="n">
        <v>45814</v>
      </c>
      <c r="C3119" t="n">
        <v>129306</v>
      </c>
      <c r="D3119" t="n">
        <v>7384905</v>
      </c>
      <c r="E3119">
        <f>IF(A3119="","",COUNTIFS($A$2:$A$20000,A3119,$B$2:$B$20000,"&gt;"&amp;B3119)+1)</f>
        <v/>
      </c>
    </row>
    <row r="3120">
      <c r="A3120" t="inlineStr">
        <is>
          <t>샘플종목29</t>
        </is>
      </c>
      <c r="B3120" s="3" t="n">
        <v>45821</v>
      </c>
      <c r="C3120" t="n">
        <v>133302</v>
      </c>
      <c r="D3120" t="n">
        <v>3522520</v>
      </c>
      <c r="E3120">
        <f>IF(A3120="","",COUNTIFS($A$2:$A$20000,A3120,$B$2:$B$20000,"&gt;"&amp;B3120)+1)</f>
        <v/>
      </c>
    </row>
    <row r="3121">
      <c r="A3121" t="inlineStr">
        <is>
          <t>샘플종목29</t>
        </is>
      </c>
      <c r="B3121" s="3" t="n">
        <v>45828</v>
      </c>
      <c r="C3121" t="n">
        <v>132134</v>
      </c>
      <c r="D3121" t="n">
        <v>2363446</v>
      </c>
      <c r="E3121">
        <f>IF(A3121="","",COUNTIFS($A$2:$A$20000,A3121,$B$2:$B$20000,"&gt;"&amp;B3121)+1)</f>
        <v/>
      </c>
    </row>
    <row r="3122">
      <c r="A3122" t="inlineStr">
        <is>
          <t>샘플종목29</t>
        </is>
      </c>
      <c r="B3122" s="3" t="n">
        <v>45835</v>
      </c>
      <c r="C3122" t="n">
        <v>140032</v>
      </c>
      <c r="D3122" t="n">
        <v>9462202</v>
      </c>
      <c r="E3122">
        <f>IF(A3122="","",COUNTIFS($A$2:$A$20000,A3122,$B$2:$B$20000,"&gt;"&amp;B3122)+1)</f>
        <v/>
      </c>
    </row>
    <row r="3123">
      <c r="A3123" t="inlineStr">
        <is>
          <t>샘플종목29</t>
        </is>
      </c>
      <c r="B3123" s="3" t="n">
        <v>45842</v>
      </c>
      <c r="C3123" t="n">
        <v>140185</v>
      </c>
      <c r="D3123" t="n">
        <v>355480</v>
      </c>
      <c r="E3123">
        <f>IF(A3123="","",COUNTIFS($A$2:$A$20000,A3123,$B$2:$B$20000,"&gt;"&amp;B3123)+1)</f>
        <v/>
      </c>
    </row>
    <row r="3124">
      <c r="A3124" t="inlineStr">
        <is>
          <t>샘플종목29</t>
        </is>
      </c>
      <c r="B3124" s="3" t="n">
        <v>45849</v>
      </c>
      <c r="C3124" t="n">
        <v>150285</v>
      </c>
      <c r="D3124" t="n">
        <v>3043640</v>
      </c>
      <c r="E3124">
        <f>IF(A3124="","",COUNTIFS($A$2:$A$20000,A3124,$B$2:$B$20000,"&gt;"&amp;B3124)+1)</f>
        <v/>
      </c>
    </row>
    <row r="3125">
      <c r="A3125" t="inlineStr">
        <is>
          <t>샘플종목29</t>
        </is>
      </c>
      <c r="B3125" s="3" t="n">
        <v>45856</v>
      </c>
      <c r="C3125" t="n">
        <v>156332</v>
      </c>
      <c r="D3125" t="n">
        <v>6145879</v>
      </c>
      <c r="E3125">
        <f>IF(A3125="","",COUNTIFS($A$2:$A$20000,A3125,$B$2:$B$20000,"&gt;"&amp;B3125)+1)</f>
        <v/>
      </c>
    </row>
    <row r="3126">
      <c r="A3126" t="inlineStr">
        <is>
          <t>샘플종목29</t>
        </is>
      </c>
      <c r="B3126" s="3" t="n">
        <v>45863</v>
      </c>
      <c r="C3126" t="n">
        <v>156149</v>
      </c>
      <c r="D3126" t="n">
        <v>3354464</v>
      </c>
      <c r="E3126">
        <f>IF(A3126="","",COUNTIFS($A$2:$A$20000,A3126,$B$2:$B$20000,"&gt;"&amp;B3126)+1)</f>
        <v/>
      </c>
    </row>
    <row r="3127">
      <c r="A3127" t="inlineStr">
        <is>
          <t>샘플종목29</t>
        </is>
      </c>
      <c r="B3127" s="3" t="n">
        <v>45870</v>
      </c>
      <c r="C3127" t="n">
        <v>165092</v>
      </c>
      <c r="D3127" t="n">
        <v>6797513</v>
      </c>
      <c r="E3127">
        <f>IF(A3127="","",COUNTIFS($A$2:$A$20000,A3127,$B$2:$B$20000,"&gt;"&amp;B3127)+1)</f>
        <v/>
      </c>
    </row>
    <row r="3128">
      <c r="A3128" t="inlineStr">
        <is>
          <t>샘플종목29</t>
        </is>
      </c>
      <c r="B3128" s="3" t="n">
        <v>45877</v>
      </c>
      <c r="C3128" t="n">
        <v>155267</v>
      </c>
      <c r="D3128" t="n">
        <v>1710260</v>
      </c>
      <c r="E3128">
        <f>IF(A3128="","",COUNTIFS($A$2:$A$20000,A3128,$B$2:$B$20000,"&gt;"&amp;B3128)+1)</f>
        <v/>
      </c>
    </row>
    <row r="3129">
      <c r="A3129" t="inlineStr">
        <is>
          <t>샘플종목29</t>
        </is>
      </c>
      <c r="B3129" s="3" t="n">
        <v>45884</v>
      </c>
      <c r="C3129" t="n">
        <v>157867</v>
      </c>
      <c r="D3129" t="n">
        <v>5139198</v>
      </c>
      <c r="E3129">
        <f>IF(A3129="","",COUNTIFS($A$2:$A$20000,A3129,$B$2:$B$20000,"&gt;"&amp;B3129)+1)</f>
        <v/>
      </c>
    </row>
    <row r="3130">
      <c r="A3130" t="inlineStr">
        <is>
          <t>샘플종목29</t>
        </is>
      </c>
      <c r="B3130" s="3" t="n">
        <v>45891</v>
      </c>
      <c r="C3130" t="n">
        <v>156603</v>
      </c>
      <c r="D3130" t="n">
        <v>8079919</v>
      </c>
      <c r="E3130">
        <f>IF(A3130="","",COUNTIFS($A$2:$A$20000,A3130,$B$2:$B$20000,"&gt;"&amp;B3130)+1)</f>
        <v/>
      </c>
    </row>
    <row r="3131">
      <c r="A3131" t="inlineStr">
        <is>
          <t>샘플종목29</t>
        </is>
      </c>
      <c r="B3131" s="3" t="n">
        <v>45898</v>
      </c>
      <c r="C3131" t="n">
        <v>154425</v>
      </c>
      <c r="D3131" t="n">
        <v>8969808</v>
      </c>
      <c r="E3131">
        <f>IF(A3131="","",COUNTIFS($A$2:$A$20000,A3131,$B$2:$B$20000,"&gt;"&amp;B3131)+1)</f>
        <v/>
      </c>
    </row>
    <row r="3132">
      <c r="A3132" t="inlineStr">
        <is>
          <t>샘플종목29</t>
        </is>
      </c>
      <c r="B3132" s="3" t="n">
        <v>45905</v>
      </c>
      <c r="C3132" t="n">
        <v>154030</v>
      </c>
      <c r="D3132" t="n">
        <v>3306164</v>
      </c>
      <c r="E3132">
        <f>IF(A3132="","",COUNTIFS($A$2:$A$20000,A3132,$B$2:$B$20000,"&gt;"&amp;B3132)+1)</f>
        <v/>
      </c>
    </row>
    <row r="3133">
      <c r="A3133" t="inlineStr">
        <is>
          <t>샘플종목29</t>
        </is>
      </c>
      <c r="B3133" s="3" t="n">
        <v>45912</v>
      </c>
      <c r="C3133" t="n">
        <v>152649</v>
      </c>
      <c r="D3133" t="n">
        <v>6677878</v>
      </c>
      <c r="E3133">
        <f>IF(A3133="","",COUNTIFS($A$2:$A$20000,A3133,$B$2:$B$20000,"&gt;"&amp;B3133)+1)</f>
        <v/>
      </c>
    </row>
    <row r="3134">
      <c r="A3134" t="inlineStr">
        <is>
          <t>샘플종목29</t>
        </is>
      </c>
      <c r="B3134" s="3" t="n">
        <v>45919</v>
      </c>
      <c r="C3134" t="n">
        <v>147979</v>
      </c>
      <c r="D3134" t="n">
        <v>6384797</v>
      </c>
      <c r="E3134">
        <f>IF(A3134="","",COUNTIFS($A$2:$A$20000,A3134,$B$2:$B$20000,"&gt;"&amp;B3134)+1)</f>
        <v/>
      </c>
    </row>
    <row r="3135">
      <c r="A3135" t="inlineStr">
        <is>
          <t>샘플종목29</t>
        </is>
      </c>
      <c r="B3135" s="3" t="n">
        <v>45926</v>
      </c>
      <c r="C3135" t="n">
        <v>152212</v>
      </c>
      <c r="D3135" t="n">
        <v>9524780</v>
      </c>
      <c r="E3135">
        <f>IF(A3135="","",COUNTIFS($A$2:$A$20000,A3135,$B$2:$B$20000,"&gt;"&amp;B3135)+1)</f>
        <v/>
      </c>
    </row>
    <row r="3136">
      <c r="A3136" t="inlineStr">
        <is>
          <t>샘플종목29</t>
        </is>
      </c>
      <c r="B3136" s="3" t="n">
        <v>45933</v>
      </c>
      <c r="C3136" t="n">
        <v>151987</v>
      </c>
      <c r="D3136" t="n">
        <v>6850289</v>
      </c>
      <c r="E3136">
        <f>IF(A3136="","",COUNTIFS($A$2:$A$20000,A3136,$B$2:$B$20000,"&gt;"&amp;B3136)+1)</f>
        <v/>
      </c>
    </row>
    <row r="3137">
      <c r="A3137" t="inlineStr">
        <is>
          <t>샘플종목29</t>
        </is>
      </c>
      <c r="B3137" s="3" t="n">
        <v>45940</v>
      </c>
      <c r="C3137" t="n">
        <v>143495</v>
      </c>
      <c r="D3137" t="n">
        <v>9655201</v>
      </c>
      <c r="E3137">
        <f>IF(A3137="","",COUNTIFS($A$2:$A$20000,A3137,$B$2:$B$20000,"&gt;"&amp;B3137)+1)</f>
        <v/>
      </c>
    </row>
    <row r="3138">
      <c r="A3138" t="inlineStr">
        <is>
          <t>샘플종목29</t>
        </is>
      </c>
      <c r="B3138" s="3" t="n">
        <v>45947</v>
      </c>
      <c r="C3138" t="n">
        <v>139125</v>
      </c>
      <c r="D3138" t="n">
        <v>6651887</v>
      </c>
      <c r="E3138">
        <f>IF(A3138="","",COUNTIFS($A$2:$A$20000,A3138,$B$2:$B$20000,"&gt;"&amp;B3138)+1)</f>
        <v/>
      </c>
    </row>
    <row r="3139">
      <c r="A3139" t="inlineStr">
        <is>
          <t>샘플종목29</t>
        </is>
      </c>
      <c r="B3139" s="3" t="n">
        <v>45954</v>
      </c>
      <c r="C3139" t="n">
        <v>142691</v>
      </c>
      <c r="D3139" t="n">
        <v>2463345</v>
      </c>
      <c r="E3139">
        <f>IF(A3139="","",COUNTIFS($A$2:$A$20000,A3139,$B$2:$B$20000,"&gt;"&amp;B3139)+1)</f>
        <v/>
      </c>
    </row>
    <row r="3140">
      <c r="A3140" t="inlineStr">
        <is>
          <t>샘플종목29</t>
        </is>
      </c>
      <c r="B3140" s="3" t="n">
        <v>45961</v>
      </c>
      <c r="C3140" t="n">
        <v>152631</v>
      </c>
      <c r="D3140" t="n">
        <v>9431422</v>
      </c>
      <c r="E3140">
        <f>IF(A3140="","",COUNTIFS($A$2:$A$20000,A3140,$B$2:$B$20000,"&gt;"&amp;B3140)+1)</f>
        <v/>
      </c>
    </row>
    <row r="3141">
      <c r="A3141" t="inlineStr">
        <is>
          <t>샘플종목29</t>
        </is>
      </c>
      <c r="B3141" s="3" t="n">
        <v>45968</v>
      </c>
      <c r="C3141" t="n">
        <v>150619</v>
      </c>
      <c r="D3141" t="n">
        <v>7911165</v>
      </c>
      <c r="E3141">
        <f>IF(A3141="","",COUNTIFS($A$2:$A$20000,A3141,$B$2:$B$20000,"&gt;"&amp;B3141)+1)</f>
        <v/>
      </c>
    </row>
    <row r="3142">
      <c r="A3142" t="inlineStr">
        <is>
          <t>샘플종목29</t>
        </is>
      </c>
      <c r="B3142" s="3" t="n">
        <v>45975</v>
      </c>
      <c r="C3142" t="n">
        <v>153340</v>
      </c>
      <c r="D3142" t="n">
        <v>1376789</v>
      </c>
      <c r="E3142">
        <f>IF(A3142="","",COUNTIFS($A$2:$A$20000,A3142,$B$2:$B$20000,"&gt;"&amp;B3142)+1)</f>
        <v/>
      </c>
    </row>
    <row r="3143">
      <c r="A3143" t="inlineStr">
        <is>
          <t>샘플종목29</t>
        </is>
      </c>
      <c r="B3143" s="3" t="n">
        <v>45982</v>
      </c>
      <c r="C3143" t="n">
        <v>154224</v>
      </c>
      <c r="D3143" t="n">
        <v>9469448</v>
      </c>
      <c r="E3143">
        <f>IF(A3143="","",COUNTIFS($A$2:$A$20000,A3143,$B$2:$B$20000,"&gt;"&amp;B3143)+1)</f>
        <v/>
      </c>
    </row>
    <row r="3144">
      <c r="A3144" t="inlineStr">
        <is>
          <t>샘플종목29</t>
        </is>
      </c>
      <c r="B3144" s="3" t="n">
        <v>45989</v>
      </c>
      <c r="C3144" t="n">
        <v>165352</v>
      </c>
      <c r="D3144" t="n">
        <v>4590672</v>
      </c>
      <c r="E3144">
        <f>IF(A3144="","",COUNTIFS($A$2:$A$20000,A3144,$B$2:$B$20000,"&gt;"&amp;B3144)+1)</f>
        <v/>
      </c>
    </row>
    <row r="3145">
      <c r="A3145" t="inlineStr">
        <is>
          <t>샘플종목29</t>
        </is>
      </c>
      <c r="B3145" s="3" t="n">
        <v>45996</v>
      </c>
      <c r="C3145" t="n">
        <v>160970</v>
      </c>
      <c r="D3145" t="n">
        <v>7804229</v>
      </c>
      <c r="E3145">
        <f>IF(A3145="","",COUNTIFS($A$2:$A$20000,A3145,$B$2:$B$20000,"&gt;"&amp;B3145)+1)</f>
        <v/>
      </c>
    </row>
    <row r="3146">
      <c r="A3146" t="inlineStr">
        <is>
          <t>샘플종목29</t>
        </is>
      </c>
      <c r="B3146" s="3" t="n">
        <v>46003</v>
      </c>
      <c r="C3146" t="n">
        <v>155785</v>
      </c>
      <c r="D3146" t="n">
        <v>6281579</v>
      </c>
      <c r="E3146">
        <f>IF(A3146="","",COUNTIFS($A$2:$A$20000,A3146,$B$2:$B$20000,"&gt;"&amp;B3146)+1)</f>
        <v/>
      </c>
    </row>
    <row r="3147">
      <c r="A3147" t="inlineStr">
        <is>
          <t>샘플종목29</t>
        </is>
      </c>
      <c r="B3147" s="3" t="n">
        <v>46010</v>
      </c>
      <c r="C3147" t="n">
        <v>156930</v>
      </c>
      <c r="D3147" t="n">
        <v>3186149</v>
      </c>
      <c r="E3147">
        <f>IF(A3147="","",COUNTIFS($A$2:$A$20000,A3147,$B$2:$B$20000,"&gt;"&amp;B3147)+1)</f>
        <v/>
      </c>
    </row>
    <row r="3148">
      <c r="A3148" t="inlineStr">
        <is>
          <t>샘플종목29</t>
        </is>
      </c>
      <c r="B3148" s="3" t="n">
        <v>46017</v>
      </c>
      <c r="C3148" t="n">
        <v>162477</v>
      </c>
      <c r="D3148" t="n">
        <v>2957159</v>
      </c>
      <c r="E3148">
        <f>IF(A3148="","",COUNTIFS($A$2:$A$20000,A3148,$B$2:$B$20000,"&gt;"&amp;B3148)+1)</f>
        <v/>
      </c>
    </row>
    <row r="3149">
      <c r="A3149" t="inlineStr">
        <is>
          <t>샘플종목29</t>
        </is>
      </c>
      <c r="B3149" s="3" t="n">
        <v>46024</v>
      </c>
      <c r="C3149" t="n">
        <v>154791</v>
      </c>
      <c r="D3149" t="n">
        <v>1586260</v>
      </c>
      <c r="E3149">
        <f>IF(A3149="","",COUNTIFS($A$2:$A$20000,A3149,$B$2:$B$20000,"&gt;"&amp;B3149)+1)</f>
        <v/>
      </c>
    </row>
    <row r="3150">
      <c r="A3150" t="inlineStr">
        <is>
          <t>샘플종목29</t>
        </is>
      </c>
      <c r="B3150" s="3" t="n">
        <v>46031</v>
      </c>
      <c r="C3150" t="n">
        <v>159582</v>
      </c>
      <c r="D3150" t="n">
        <v>3657065</v>
      </c>
      <c r="E3150">
        <f>IF(A3150="","",COUNTIFS($A$2:$A$20000,A3150,$B$2:$B$20000,"&gt;"&amp;B3150)+1)</f>
        <v/>
      </c>
    </row>
    <row r="3151">
      <c r="A3151" t="inlineStr">
        <is>
          <t>샘플종목29</t>
        </is>
      </c>
      <c r="B3151" s="3" t="n">
        <v>46038</v>
      </c>
      <c r="C3151" t="n">
        <v>166761</v>
      </c>
      <c r="D3151" t="n">
        <v>8126416</v>
      </c>
      <c r="E3151">
        <f>IF(A3151="","",COUNTIFS($A$2:$A$20000,A3151,$B$2:$B$20000,"&gt;"&amp;B3151)+1)</f>
        <v/>
      </c>
    </row>
    <row r="3152">
      <c r="A3152" t="inlineStr">
        <is>
          <t>샘플종목29</t>
        </is>
      </c>
      <c r="B3152" s="3" t="n">
        <v>46045</v>
      </c>
      <c r="C3152" t="n">
        <v>165489</v>
      </c>
      <c r="D3152" t="n">
        <v>2696750</v>
      </c>
      <c r="E3152">
        <f>IF(A3152="","",COUNTIFS($A$2:$A$20000,A3152,$B$2:$B$20000,"&gt;"&amp;B3152)+1)</f>
        <v/>
      </c>
    </row>
    <row r="3153">
      <c r="A3153" t="inlineStr">
        <is>
          <t>샘플종목29</t>
        </is>
      </c>
      <c r="B3153" s="3" t="n">
        <v>46052</v>
      </c>
      <c r="C3153" t="n">
        <v>168454</v>
      </c>
      <c r="D3153" t="n">
        <v>2507899</v>
      </c>
      <c r="E3153">
        <f>IF(A3153="","",COUNTIFS($A$2:$A$20000,A3153,$B$2:$B$20000,"&gt;"&amp;B3153)+1)</f>
        <v/>
      </c>
    </row>
    <row r="3154">
      <c r="A3154" t="inlineStr">
        <is>
          <t>샘플종목29</t>
        </is>
      </c>
      <c r="B3154" s="3" t="n">
        <v>46059</v>
      </c>
      <c r="C3154" t="n">
        <v>167805</v>
      </c>
      <c r="D3154" t="n">
        <v>5621202</v>
      </c>
      <c r="E3154">
        <f>IF(A3154="","",COUNTIFS($A$2:$A$20000,A3154,$B$2:$B$20000,"&gt;"&amp;B3154)+1)</f>
        <v/>
      </c>
    </row>
    <row r="3155">
      <c r="A3155" t="inlineStr">
        <is>
          <t>샘플종목29</t>
        </is>
      </c>
      <c r="B3155" s="3" t="n">
        <v>46066</v>
      </c>
      <c r="C3155" t="n">
        <v>163467</v>
      </c>
      <c r="D3155" t="n">
        <v>4941927</v>
      </c>
      <c r="E3155">
        <f>IF(A3155="","",COUNTIFS($A$2:$A$20000,A3155,$B$2:$B$20000,"&gt;"&amp;B3155)+1)</f>
        <v/>
      </c>
    </row>
    <row r="3156">
      <c r="A3156" t="inlineStr">
        <is>
          <t>샘플종목29</t>
        </is>
      </c>
      <c r="B3156" s="3" t="n">
        <v>46073</v>
      </c>
      <c r="C3156" t="n">
        <v>162119</v>
      </c>
      <c r="D3156" t="n">
        <v>6724034</v>
      </c>
      <c r="E3156">
        <f>IF(A3156="","",COUNTIFS($A$2:$A$20000,A3156,$B$2:$B$20000,"&gt;"&amp;B3156)+1)</f>
        <v/>
      </c>
    </row>
    <row r="3157">
      <c r="A3157" t="inlineStr">
        <is>
          <t>샘플종목29</t>
        </is>
      </c>
      <c r="B3157" s="3" t="n">
        <v>46080</v>
      </c>
      <c r="C3157" t="n">
        <v>167283</v>
      </c>
      <c r="D3157" t="n">
        <v>302764</v>
      </c>
      <c r="E3157">
        <f>IF(A3157="","",COUNTIFS($A$2:$A$20000,A3157,$B$2:$B$20000,"&gt;"&amp;B3157)+1)</f>
        <v/>
      </c>
    </row>
    <row r="3158">
      <c r="A3158" t="inlineStr">
        <is>
          <t>샘플종목29</t>
        </is>
      </c>
      <c r="B3158" s="3" t="n">
        <v>46087</v>
      </c>
      <c r="C3158" t="n">
        <v>172095</v>
      </c>
      <c r="D3158" t="n">
        <v>7923880</v>
      </c>
      <c r="E3158">
        <f>IF(A3158="","",COUNTIFS($A$2:$A$20000,A3158,$B$2:$B$20000,"&gt;"&amp;B3158)+1)</f>
        <v/>
      </c>
    </row>
    <row r="3159">
      <c r="A3159" t="inlineStr">
        <is>
          <t>샘플종목29</t>
        </is>
      </c>
      <c r="B3159" s="3" t="n">
        <v>46094</v>
      </c>
      <c r="C3159" t="n">
        <v>170916</v>
      </c>
      <c r="D3159" t="n">
        <v>312012</v>
      </c>
      <c r="E3159">
        <f>IF(A3159="","",COUNTIFS($A$2:$A$20000,A3159,$B$2:$B$20000,"&gt;"&amp;B3159)+1)</f>
        <v/>
      </c>
    </row>
    <row r="3160">
      <c r="A3160" t="inlineStr">
        <is>
          <t>샘플종목29</t>
        </is>
      </c>
      <c r="B3160" s="3" t="n">
        <v>46101</v>
      </c>
      <c r="C3160" t="n">
        <v>162265</v>
      </c>
      <c r="D3160" t="n">
        <v>107165</v>
      </c>
      <c r="E3160">
        <f>IF(A3160="","",COUNTIFS($A$2:$A$20000,A3160,$B$2:$B$20000,"&gt;"&amp;B3160)+1)</f>
        <v/>
      </c>
    </row>
    <row r="3161">
      <c r="A3161" t="inlineStr">
        <is>
          <t>샘플종목29</t>
        </is>
      </c>
      <c r="B3161" s="3" t="n">
        <v>46108</v>
      </c>
      <c r="C3161" t="n">
        <v>165934</v>
      </c>
      <c r="D3161" t="n">
        <v>1675784</v>
      </c>
      <c r="E3161">
        <f>IF(A3161="","",COUNTIFS($A$2:$A$20000,A3161,$B$2:$B$20000,"&gt;"&amp;B3161)+1)</f>
        <v/>
      </c>
    </row>
    <row r="3162">
      <c r="A3162" t="inlineStr">
        <is>
          <t>샘플종목29</t>
        </is>
      </c>
      <c r="B3162" s="3" t="n">
        <v>46115</v>
      </c>
      <c r="C3162" t="n">
        <v>170898</v>
      </c>
      <c r="D3162" t="n">
        <v>4344469</v>
      </c>
      <c r="E3162">
        <f>IF(A3162="","",COUNTIFS($A$2:$A$20000,A3162,$B$2:$B$20000,"&gt;"&amp;B3162)+1)</f>
        <v/>
      </c>
    </row>
    <row r="3163">
      <c r="A3163" t="inlineStr">
        <is>
          <t>샘플종목29</t>
        </is>
      </c>
      <c r="B3163" s="3" t="n">
        <v>46122</v>
      </c>
      <c r="C3163" t="n">
        <v>170027</v>
      </c>
      <c r="D3163" t="n">
        <v>4134844</v>
      </c>
      <c r="E3163">
        <f>IF(A3163="","",COUNTIFS($A$2:$A$20000,A3163,$B$2:$B$20000,"&gt;"&amp;B3163)+1)</f>
        <v/>
      </c>
    </row>
    <row r="3164">
      <c r="A3164" t="inlineStr">
        <is>
          <t>샘플종목29</t>
        </is>
      </c>
      <c r="B3164" s="3" t="n">
        <v>46129</v>
      </c>
      <c r="C3164" t="n">
        <v>173445</v>
      </c>
      <c r="D3164" t="n">
        <v>7138235</v>
      </c>
      <c r="E3164">
        <f>IF(A3164="","",COUNTIFS($A$2:$A$20000,A3164,$B$2:$B$20000,"&gt;"&amp;B3164)+1)</f>
        <v/>
      </c>
    </row>
    <row r="3165">
      <c r="A3165" t="inlineStr">
        <is>
          <t>샘플종목29</t>
        </is>
      </c>
      <c r="B3165" s="3" t="n">
        <v>46136</v>
      </c>
      <c r="C3165" t="n">
        <v>174275</v>
      </c>
      <c r="D3165" t="n">
        <v>9864360</v>
      </c>
      <c r="E3165">
        <f>IF(A3165="","",COUNTIFS($A$2:$A$20000,A3165,$B$2:$B$20000,"&gt;"&amp;B3165)+1)</f>
        <v/>
      </c>
    </row>
    <row r="3166">
      <c r="A3166" t="inlineStr">
        <is>
          <t>샘플종목29</t>
        </is>
      </c>
      <c r="B3166" s="3" t="n">
        <v>46143</v>
      </c>
      <c r="C3166" t="n">
        <v>173109</v>
      </c>
      <c r="D3166" t="n">
        <v>7623023</v>
      </c>
      <c r="E3166">
        <f>IF(A3166="","",COUNTIFS($A$2:$A$20000,A3166,$B$2:$B$20000,"&gt;"&amp;B3166)+1)</f>
        <v/>
      </c>
    </row>
    <row r="3167">
      <c r="A3167" t="inlineStr">
        <is>
          <t>샘플종목29</t>
        </is>
      </c>
      <c r="B3167" s="3" t="n">
        <v>46150</v>
      </c>
      <c r="C3167" t="n">
        <v>170846</v>
      </c>
      <c r="D3167" t="n">
        <v>4910642</v>
      </c>
      <c r="E3167">
        <f>IF(A3167="","",COUNTIFS($A$2:$A$20000,A3167,$B$2:$B$20000,"&gt;"&amp;B3167)+1)</f>
        <v/>
      </c>
    </row>
    <row r="3168">
      <c r="A3168" t="inlineStr">
        <is>
          <t>샘플종목29</t>
        </is>
      </c>
      <c r="B3168" s="3" t="n">
        <v>46157</v>
      </c>
      <c r="C3168" t="n">
        <v>171735</v>
      </c>
      <c r="D3168" t="n">
        <v>9728431</v>
      </c>
      <c r="E3168">
        <f>IF(A3168="","",COUNTIFS($A$2:$A$20000,A3168,$B$2:$B$20000,"&gt;"&amp;B3168)+1)</f>
        <v/>
      </c>
    </row>
    <row r="3169">
      <c r="A3169" t="inlineStr">
        <is>
          <t>샘플종목29</t>
        </is>
      </c>
      <c r="B3169" s="3" t="n">
        <v>46164</v>
      </c>
      <c r="C3169" t="n">
        <v>174399</v>
      </c>
      <c r="D3169" t="n">
        <v>634456</v>
      </c>
      <c r="E3169">
        <f>IF(A3169="","",COUNTIFS($A$2:$A$20000,A3169,$B$2:$B$20000,"&gt;"&amp;B3169)+1)</f>
        <v/>
      </c>
    </row>
    <row r="3170">
      <c r="A3170" t="inlineStr">
        <is>
          <t>샘플종목29</t>
        </is>
      </c>
      <c r="B3170" s="3" t="n">
        <v>46171</v>
      </c>
      <c r="C3170" t="n">
        <v>177473</v>
      </c>
      <c r="D3170" t="n">
        <v>452861</v>
      </c>
      <c r="E3170">
        <f>IF(A3170="","",COUNTIFS($A$2:$A$20000,A3170,$B$2:$B$20000,"&gt;"&amp;B3170)+1)</f>
        <v/>
      </c>
    </row>
    <row r="3171">
      <c r="A3171" t="inlineStr">
        <is>
          <t>샘플종목29</t>
        </is>
      </c>
      <c r="B3171" s="3" t="n">
        <v>46178</v>
      </c>
      <c r="C3171" t="n">
        <v>175435</v>
      </c>
      <c r="D3171" t="n">
        <v>9942079</v>
      </c>
      <c r="E3171">
        <f>IF(A3171="","",COUNTIFS($A$2:$A$20000,A3171,$B$2:$B$20000,"&gt;"&amp;B3171)+1)</f>
        <v/>
      </c>
    </row>
    <row r="3172">
      <c r="A3172" t="inlineStr">
        <is>
          <t>샘플종목29</t>
        </is>
      </c>
      <c r="B3172" s="3" t="n">
        <v>46185</v>
      </c>
      <c r="C3172" t="n">
        <v>179744</v>
      </c>
      <c r="D3172" t="n">
        <v>9323886</v>
      </c>
      <c r="E3172">
        <f>IF(A3172="","",COUNTIFS($A$2:$A$20000,A3172,$B$2:$B$20000,"&gt;"&amp;B3172)+1)</f>
        <v/>
      </c>
    </row>
    <row r="3173">
      <c r="A3173" t="inlineStr">
        <is>
          <t>샘플종목29</t>
        </is>
      </c>
      <c r="B3173" s="3" t="n">
        <v>46192</v>
      </c>
      <c r="C3173" t="n">
        <v>169784</v>
      </c>
      <c r="D3173" t="n">
        <v>2557368</v>
      </c>
      <c r="E3173">
        <f>IF(A3173="","",COUNTIFS($A$2:$A$20000,A3173,$B$2:$B$20000,"&gt;"&amp;B3173)+1)</f>
        <v/>
      </c>
    </row>
    <row r="3174">
      <c r="A3174" t="inlineStr">
        <is>
          <t>샘플종목29</t>
        </is>
      </c>
      <c r="B3174" s="3" t="n">
        <v>46199</v>
      </c>
      <c r="C3174" t="n">
        <v>171637</v>
      </c>
      <c r="D3174" t="n">
        <v>9156185</v>
      </c>
      <c r="E3174">
        <f>IF(A3174="","",COUNTIFS($A$2:$A$20000,A3174,$B$2:$B$20000,"&gt;"&amp;B3174)+1)</f>
        <v/>
      </c>
    </row>
    <row r="3175">
      <c r="A3175" t="inlineStr">
        <is>
          <t>샘플종목29</t>
        </is>
      </c>
      <c r="B3175" s="3" t="n">
        <v>46206</v>
      </c>
      <c r="C3175" t="n">
        <v>168310</v>
      </c>
      <c r="D3175" t="n">
        <v>7865221</v>
      </c>
      <c r="E3175">
        <f>IF(A3175="","",COUNTIFS($A$2:$A$20000,A3175,$B$2:$B$20000,"&gt;"&amp;B3175)+1)</f>
        <v/>
      </c>
    </row>
    <row r="3176">
      <c r="A3176" t="inlineStr">
        <is>
          <t>샘플종목29</t>
        </is>
      </c>
      <c r="B3176" s="3" t="n">
        <v>46213</v>
      </c>
      <c r="C3176" t="n">
        <v>167971</v>
      </c>
      <c r="D3176" t="n">
        <v>3309223</v>
      </c>
      <c r="E3176">
        <f>IF(A3176="","",COUNTIFS($A$2:$A$20000,A3176,$B$2:$B$20000,"&gt;"&amp;B3176)+1)</f>
        <v/>
      </c>
    </row>
    <row r="3177">
      <c r="A3177" t="inlineStr">
        <is>
          <t>샘플종목29</t>
        </is>
      </c>
      <c r="B3177" s="3" t="n">
        <v>46220</v>
      </c>
      <c r="C3177" t="n">
        <v>175056</v>
      </c>
      <c r="D3177" t="n">
        <v>1609756</v>
      </c>
      <c r="E3177">
        <f>IF(A3177="","",COUNTIFS($A$2:$A$20000,A3177,$B$2:$B$20000,"&gt;"&amp;B3177)+1)</f>
        <v/>
      </c>
    </row>
    <row r="3178">
      <c r="A3178" t="inlineStr">
        <is>
          <t>샘플종목29</t>
        </is>
      </c>
      <c r="B3178" s="3" t="n">
        <v>46227</v>
      </c>
      <c r="C3178" t="n">
        <v>173039</v>
      </c>
      <c r="D3178" t="n">
        <v>5734702</v>
      </c>
      <c r="E3178">
        <f>IF(A3178="","",COUNTIFS($A$2:$A$20000,A3178,$B$2:$B$20000,"&gt;"&amp;B3178)+1)</f>
        <v/>
      </c>
    </row>
    <row r="3179">
      <c r="A3179" t="inlineStr">
        <is>
          <t>샘플종목29</t>
        </is>
      </c>
      <c r="B3179" s="3" t="n">
        <v>46234</v>
      </c>
      <c r="C3179" t="n">
        <v>164662</v>
      </c>
      <c r="D3179" t="n">
        <v>7376499</v>
      </c>
      <c r="E3179">
        <f>IF(A3179="","",COUNTIFS($A$2:$A$20000,A3179,$B$2:$B$20000,"&gt;"&amp;B3179)+1)</f>
        <v/>
      </c>
    </row>
    <row r="3180">
      <c r="A3180" t="inlineStr">
        <is>
          <t>샘플종목29</t>
        </is>
      </c>
      <c r="B3180" s="3" t="n">
        <v>46241</v>
      </c>
      <c r="C3180" t="n">
        <v>175621</v>
      </c>
      <c r="D3180" t="n">
        <v>9608558</v>
      </c>
      <c r="E3180">
        <f>IF(A3180="","",COUNTIFS($A$2:$A$20000,A3180,$B$2:$B$20000,"&gt;"&amp;B3180)+1)</f>
        <v/>
      </c>
    </row>
    <row r="3181">
      <c r="A3181" t="inlineStr">
        <is>
          <t>샘플종목29</t>
        </is>
      </c>
      <c r="B3181" s="3" t="n">
        <v>46248</v>
      </c>
      <c r="C3181" t="n">
        <v>169915</v>
      </c>
      <c r="D3181" t="n">
        <v>5571422</v>
      </c>
      <c r="E3181">
        <f>IF(A3181="","",COUNTIFS($A$2:$A$20000,A3181,$B$2:$B$20000,"&gt;"&amp;B3181)+1)</f>
        <v/>
      </c>
    </row>
    <row r="3182">
      <c r="A3182" t="inlineStr">
        <is>
          <t>샘플종목29</t>
        </is>
      </c>
      <c r="B3182" s="3" t="n">
        <v>46255</v>
      </c>
      <c r="C3182" t="n">
        <v>177916</v>
      </c>
      <c r="D3182" t="n">
        <v>8603384</v>
      </c>
      <c r="E3182">
        <f>IF(A3182="","",COUNTIFS($A$2:$A$20000,A3182,$B$2:$B$20000,"&gt;"&amp;B3182)+1)</f>
        <v/>
      </c>
    </row>
    <row r="3183">
      <c r="A3183" t="inlineStr">
        <is>
          <t>샘플종목29</t>
        </is>
      </c>
      <c r="B3183" s="3" t="n">
        <v>46262</v>
      </c>
      <c r="C3183" t="n">
        <v>180734</v>
      </c>
      <c r="D3183" t="n">
        <v>1813238</v>
      </c>
      <c r="E3183">
        <f>IF(A3183="","",COUNTIFS($A$2:$A$20000,A3183,$B$2:$B$20000,"&gt;"&amp;B3183)+1)</f>
        <v/>
      </c>
    </row>
    <row r="3184">
      <c r="A3184" t="inlineStr">
        <is>
          <t>샘플종목29</t>
        </is>
      </c>
      <c r="B3184" s="3" t="n">
        <v>46269</v>
      </c>
      <c r="C3184" t="n">
        <v>186474</v>
      </c>
      <c r="D3184" t="n">
        <v>4465539</v>
      </c>
      <c r="E3184">
        <f>IF(A3184="","",COUNTIFS($A$2:$A$20000,A3184,$B$2:$B$20000,"&gt;"&amp;B3184)+1)</f>
        <v/>
      </c>
    </row>
    <row r="3185">
      <c r="A3185" t="inlineStr">
        <is>
          <t>샘플종목29</t>
        </is>
      </c>
      <c r="B3185" s="3" t="n">
        <v>46276</v>
      </c>
      <c r="C3185" t="n">
        <v>188203</v>
      </c>
      <c r="D3185" t="n">
        <v>4698514</v>
      </c>
      <c r="E3185">
        <f>IF(A3185="","",COUNTIFS($A$2:$A$20000,A3185,$B$2:$B$20000,"&gt;"&amp;B3185)+1)</f>
        <v/>
      </c>
    </row>
    <row r="3186">
      <c r="A3186" t="inlineStr">
        <is>
          <t>샘플종목29</t>
        </is>
      </c>
      <c r="B3186" s="3" t="n">
        <v>46283</v>
      </c>
      <c r="C3186" t="n">
        <v>200639</v>
      </c>
      <c r="D3186" t="n">
        <v>7573323</v>
      </c>
      <c r="E3186">
        <f>IF(A3186="","",COUNTIFS($A$2:$A$20000,A3186,$B$2:$B$20000,"&gt;"&amp;B3186)+1)</f>
        <v/>
      </c>
    </row>
    <row r="3187">
      <c r="A3187" t="inlineStr">
        <is>
          <t>샘플종목29</t>
        </is>
      </c>
      <c r="B3187" s="3" t="n">
        <v>46290</v>
      </c>
      <c r="C3187" t="n">
        <v>195698</v>
      </c>
      <c r="D3187" t="n">
        <v>7640946</v>
      </c>
      <c r="E3187">
        <f>IF(A3187="","",COUNTIFS($A$2:$A$20000,A3187,$B$2:$B$20000,"&gt;"&amp;B3187)+1)</f>
        <v/>
      </c>
    </row>
    <row r="3188">
      <c r="A3188" t="inlineStr">
        <is>
          <t>샘플종목29</t>
        </is>
      </c>
      <c r="B3188" s="3" t="n">
        <v>46297</v>
      </c>
      <c r="C3188" t="n">
        <v>183250</v>
      </c>
      <c r="D3188" t="n">
        <v>5430219</v>
      </c>
      <c r="E3188">
        <f>IF(A3188="","",COUNTIFS($A$2:$A$20000,A3188,$B$2:$B$20000,"&gt;"&amp;B3188)+1)</f>
        <v/>
      </c>
    </row>
    <row r="3189">
      <c r="A3189" t="inlineStr">
        <is>
          <t>샘플종목29</t>
        </is>
      </c>
      <c r="B3189" s="3" t="n">
        <v>46304</v>
      </c>
      <c r="C3189" t="n">
        <v>186560</v>
      </c>
      <c r="D3189" t="n">
        <v>1942119</v>
      </c>
      <c r="E3189">
        <f>IF(A3189="","",COUNTIFS($A$2:$A$20000,A3189,$B$2:$B$20000,"&gt;"&amp;B3189)+1)</f>
        <v/>
      </c>
    </row>
    <row r="3190">
      <c r="A3190" t="inlineStr">
        <is>
          <t>샘플종목29</t>
        </is>
      </c>
      <c r="B3190" s="3" t="n">
        <v>46311</v>
      </c>
      <c r="C3190" t="n">
        <v>185192</v>
      </c>
      <c r="D3190" t="n">
        <v>2001852</v>
      </c>
      <c r="E3190">
        <f>IF(A3190="","",COUNTIFS($A$2:$A$20000,A3190,$B$2:$B$20000,"&gt;"&amp;B3190)+1)</f>
        <v/>
      </c>
    </row>
    <row r="3191">
      <c r="A3191" t="inlineStr">
        <is>
          <t>샘플종목29</t>
        </is>
      </c>
      <c r="B3191" s="3" t="n">
        <v>46318</v>
      </c>
      <c r="C3191" t="n">
        <v>181301</v>
      </c>
      <c r="D3191" t="n">
        <v>4264571</v>
      </c>
      <c r="E3191">
        <f>IF(A3191="","",COUNTIFS($A$2:$A$20000,A3191,$B$2:$B$20000,"&gt;"&amp;B3191)+1)</f>
        <v/>
      </c>
    </row>
    <row r="3192">
      <c r="A3192" t="inlineStr">
        <is>
          <t>샘플종목30</t>
        </is>
      </c>
      <c r="B3192" s="3" t="n">
        <v>45555</v>
      </c>
      <c r="C3192" t="n">
        <v>146039</v>
      </c>
      <c r="D3192" t="n">
        <v>3615010</v>
      </c>
      <c r="E3192">
        <f>IF(A3192="","",COUNTIFS($A$2:$A$20000,A3192,$B$2:$B$20000,"&gt;"&amp;B3192)+1)</f>
        <v/>
      </c>
    </row>
    <row r="3193">
      <c r="A3193" t="inlineStr">
        <is>
          <t>샘플종목30</t>
        </is>
      </c>
      <c r="B3193" s="3" t="n">
        <v>45562</v>
      </c>
      <c r="C3193" t="n">
        <v>138119</v>
      </c>
      <c r="D3193" t="n">
        <v>2377367</v>
      </c>
      <c r="E3193">
        <f>IF(A3193="","",COUNTIFS($A$2:$A$20000,A3193,$B$2:$B$20000,"&gt;"&amp;B3193)+1)</f>
        <v/>
      </c>
    </row>
    <row r="3194">
      <c r="A3194" t="inlineStr">
        <is>
          <t>샘플종목30</t>
        </is>
      </c>
      <c r="B3194" s="3" t="n">
        <v>45569</v>
      </c>
      <c r="C3194" t="n">
        <v>140479</v>
      </c>
      <c r="D3194" t="n">
        <v>3255347</v>
      </c>
      <c r="E3194">
        <f>IF(A3194="","",COUNTIFS($A$2:$A$20000,A3194,$B$2:$B$20000,"&gt;"&amp;B3194)+1)</f>
        <v/>
      </c>
    </row>
    <row r="3195">
      <c r="A3195" t="inlineStr">
        <is>
          <t>샘플종목30</t>
        </is>
      </c>
      <c r="B3195" s="3" t="n">
        <v>45576</v>
      </c>
      <c r="C3195" t="n">
        <v>148825</v>
      </c>
      <c r="D3195" t="n">
        <v>5691989</v>
      </c>
      <c r="E3195">
        <f>IF(A3195="","",COUNTIFS($A$2:$A$20000,A3195,$B$2:$B$20000,"&gt;"&amp;B3195)+1)</f>
        <v/>
      </c>
    </row>
    <row r="3196">
      <c r="A3196" t="inlineStr">
        <is>
          <t>샘플종목30</t>
        </is>
      </c>
      <c r="B3196" s="3" t="n">
        <v>45583</v>
      </c>
      <c r="C3196" t="n">
        <v>155587</v>
      </c>
      <c r="D3196" t="n">
        <v>880628</v>
      </c>
      <c r="E3196">
        <f>IF(A3196="","",COUNTIFS($A$2:$A$20000,A3196,$B$2:$B$20000,"&gt;"&amp;B3196)+1)</f>
        <v/>
      </c>
    </row>
    <row r="3197">
      <c r="A3197" t="inlineStr">
        <is>
          <t>샘플종목30</t>
        </is>
      </c>
      <c r="B3197" s="3" t="n">
        <v>45590</v>
      </c>
      <c r="C3197" t="n">
        <v>155759</v>
      </c>
      <c r="D3197" t="n">
        <v>3009818</v>
      </c>
      <c r="E3197">
        <f>IF(A3197="","",COUNTIFS($A$2:$A$20000,A3197,$B$2:$B$20000,"&gt;"&amp;B3197)+1)</f>
        <v/>
      </c>
    </row>
    <row r="3198">
      <c r="A3198" t="inlineStr">
        <is>
          <t>샘플종목30</t>
        </is>
      </c>
      <c r="B3198" s="3" t="n">
        <v>45597</v>
      </c>
      <c r="C3198" t="n">
        <v>156907</v>
      </c>
      <c r="D3198" t="n">
        <v>7583016</v>
      </c>
      <c r="E3198">
        <f>IF(A3198="","",COUNTIFS($A$2:$A$20000,A3198,$B$2:$B$20000,"&gt;"&amp;B3198)+1)</f>
        <v/>
      </c>
    </row>
    <row r="3199">
      <c r="A3199" t="inlineStr">
        <is>
          <t>샘플종목30</t>
        </is>
      </c>
      <c r="B3199" s="3" t="n">
        <v>45604</v>
      </c>
      <c r="C3199" t="n">
        <v>155224</v>
      </c>
      <c r="D3199" t="n">
        <v>1375208</v>
      </c>
      <c r="E3199">
        <f>IF(A3199="","",COUNTIFS($A$2:$A$20000,A3199,$B$2:$B$20000,"&gt;"&amp;B3199)+1)</f>
        <v/>
      </c>
    </row>
    <row r="3200">
      <c r="A3200" t="inlineStr">
        <is>
          <t>샘플종목30</t>
        </is>
      </c>
      <c r="B3200" s="3" t="n">
        <v>45611</v>
      </c>
      <c r="C3200" t="n">
        <v>156953</v>
      </c>
      <c r="D3200" t="n">
        <v>8165657</v>
      </c>
      <c r="E3200">
        <f>IF(A3200="","",COUNTIFS($A$2:$A$20000,A3200,$B$2:$B$20000,"&gt;"&amp;B3200)+1)</f>
        <v/>
      </c>
    </row>
    <row r="3201">
      <c r="A3201" t="inlineStr">
        <is>
          <t>샘플종목30</t>
        </is>
      </c>
      <c r="B3201" s="3" t="n">
        <v>45618</v>
      </c>
      <c r="C3201" t="n">
        <v>157912</v>
      </c>
      <c r="D3201" t="n">
        <v>7013207</v>
      </c>
      <c r="E3201">
        <f>IF(A3201="","",COUNTIFS($A$2:$A$20000,A3201,$B$2:$B$20000,"&gt;"&amp;B3201)+1)</f>
        <v/>
      </c>
    </row>
    <row r="3202">
      <c r="A3202" t="inlineStr">
        <is>
          <t>샘플종목30</t>
        </is>
      </c>
      <c r="B3202" s="3" t="n">
        <v>45625</v>
      </c>
      <c r="C3202" t="n">
        <v>155547</v>
      </c>
      <c r="D3202" t="n">
        <v>3991992</v>
      </c>
      <c r="E3202">
        <f>IF(A3202="","",COUNTIFS($A$2:$A$20000,A3202,$B$2:$B$20000,"&gt;"&amp;B3202)+1)</f>
        <v/>
      </c>
    </row>
    <row r="3203">
      <c r="A3203" t="inlineStr">
        <is>
          <t>샘플종목30</t>
        </is>
      </c>
      <c r="B3203" s="3" t="n">
        <v>45632</v>
      </c>
      <c r="C3203" t="n">
        <v>155789</v>
      </c>
      <c r="D3203" t="n">
        <v>2419716</v>
      </c>
      <c r="E3203">
        <f>IF(A3203="","",COUNTIFS($A$2:$A$20000,A3203,$B$2:$B$20000,"&gt;"&amp;B3203)+1)</f>
        <v/>
      </c>
    </row>
    <row r="3204">
      <c r="A3204" t="inlineStr">
        <is>
          <t>샘플종목30</t>
        </is>
      </c>
      <c r="B3204" s="3" t="n">
        <v>45639</v>
      </c>
      <c r="C3204" t="n">
        <v>157640</v>
      </c>
      <c r="D3204" t="n">
        <v>4089652</v>
      </c>
      <c r="E3204">
        <f>IF(A3204="","",COUNTIFS($A$2:$A$20000,A3204,$B$2:$B$20000,"&gt;"&amp;B3204)+1)</f>
        <v/>
      </c>
    </row>
    <row r="3205">
      <c r="A3205" t="inlineStr">
        <is>
          <t>샘플종목30</t>
        </is>
      </c>
      <c r="B3205" s="3" t="n">
        <v>45646</v>
      </c>
      <c r="C3205" t="n">
        <v>149724</v>
      </c>
      <c r="D3205" t="n">
        <v>5793904</v>
      </c>
      <c r="E3205">
        <f>IF(A3205="","",COUNTIFS($A$2:$A$20000,A3205,$B$2:$B$20000,"&gt;"&amp;B3205)+1)</f>
        <v/>
      </c>
    </row>
    <row r="3206">
      <c r="A3206" t="inlineStr">
        <is>
          <t>샘플종목30</t>
        </is>
      </c>
      <c r="B3206" s="3" t="n">
        <v>45653</v>
      </c>
      <c r="C3206" t="n">
        <v>147671</v>
      </c>
      <c r="D3206" t="n">
        <v>6728331</v>
      </c>
      <c r="E3206">
        <f>IF(A3206="","",COUNTIFS($A$2:$A$20000,A3206,$B$2:$B$20000,"&gt;"&amp;B3206)+1)</f>
        <v/>
      </c>
    </row>
    <row r="3207">
      <c r="A3207" t="inlineStr">
        <is>
          <t>샘플종목30</t>
        </is>
      </c>
      <c r="B3207" s="3" t="n">
        <v>45660</v>
      </c>
      <c r="C3207" t="n">
        <v>154432</v>
      </c>
      <c r="D3207" t="n">
        <v>1060830</v>
      </c>
      <c r="E3207">
        <f>IF(A3207="","",COUNTIFS($A$2:$A$20000,A3207,$B$2:$B$20000,"&gt;"&amp;B3207)+1)</f>
        <v/>
      </c>
    </row>
    <row r="3208">
      <c r="A3208" t="inlineStr">
        <is>
          <t>샘플종목30</t>
        </is>
      </c>
      <c r="B3208" s="3" t="n">
        <v>45667</v>
      </c>
      <c r="C3208" t="n">
        <v>150270</v>
      </c>
      <c r="D3208" t="n">
        <v>5519249</v>
      </c>
      <c r="E3208">
        <f>IF(A3208="","",COUNTIFS($A$2:$A$20000,A3208,$B$2:$B$20000,"&gt;"&amp;B3208)+1)</f>
        <v/>
      </c>
    </row>
    <row r="3209">
      <c r="A3209" t="inlineStr">
        <is>
          <t>샘플종목30</t>
        </is>
      </c>
      <c r="B3209" s="3" t="n">
        <v>45674</v>
      </c>
      <c r="C3209" t="n">
        <v>144919</v>
      </c>
      <c r="D3209" t="n">
        <v>725731</v>
      </c>
      <c r="E3209">
        <f>IF(A3209="","",COUNTIFS($A$2:$A$20000,A3209,$B$2:$B$20000,"&gt;"&amp;B3209)+1)</f>
        <v/>
      </c>
    </row>
    <row r="3210">
      <c r="A3210" t="inlineStr">
        <is>
          <t>샘플종목30</t>
        </is>
      </c>
      <c r="B3210" s="3" t="n">
        <v>45681</v>
      </c>
      <c r="C3210" t="n">
        <v>129927</v>
      </c>
      <c r="D3210" t="n">
        <v>3498514</v>
      </c>
      <c r="E3210">
        <f>IF(A3210="","",COUNTIFS($A$2:$A$20000,A3210,$B$2:$B$20000,"&gt;"&amp;B3210)+1)</f>
        <v/>
      </c>
    </row>
    <row r="3211">
      <c r="A3211" t="inlineStr">
        <is>
          <t>샘플종목30</t>
        </is>
      </c>
      <c r="B3211" s="3" t="n">
        <v>45688</v>
      </c>
      <c r="C3211" t="n">
        <v>119307</v>
      </c>
      <c r="D3211" t="n">
        <v>3816395</v>
      </c>
      <c r="E3211">
        <f>IF(A3211="","",COUNTIFS($A$2:$A$20000,A3211,$B$2:$B$20000,"&gt;"&amp;B3211)+1)</f>
        <v/>
      </c>
    </row>
    <row r="3212">
      <c r="A3212" t="inlineStr">
        <is>
          <t>샘플종목30</t>
        </is>
      </c>
      <c r="B3212" s="3" t="n">
        <v>45695</v>
      </c>
      <c r="C3212" t="n">
        <v>119165</v>
      </c>
      <c r="D3212" t="n">
        <v>1673252</v>
      </c>
      <c r="E3212">
        <f>IF(A3212="","",COUNTIFS($A$2:$A$20000,A3212,$B$2:$B$20000,"&gt;"&amp;B3212)+1)</f>
        <v/>
      </c>
    </row>
    <row r="3213">
      <c r="A3213" t="inlineStr">
        <is>
          <t>샘플종목30</t>
        </is>
      </c>
      <c r="B3213" s="3" t="n">
        <v>45702</v>
      </c>
      <c r="C3213" t="n">
        <v>120040</v>
      </c>
      <c r="D3213" t="n">
        <v>1030448</v>
      </c>
      <c r="E3213">
        <f>IF(A3213="","",COUNTIFS($A$2:$A$20000,A3213,$B$2:$B$20000,"&gt;"&amp;B3213)+1)</f>
        <v/>
      </c>
    </row>
    <row r="3214">
      <c r="A3214" t="inlineStr">
        <is>
          <t>샘플종목30</t>
        </is>
      </c>
      <c r="B3214" s="3" t="n">
        <v>45709</v>
      </c>
      <c r="C3214" t="n">
        <v>126019</v>
      </c>
      <c r="D3214" t="n">
        <v>8318858</v>
      </c>
      <c r="E3214">
        <f>IF(A3214="","",COUNTIFS($A$2:$A$20000,A3214,$B$2:$B$20000,"&gt;"&amp;B3214)+1)</f>
        <v/>
      </c>
    </row>
    <row r="3215">
      <c r="A3215" t="inlineStr">
        <is>
          <t>샘플종목30</t>
        </is>
      </c>
      <c r="B3215" s="3" t="n">
        <v>45716</v>
      </c>
      <c r="C3215" t="n">
        <v>118324</v>
      </c>
      <c r="D3215" t="n">
        <v>8371893</v>
      </c>
      <c r="E3215">
        <f>IF(A3215="","",COUNTIFS($A$2:$A$20000,A3215,$B$2:$B$20000,"&gt;"&amp;B3215)+1)</f>
        <v/>
      </c>
    </row>
    <row r="3216">
      <c r="A3216" t="inlineStr">
        <is>
          <t>샘플종목30</t>
        </is>
      </c>
      <c r="B3216" s="3" t="n">
        <v>45723</v>
      </c>
      <c r="C3216" t="n">
        <v>127371</v>
      </c>
      <c r="D3216" t="n">
        <v>9929264</v>
      </c>
      <c r="E3216">
        <f>IF(A3216="","",COUNTIFS($A$2:$A$20000,A3216,$B$2:$B$20000,"&gt;"&amp;B3216)+1)</f>
        <v/>
      </c>
    </row>
    <row r="3217">
      <c r="A3217" t="inlineStr">
        <is>
          <t>샘플종목30</t>
        </is>
      </c>
      <c r="B3217" s="3" t="n">
        <v>45730</v>
      </c>
      <c r="C3217" t="n">
        <v>125575</v>
      </c>
      <c r="D3217" t="n">
        <v>6450445</v>
      </c>
      <c r="E3217">
        <f>IF(A3217="","",COUNTIFS($A$2:$A$20000,A3217,$B$2:$B$20000,"&gt;"&amp;B3217)+1)</f>
        <v/>
      </c>
    </row>
    <row r="3218">
      <c r="A3218" t="inlineStr">
        <is>
          <t>샘플종목30</t>
        </is>
      </c>
      <c r="B3218" s="3" t="n">
        <v>45737</v>
      </c>
      <c r="C3218" t="n">
        <v>125128</v>
      </c>
      <c r="D3218" t="n">
        <v>6534526</v>
      </c>
      <c r="E3218">
        <f>IF(A3218="","",COUNTIFS($A$2:$A$20000,A3218,$B$2:$B$20000,"&gt;"&amp;B3218)+1)</f>
        <v/>
      </c>
    </row>
    <row r="3219">
      <c r="A3219" t="inlineStr">
        <is>
          <t>샘플종목30</t>
        </is>
      </c>
      <c r="B3219" s="3" t="n">
        <v>45744</v>
      </c>
      <c r="C3219" t="n">
        <v>124993</v>
      </c>
      <c r="D3219" t="n">
        <v>4489833</v>
      </c>
      <c r="E3219">
        <f>IF(A3219="","",COUNTIFS($A$2:$A$20000,A3219,$B$2:$B$20000,"&gt;"&amp;B3219)+1)</f>
        <v/>
      </c>
    </row>
    <row r="3220">
      <c r="A3220" t="inlineStr">
        <is>
          <t>샘플종목30</t>
        </is>
      </c>
      <c r="B3220" s="3" t="n">
        <v>45751</v>
      </c>
      <c r="C3220" t="n">
        <v>114611</v>
      </c>
      <c r="D3220" t="n">
        <v>8483407</v>
      </c>
      <c r="E3220">
        <f>IF(A3220="","",COUNTIFS($A$2:$A$20000,A3220,$B$2:$B$20000,"&gt;"&amp;B3220)+1)</f>
        <v/>
      </c>
    </row>
    <row r="3221">
      <c r="A3221" t="inlineStr">
        <is>
          <t>샘플종목30</t>
        </is>
      </c>
      <c r="B3221" s="3" t="n">
        <v>45758</v>
      </c>
      <c r="C3221" t="n">
        <v>121082</v>
      </c>
      <c r="D3221" t="n">
        <v>9198266</v>
      </c>
      <c r="E3221">
        <f>IF(A3221="","",COUNTIFS($A$2:$A$20000,A3221,$B$2:$B$20000,"&gt;"&amp;B3221)+1)</f>
        <v/>
      </c>
    </row>
    <row r="3222">
      <c r="A3222" t="inlineStr">
        <is>
          <t>샘플종목30</t>
        </is>
      </c>
      <c r="B3222" s="3" t="n">
        <v>45765</v>
      </c>
      <c r="C3222" t="n">
        <v>119091</v>
      </c>
      <c r="D3222" t="n">
        <v>1743461</v>
      </c>
      <c r="E3222">
        <f>IF(A3222="","",COUNTIFS($A$2:$A$20000,A3222,$B$2:$B$20000,"&gt;"&amp;B3222)+1)</f>
        <v/>
      </c>
    </row>
    <row r="3223">
      <c r="A3223" t="inlineStr">
        <is>
          <t>샘플종목30</t>
        </is>
      </c>
      <c r="B3223" s="3" t="n">
        <v>45772</v>
      </c>
      <c r="C3223" t="n">
        <v>118953</v>
      </c>
      <c r="D3223" t="n">
        <v>6884528</v>
      </c>
      <c r="E3223">
        <f>IF(A3223="","",COUNTIFS($A$2:$A$20000,A3223,$B$2:$B$20000,"&gt;"&amp;B3223)+1)</f>
        <v/>
      </c>
    </row>
    <row r="3224">
      <c r="A3224" t="inlineStr">
        <is>
          <t>샘플종목30</t>
        </is>
      </c>
      <c r="B3224" s="3" t="n">
        <v>45779</v>
      </c>
      <c r="C3224" t="n">
        <v>116156</v>
      </c>
      <c r="D3224" t="n">
        <v>7351898</v>
      </c>
      <c r="E3224">
        <f>IF(A3224="","",COUNTIFS($A$2:$A$20000,A3224,$B$2:$B$20000,"&gt;"&amp;B3224)+1)</f>
        <v/>
      </c>
    </row>
    <row r="3225">
      <c r="A3225" t="inlineStr">
        <is>
          <t>샘플종목30</t>
        </is>
      </c>
      <c r="B3225" s="3" t="n">
        <v>45786</v>
      </c>
      <c r="C3225" t="n">
        <v>111808</v>
      </c>
      <c r="D3225" t="n">
        <v>8566354</v>
      </c>
      <c r="E3225">
        <f>IF(A3225="","",COUNTIFS($A$2:$A$20000,A3225,$B$2:$B$20000,"&gt;"&amp;B3225)+1)</f>
        <v/>
      </c>
    </row>
    <row r="3226">
      <c r="A3226" t="inlineStr">
        <is>
          <t>샘플종목30</t>
        </is>
      </c>
      <c r="B3226" s="3" t="n">
        <v>45793</v>
      </c>
      <c r="C3226" t="n">
        <v>110222</v>
      </c>
      <c r="D3226" t="n">
        <v>7979291</v>
      </c>
      <c r="E3226">
        <f>IF(A3226="","",COUNTIFS($A$2:$A$20000,A3226,$B$2:$B$20000,"&gt;"&amp;B3226)+1)</f>
        <v/>
      </c>
    </row>
    <row r="3227">
      <c r="A3227" t="inlineStr">
        <is>
          <t>샘플종목30</t>
        </is>
      </c>
      <c r="B3227" s="3" t="n">
        <v>45800</v>
      </c>
      <c r="C3227" t="n">
        <v>109177</v>
      </c>
      <c r="D3227" t="n">
        <v>5202855</v>
      </c>
      <c r="E3227">
        <f>IF(A3227="","",COUNTIFS($A$2:$A$20000,A3227,$B$2:$B$20000,"&gt;"&amp;B3227)+1)</f>
        <v/>
      </c>
    </row>
    <row r="3228">
      <c r="A3228" t="inlineStr">
        <is>
          <t>샘플종목30</t>
        </is>
      </c>
      <c r="B3228" s="3" t="n">
        <v>45807</v>
      </c>
      <c r="C3228" t="n">
        <v>117994</v>
      </c>
      <c r="D3228" t="n">
        <v>4739816</v>
      </c>
      <c r="E3228">
        <f>IF(A3228="","",COUNTIFS($A$2:$A$20000,A3228,$B$2:$B$20000,"&gt;"&amp;B3228)+1)</f>
        <v/>
      </c>
    </row>
    <row r="3229">
      <c r="A3229" t="inlineStr">
        <is>
          <t>샘플종목30</t>
        </is>
      </c>
      <c r="B3229" s="3" t="n">
        <v>45814</v>
      </c>
      <c r="C3229" t="n">
        <v>120978</v>
      </c>
      <c r="D3229" t="n">
        <v>146912</v>
      </c>
      <c r="E3229">
        <f>IF(A3229="","",COUNTIFS($A$2:$A$20000,A3229,$B$2:$B$20000,"&gt;"&amp;B3229)+1)</f>
        <v/>
      </c>
    </row>
    <row r="3230">
      <c r="A3230" t="inlineStr">
        <is>
          <t>샘플종목30</t>
        </is>
      </c>
      <c r="B3230" s="3" t="n">
        <v>45821</v>
      </c>
      <c r="C3230" t="n">
        <v>125948</v>
      </c>
      <c r="D3230" t="n">
        <v>4252492</v>
      </c>
      <c r="E3230">
        <f>IF(A3230="","",COUNTIFS($A$2:$A$20000,A3230,$B$2:$B$20000,"&gt;"&amp;B3230)+1)</f>
        <v/>
      </c>
    </row>
    <row r="3231">
      <c r="A3231" t="inlineStr">
        <is>
          <t>샘플종목30</t>
        </is>
      </c>
      <c r="B3231" s="3" t="n">
        <v>45828</v>
      </c>
      <c r="C3231" t="n">
        <v>116700</v>
      </c>
      <c r="D3231" t="n">
        <v>5994980</v>
      </c>
      <c r="E3231">
        <f>IF(A3231="","",COUNTIFS($A$2:$A$20000,A3231,$B$2:$B$20000,"&gt;"&amp;B3231)+1)</f>
        <v/>
      </c>
    </row>
    <row r="3232">
      <c r="A3232" t="inlineStr">
        <is>
          <t>샘플종목30</t>
        </is>
      </c>
      <c r="B3232" s="3" t="n">
        <v>45835</v>
      </c>
      <c r="C3232" t="n">
        <v>112900</v>
      </c>
      <c r="D3232" t="n">
        <v>5065517</v>
      </c>
      <c r="E3232">
        <f>IF(A3232="","",COUNTIFS($A$2:$A$20000,A3232,$B$2:$B$20000,"&gt;"&amp;B3232)+1)</f>
        <v/>
      </c>
    </row>
    <row r="3233">
      <c r="A3233" t="inlineStr">
        <is>
          <t>샘플종목30</t>
        </is>
      </c>
      <c r="B3233" s="3" t="n">
        <v>45842</v>
      </c>
      <c r="C3233" t="n">
        <v>111077</v>
      </c>
      <c r="D3233" t="n">
        <v>981020</v>
      </c>
      <c r="E3233">
        <f>IF(A3233="","",COUNTIFS($A$2:$A$20000,A3233,$B$2:$B$20000,"&gt;"&amp;B3233)+1)</f>
        <v/>
      </c>
    </row>
    <row r="3234">
      <c r="A3234" t="inlineStr">
        <is>
          <t>샘플종목30</t>
        </is>
      </c>
      <c r="B3234" s="3" t="n">
        <v>45849</v>
      </c>
      <c r="C3234" t="n">
        <v>108565</v>
      </c>
      <c r="D3234" t="n">
        <v>9608201</v>
      </c>
      <c r="E3234">
        <f>IF(A3234="","",COUNTIFS($A$2:$A$20000,A3234,$B$2:$B$20000,"&gt;"&amp;B3234)+1)</f>
        <v/>
      </c>
    </row>
    <row r="3235">
      <c r="A3235" t="inlineStr">
        <is>
          <t>샘플종목30</t>
        </is>
      </c>
      <c r="B3235" s="3" t="n">
        <v>45856</v>
      </c>
      <c r="C3235" t="n">
        <v>113514</v>
      </c>
      <c r="D3235" t="n">
        <v>6802709</v>
      </c>
      <c r="E3235">
        <f>IF(A3235="","",COUNTIFS($A$2:$A$20000,A3235,$B$2:$B$20000,"&gt;"&amp;B3235)+1)</f>
        <v/>
      </c>
    </row>
    <row r="3236">
      <c r="A3236" t="inlineStr">
        <is>
          <t>샘플종목30</t>
        </is>
      </c>
      <c r="B3236" s="3" t="n">
        <v>45863</v>
      </c>
      <c r="C3236" t="n">
        <v>118763</v>
      </c>
      <c r="D3236" t="n">
        <v>588770</v>
      </c>
      <c r="E3236">
        <f>IF(A3236="","",COUNTIFS($A$2:$A$20000,A3236,$B$2:$B$20000,"&gt;"&amp;B3236)+1)</f>
        <v/>
      </c>
    </row>
    <row r="3237">
      <c r="A3237" t="inlineStr">
        <is>
          <t>샘플종목30</t>
        </is>
      </c>
      <c r="B3237" s="3" t="n">
        <v>45870</v>
      </c>
      <c r="C3237" t="n">
        <v>115827</v>
      </c>
      <c r="D3237" t="n">
        <v>7321803</v>
      </c>
      <c r="E3237">
        <f>IF(A3237="","",COUNTIFS($A$2:$A$20000,A3237,$B$2:$B$20000,"&gt;"&amp;B3237)+1)</f>
        <v/>
      </c>
    </row>
    <row r="3238">
      <c r="A3238" t="inlineStr">
        <is>
          <t>샘플종목30</t>
        </is>
      </c>
      <c r="B3238" s="3" t="n">
        <v>45877</v>
      </c>
      <c r="C3238" t="n">
        <v>110370</v>
      </c>
      <c r="D3238" t="n">
        <v>9835640</v>
      </c>
      <c r="E3238">
        <f>IF(A3238="","",COUNTIFS($A$2:$A$20000,A3238,$B$2:$B$20000,"&gt;"&amp;B3238)+1)</f>
        <v/>
      </c>
    </row>
    <row r="3239">
      <c r="A3239" t="inlineStr">
        <is>
          <t>샘플종목30</t>
        </is>
      </c>
      <c r="B3239" s="3" t="n">
        <v>45884</v>
      </c>
      <c r="C3239" t="n">
        <v>111983</v>
      </c>
      <c r="D3239" t="n">
        <v>2553767</v>
      </c>
      <c r="E3239">
        <f>IF(A3239="","",COUNTIFS($A$2:$A$20000,A3239,$B$2:$B$20000,"&gt;"&amp;B3239)+1)</f>
        <v/>
      </c>
    </row>
    <row r="3240">
      <c r="A3240" t="inlineStr">
        <is>
          <t>샘플종목30</t>
        </is>
      </c>
      <c r="B3240" s="3" t="n">
        <v>45891</v>
      </c>
      <c r="C3240" t="n">
        <v>108557</v>
      </c>
      <c r="D3240" t="n">
        <v>9048967</v>
      </c>
      <c r="E3240">
        <f>IF(A3240="","",COUNTIFS($A$2:$A$20000,A3240,$B$2:$B$20000,"&gt;"&amp;B3240)+1)</f>
        <v/>
      </c>
    </row>
    <row r="3241">
      <c r="A3241" t="inlineStr">
        <is>
          <t>샘플종목30</t>
        </is>
      </c>
      <c r="B3241" s="3" t="n">
        <v>45898</v>
      </c>
      <c r="C3241" t="n">
        <v>105311</v>
      </c>
      <c r="D3241" t="n">
        <v>857129</v>
      </c>
      <c r="E3241">
        <f>IF(A3241="","",COUNTIFS($A$2:$A$20000,A3241,$B$2:$B$20000,"&gt;"&amp;B3241)+1)</f>
        <v/>
      </c>
    </row>
    <row r="3242">
      <c r="A3242" t="inlineStr">
        <is>
          <t>샘플종목30</t>
        </is>
      </c>
      <c r="B3242" s="3" t="n">
        <v>45905</v>
      </c>
      <c r="C3242" t="n">
        <v>102670</v>
      </c>
      <c r="D3242" t="n">
        <v>333563</v>
      </c>
      <c r="E3242">
        <f>IF(A3242="","",COUNTIFS($A$2:$A$20000,A3242,$B$2:$B$20000,"&gt;"&amp;B3242)+1)</f>
        <v/>
      </c>
    </row>
    <row r="3243">
      <c r="A3243" t="inlineStr">
        <is>
          <t>샘플종목30</t>
        </is>
      </c>
      <c r="B3243" s="3" t="n">
        <v>45912</v>
      </c>
      <c r="C3243" t="n">
        <v>93319</v>
      </c>
      <c r="D3243" t="n">
        <v>2579795</v>
      </c>
      <c r="E3243">
        <f>IF(A3243="","",COUNTIFS($A$2:$A$20000,A3243,$B$2:$B$20000,"&gt;"&amp;B3243)+1)</f>
        <v/>
      </c>
    </row>
    <row r="3244">
      <c r="A3244" t="inlineStr">
        <is>
          <t>샘플종목30</t>
        </is>
      </c>
      <c r="B3244" s="3" t="n">
        <v>45919</v>
      </c>
      <c r="C3244" t="n">
        <v>90239</v>
      </c>
      <c r="D3244" t="n">
        <v>1100800</v>
      </c>
      <c r="E3244">
        <f>IF(A3244="","",COUNTIFS($A$2:$A$20000,A3244,$B$2:$B$20000,"&gt;"&amp;B3244)+1)</f>
        <v/>
      </c>
    </row>
    <row r="3245">
      <c r="A3245" t="inlineStr">
        <is>
          <t>샘플종목30</t>
        </is>
      </c>
      <c r="B3245" s="3" t="n">
        <v>45926</v>
      </c>
      <c r="C3245" t="n">
        <v>97090</v>
      </c>
      <c r="D3245" t="n">
        <v>4199392</v>
      </c>
      <c r="E3245">
        <f>IF(A3245="","",COUNTIFS($A$2:$A$20000,A3245,$B$2:$B$20000,"&gt;"&amp;B3245)+1)</f>
        <v/>
      </c>
    </row>
    <row r="3246">
      <c r="A3246" t="inlineStr">
        <is>
          <t>샘플종목30</t>
        </is>
      </c>
      <c r="B3246" s="3" t="n">
        <v>45933</v>
      </c>
      <c r="C3246" t="n">
        <v>102792</v>
      </c>
      <c r="D3246" t="n">
        <v>4504472</v>
      </c>
      <c r="E3246">
        <f>IF(A3246="","",COUNTIFS($A$2:$A$20000,A3246,$B$2:$B$20000,"&gt;"&amp;B3246)+1)</f>
        <v/>
      </c>
    </row>
    <row r="3247">
      <c r="A3247" t="inlineStr">
        <is>
          <t>샘플종목30</t>
        </is>
      </c>
      <c r="B3247" s="3" t="n">
        <v>45940</v>
      </c>
      <c r="C3247" t="n">
        <v>104144</v>
      </c>
      <c r="D3247" t="n">
        <v>4094498</v>
      </c>
      <c r="E3247">
        <f>IF(A3247="","",COUNTIFS($A$2:$A$20000,A3247,$B$2:$B$20000,"&gt;"&amp;B3247)+1)</f>
        <v/>
      </c>
    </row>
    <row r="3248">
      <c r="A3248" t="inlineStr">
        <is>
          <t>샘플종목30</t>
        </is>
      </c>
      <c r="B3248" s="3" t="n">
        <v>45947</v>
      </c>
      <c r="C3248" t="n">
        <v>103494</v>
      </c>
      <c r="D3248" t="n">
        <v>8971609</v>
      </c>
      <c r="E3248">
        <f>IF(A3248="","",COUNTIFS($A$2:$A$20000,A3248,$B$2:$B$20000,"&gt;"&amp;B3248)+1)</f>
        <v/>
      </c>
    </row>
    <row r="3249">
      <c r="A3249" t="inlineStr">
        <is>
          <t>샘플종목30</t>
        </is>
      </c>
      <c r="B3249" s="3" t="n">
        <v>45954</v>
      </c>
      <c r="C3249" t="n">
        <v>95859</v>
      </c>
      <c r="D3249" t="n">
        <v>5560834</v>
      </c>
      <c r="E3249">
        <f>IF(A3249="","",COUNTIFS($A$2:$A$20000,A3249,$B$2:$B$20000,"&gt;"&amp;B3249)+1)</f>
        <v/>
      </c>
    </row>
    <row r="3250">
      <c r="A3250" t="inlineStr">
        <is>
          <t>샘플종목30</t>
        </is>
      </c>
      <c r="B3250" s="3" t="n">
        <v>45961</v>
      </c>
      <c r="C3250" t="n">
        <v>94456</v>
      </c>
      <c r="D3250" t="n">
        <v>1794322</v>
      </c>
      <c r="E3250">
        <f>IF(A3250="","",COUNTIFS($A$2:$A$20000,A3250,$B$2:$B$20000,"&gt;"&amp;B3250)+1)</f>
        <v/>
      </c>
    </row>
    <row r="3251">
      <c r="A3251" t="inlineStr">
        <is>
          <t>샘플종목30</t>
        </is>
      </c>
      <c r="B3251" s="3" t="n">
        <v>45968</v>
      </c>
      <c r="C3251" t="n">
        <v>93267</v>
      </c>
      <c r="D3251" t="n">
        <v>4247367</v>
      </c>
      <c r="E3251">
        <f>IF(A3251="","",COUNTIFS($A$2:$A$20000,A3251,$B$2:$B$20000,"&gt;"&amp;B3251)+1)</f>
        <v/>
      </c>
    </row>
    <row r="3252">
      <c r="A3252" t="inlineStr">
        <is>
          <t>샘플종목30</t>
        </is>
      </c>
      <c r="B3252" s="3" t="n">
        <v>45975</v>
      </c>
      <c r="C3252" t="n">
        <v>86232</v>
      </c>
      <c r="D3252" t="n">
        <v>5906092</v>
      </c>
      <c r="E3252">
        <f>IF(A3252="","",COUNTIFS($A$2:$A$20000,A3252,$B$2:$B$20000,"&gt;"&amp;B3252)+1)</f>
        <v/>
      </c>
    </row>
    <row r="3253">
      <c r="A3253" t="inlineStr">
        <is>
          <t>샘플종목30</t>
        </is>
      </c>
      <c r="B3253" s="3" t="n">
        <v>45982</v>
      </c>
      <c r="C3253" t="n">
        <v>89080</v>
      </c>
      <c r="D3253" t="n">
        <v>2676050</v>
      </c>
      <c r="E3253">
        <f>IF(A3253="","",COUNTIFS($A$2:$A$20000,A3253,$B$2:$B$20000,"&gt;"&amp;B3253)+1)</f>
        <v/>
      </c>
    </row>
    <row r="3254">
      <c r="A3254" t="inlineStr">
        <is>
          <t>샘플종목30</t>
        </is>
      </c>
      <c r="B3254" s="3" t="n">
        <v>45989</v>
      </c>
      <c r="C3254" t="n">
        <v>89986</v>
      </c>
      <c r="D3254" t="n">
        <v>9470559</v>
      </c>
      <c r="E3254">
        <f>IF(A3254="","",COUNTIFS($A$2:$A$20000,A3254,$B$2:$B$20000,"&gt;"&amp;B3254)+1)</f>
        <v/>
      </c>
    </row>
    <row r="3255">
      <c r="A3255" t="inlineStr">
        <is>
          <t>샘플종목30</t>
        </is>
      </c>
      <c r="B3255" s="3" t="n">
        <v>45996</v>
      </c>
      <c r="C3255" t="n">
        <v>88058</v>
      </c>
      <c r="D3255" t="n">
        <v>4946870</v>
      </c>
      <c r="E3255">
        <f>IF(A3255="","",COUNTIFS($A$2:$A$20000,A3255,$B$2:$B$20000,"&gt;"&amp;B3255)+1)</f>
        <v/>
      </c>
    </row>
    <row r="3256">
      <c r="A3256" t="inlineStr">
        <is>
          <t>샘플종목30</t>
        </is>
      </c>
      <c r="B3256" s="3" t="n">
        <v>46003</v>
      </c>
      <c r="C3256" t="n">
        <v>88862</v>
      </c>
      <c r="D3256" t="n">
        <v>4641978</v>
      </c>
      <c r="E3256">
        <f>IF(A3256="","",COUNTIFS($A$2:$A$20000,A3256,$B$2:$B$20000,"&gt;"&amp;B3256)+1)</f>
        <v/>
      </c>
    </row>
    <row r="3257">
      <c r="A3257" t="inlineStr">
        <is>
          <t>샘플종목30</t>
        </is>
      </c>
      <c r="B3257" s="3" t="n">
        <v>46010</v>
      </c>
      <c r="C3257" t="n">
        <v>88768</v>
      </c>
      <c r="D3257" t="n">
        <v>8372128</v>
      </c>
      <c r="E3257">
        <f>IF(A3257="","",COUNTIFS($A$2:$A$20000,A3257,$B$2:$B$20000,"&gt;"&amp;B3257)+1)</f>
        <v/>
      </c>
    </row>
    <row r="3258">
      <c r="A3258" t="inlineStr">
        <is>
          <t>샘플종목30</t>
        </is>
      </c>
      <c r="B3258" s="3" t="n">
        <v>46017</v>
      </c>
      <c r="C3258" t="n">
        <v>90661</v>
      </c>
      <c r="D3258" t="n">
        <v>115875</v>
      </c>
      <c r="E3258">
        <f>IF(A3258="","",COUNTIFS($A$2:$A$20000,A3258,$B$2:$B$20000,"&gt;"&amp;B3258)+1)</f>
        <v/>
      </c>
    </row>
    <row r="3259">
      <c r="A3259" t="inlineStr">
        <is>
          <t>샘플종목30</t>
        </is>
      </c>
      <c r="B3259" s="3" t="n">
        <v>46024</v>
      </c>
      <c r="C3259" t="n">
        <v>91441</v>
      </c>
      <c r="D3259" t="n">
        <v>6763670</v>
      </c>
      <c r="E3259">
        <f>IF(A3259="","",COUNTIFS($A$2:$A$20000,A3259,$B$2:$B$20000,"&gt;"&amp;B3259)+1)</f>
        <v/>
      </c>
    </row>
    <row r="3260">
      <c r="A3260" t="inlineStr">
        <is>
          <t>샘플종목30</t>
        </is>
      </c>
      <c r="B3260" s="3" t="n">
        <v>46031</v>
      </c>
      <c r="C3260" t="n">
        <v>94453</v>
      </c>
      <c r="D3260" t="n">
        <v>1177969</v>
      </c>
      <c r="E3260">
        <f>IF(A3260="","",COUNTIFS($A$2:$A$20000,A3260,$B$2:$B$20000,"&gt;"&amp;B3260)+1)</f>
        <v/>
      </c>
    </row>
    <row r="3261">
      <c r="A3261" t="inlineStr">
        <is>
          <t>샘플종목30</t>
        </is>
      </c>
      <c r="B3261" s="3" t="n">
        <v>46038</v>
      </c>
      <c r="C3261" t="n">
        <v>89730</v>
      </c>
      <c r="D3261" t="n">
        <v>5576278</v>
      </c>
      <c r="E3261">
        <f>IF(A3261="","",COUNTIFS($A$2:$A$20000,A3261,$B$2:$B$20000,"&gt;"&amp;B3261)+1)</f>
        <v/>
      </c>
    </row>
    <row r="3262">
      <c r="A3262" t="inlineStr">
        <is>
          <t>샘플종목30</t>
        </is>
      </c>
      <c r="B3262" s="3" t="n">
        <v>46045</v>
      </c>
      <c r="C3262" t="n">
        <v>88909</v>
      </c>
      <c r="D3262" t="n">
        <v>2344709</v>
      </c>
      <c r="E3262">
        <f>IF(A3262="","",COUNTIFS($A$2:$A$20000,A3262,$B$2:$B$20000,"&gt;"&amp;B3262)+1)</f>
        <v/>
      </c>
    </row>
    <row r="3263">
      <c r="A3263" t="inlineStr">
        <is>
          <t>샘플종목30</t>
        </is>
      </c>
      <c r="B3263" s="3" t="n">
        <v>46052</v>
      </c>
      <c r="C3263" t="n">
        <v>90903</v>
      </c>
      <c r="D3263" t="n">
        <v>5193630</v>
      </c>
      <c r="E3263">
        <f>IF(A3263="","",COUNTIFS($A$2:$A$20000,A3263,$B$2:$B$20000,"&gt;"&amp;B3263)+1)</f>
        <v/>
      </c>
    </row>
    <row r="3264">
      <c r="A3264" t="inlineStr">
        <is>
          <t>샘플종목30</t>
        </is>
      </c>
      <c r="B3264" s="3" t="n">
        <v>46059</v>
      </c>
      <c r="C3264" t="n">
        <v>90076</v>
      </c>
      <c r="D3264" t="n">
        <v>2143432</v>
      </c>
      <c r="E3264">
        <f>IF(A3264="","",COUNTIFS($A$2:$A$20000,A3264,$B$2:$B$20000,"&gt;"&amp;B3264)+1)</f>
        <v/>
      </c>
    </row>
    <row r="3265">
      <c r="A3265" t="inlineStr">
        <is>
          <t>샘플종목30</t>
        </is>
      </c>
      <c r="B3265" s="3" t="n">
        <v>46066</v>
      </c>
      <c r="C3265" t="n">
        <v>89988</v>
      </c>
      <c r="D3265" t="n">
        <v>7810131</v>
      </c>
      <c r="E3265">
        <f>IF(A3265="","",COUNTIFS($A$2:$A$20000,A3265,$B$2:$B$20000,"&gt;"&amp;B3265)+1)</f>
        <v/>
      </c>
    </row>
    <row r="3266">
      <c r="A3266" t="inlineStr">
        <is>
          <t>샘플종목30</t>
        </is>
      </c>
      <c r="B3266" s="3" t="n">
        <v>46073</v>
      </c>
      <c r="C3266" t="n">
        <v>88169</v>
      </c>
      <c r="D3266" t="n">
        <v>2125673</v>
      </c>
      <c r="E3266">
        <f>IF(A3266="","",COUNTIFS($A$2:$A$20000,A3266,$B$2:$B$20000,"&gt;"&amp;B3266)+1)</f>
        <v/>
      </c>
    </row>
    <row r="3267">
      <c r="A3267" t="inlineStr">
        <is>
          <t>샘플종목30</t>
        </is>
      </c>
      <c r="B3267" s="3" t="n">
        <v>46080</v>
      </c>
      <c r="C3267" t="n">
        <v>88255</v>
      </c>
      <c r="D3267" t="n">
        <v>3736741</v>
      </c>
      <c r="E3267">
        <f>IF(A3267="","",COUNTIFS($A$2:$A$20000,A3267,$B$2:$B$20000,"&gt;"&amp;B3267)+1)</f>
        <v/>
      </c>
    </row>
    <row r="3268">
      <c r="A3268" t="inlineStr">
        <is>
          <t>샘플종목30</t>
        </is>
      </c>
      <c r="B3268" s="3" t="n">
        <v>46087</v>
      </c>
      <c r="C3268" t="n">
        <v>89982</v>
      </c>
      <c r="D3268" t="n">
        <v>5254514</v>
      </c>
      <c r="E3268">
        <f>IF(A3268="","",COUNTIFS($A$2:$A$20000,A3268,$B$2:$B$20000,"&gt;"&amp;B3268)+1)</f>
        <v/>
      </c>
    </row>
    <row r="3269">
      <c r="A3269" t="inlineStr">
        <is>
          <t>샘플종목30</t>
        </is>
      </c>
      <c r="B3269" s="3" t="n">
        <v>46094</v>
      </c>
      <c r="C3269" t="n">
        <v>88809</v>
      </c>
      <c r="D3269" t="n">
        <v>3943880</v>
      </c>
      <c r="E3269">
        <f>IF(A3269="","",COUNTIFS($A$2:$A$20000,A3269,$B$2:$B$20000,"&gt;"&amp;B3269)+1)</f>
        <v/>
      </c>
    </row>
    <row r="3270">
      <c r="A3270" t="inlineStr">
        <is>
          <t>샘플종목30</t>
        </is>
      </c>
      <c r="B3270" s="3" t="n">
        <v>46101</v>
      </c>
      <c r="C3270" t="n">
        <v>89956</v>
      </c>
      <c r="D3270" t="n">
        <v>4433385</v>
      </c>
      <c r="E3270">
        <f>IF(A3270="","",COUNTIFS($A$2:$A$20000,A3270,$B$2:$B$20000,"&gt;"&amp;B3270)+1)</f>
        <v/>
      </c>
    </row>
    <row r="3271">
      <c r="A3271" t="inlineStr">
        <is>
          <t>샘플종목30</t>
        </is>
      </c>
      <c r="B3271" s="3" t="n">
        <v>46108</v>
      </c>
      <c r="C3271" t="n">
        <v>89445</v>
      </c>
      <c r="D3271" t="n">
        <v>1737267</v>
      </c>
      <c r="E3271">
        <f>IF(A3271="","",COUNTIFS($A$2:$A$20000,A3271,$B$2:$B$20000,"&gt;"&amp;B3271)+1)</f>
        <v/>
      </c>
    </row>
    <row r="3272">
      <c r="A3272" t="inlineStr">
        <is>
          <t>샘플종목30</t>
        </is>
      </c>
      <c r="B3272" s="3" t="n">
        <v>46115</v>
      </c>
      <c r="C3272" t="n">
        <v>91444</v>
      </c>
      <c r="D3272" t="n">
        <v>7448865</v>
      </c>
      <c r="E3272">
        <f>IF(A3272="","",COUNTIFS($A$2:$A$20000,A3272,$B$2:$B$20000,"&gt;"&amp;B3272)+1)</f>
        <v/>
      </c>
    </row>
    <row r="3273">
      <c r="A3273" t="inlineStr">
        <is>
          <t>샘플종목30</t>
        </is>
      </c>
      <c r="B3273" s="3" t="n">
        <v>46122</v>
      </c>
      <c r="C3273" t="n">
        <v>90245</v>
      </c>
      <c r="D3273" t="n">
        <v>8852052</v>
      </c>
      <c r="E3273">
        <f>IF(A3273="","",COUNTIFS($A$2:$A$20000,A3273,$B$2:$B$20000,"&gt;"&amp;B3273)+1)</f>
        <v/>
      </c>
    </row>
    <row r="3274">
      <c r="A3274" t="inlineStr">
        <is>
          <t>샘플종목30</t>
        </is>
      </c>
      <c r="B3274" s="3" t="n">
        <v>46129</v>
      </c>
      <c r="C3274" t="n">
        <v>95601</v>
      </c>
      <c r="D3274" t="n">
        <v>5599221</v>
      </c>
      <c r="E3274">
        <f>IF(A3274="","",COUNTIFS($A$2:$A$20000,A3274,$B$2:$B$20000,"&gt;"&amp;B3274)+1)</f>
        <v/>
      </c>
    </row>
    <row r="3275">
      <c r="A3275" t="inlineStr">
        <is>
          <t>샘플종목30</t>
        </is>
      </c>
      <c r="B3275" s="3" t="n">
        <v>46136</v>
      </c>
      <c r="C3275" t="n">
        <v>86181</v>
      </c>
      <c r="D3275" t="n">
        <v>2270826</v>
      </c>
      <c r="E3275">
        <f>IF(A3275="","",COUNTIFS($A$2:$A$20000,A3275,$B$2:$B$20000,"&gt;"&amp;B3275)+1)</f>
        <v/>
      </c>
    </row>
    <row r="3276">
      <c r="A3276" t="inlineStr">
        <is>
          <t>샘플종목30</t>
        </is>
      </c>
      <c r="B3276" s="3" t="n">
        <v>46143</v>
      </c>
      <c r="C3276" t="n">
        <v>88982</v>
      </c>
      <c r="D3276" t="n">
        <v>6686412</v>
      </c>
      <c r="E3276">
        <f>IF(A3276="","",COUNTIFS($A$2:$A$20000,A3276,$B$2:$B$20000,"&gt;"&amp;B3276)+1)</f>
        <v/>
      </c>
    </row>
    <row r="3277">
      <c r="A3277" t="inlineStr">
        <is>
          <t>샘플종목30</t>
        </is>
      </c>
      <c r="B3277" s="3" t="n">
        <v>46150</v>
      </c>
      <c r="C3277" t="n">
        <v>87689</v>
      </c>
      <c r="D3277" t="n">
        <v>2537217</v>
      </c>
      <c r="E3277">
        <f>IF(A3277="","",COUNTIFS($A$2:$A$20000,A3277,$B$2:$B$20000,"&gt;"&amp;B3277)+1)</f>
        <v/>
      </c>
    </row>
    <row r="3278">
      <c r="A3278" t="inlineStr">
        <is>
          <t>샘플종목30</t>
        </is>
      </c>
      <c r="B3278" s="3" t="n">
        <v>46157</v>
      </c>
      <c r="C3278" t="n">
        <v>90505</v>
      </c>
      <c r="D3278" t="n">
        <v>4724403</v>
      </c>
      <c r="E3278">
        <f>IF(A3278="","",COUNTIFS($A$2:$A$20000,A3278,$B$2:$B$20000,"&gt;"&amp;B3278)+1)</f>
        <v/>
      </c>
    </row>
    <row r="3279">
      <c r="A3279" t="inlineStr">
        <is>
          <t>샘플종목30</t>
        </is>
      </c>
      <c r="B3279" s="3" t="n">
        <v>46164</v>
      </c>
      <c r="C3279" t="n">
        <v>86877</v>
      </c>
      <c r="D3279" t="n">
        <v>4321945</v>
      </c>
      <c r="E3279">
        <f>IF(A3279="","",COUNTIFS($A$2:$A$20000,A3279,$B$2:$B$20000,"&gt;"&amp;B3279)+1)</f>
        <v/>
      </c>
    </row>
    <row r="3280">
      <c r="A3280" t="inlineStr">
        <is>
          <t>샘플종목30</t>
        </is>
      </c>
      <c r="B3280" s="3" t="n">
        <v>46171</v>
      </c>
      <c r="C3280" t="n">
        <v>85301</v>
      </c>
      <c r="D3280" t="n">
        <v>6341086</v>
      </c>
      <c r="E3280">
        <f>IF(A3280="","",COUNTIFS($A$2:$A$20000,A3280,$B$2:$B$20000,"&gt;"&amp;B3280)+1)</f>
        <v/>
      </c>
    </row>
    <row r="3281">
      <c r="A3281" t="inlineStr">
        <is>
          <t>샘플종목30</t>
        </is>
      </c>
      <c r="B3281" s="3" t="n">
        <v>46178</v>
      </c>
      <c r="C3281" t="n">
        <v>84142</v>
      </c>
      <c r="D3281" t="n">
        <v>2650334</v>
      </c>
      <c r="E3281">
        <f>IF(A3281="","",COUNTIFS($A$2:$A$20000,A3281,$B$2:$B$20000,"&gt;"&amp;B3281)+1)</f>
        <v/>
      </c>
    </row>
    <row r="3282">
      <c r="A3282" t="inlineStr">
        <is>
          <t>샘플종목30</t>
        </is>
      </c>
      <c r="B3282" s="3" t="n">
        <v>46185</v>
      </c>
      <c r="C3282" t="n">
        <v>84562</v>
      </c>
      <c r="D3282" t="n">
        <v>2144421</v>
      </c>
      <c r="E3282">
        <f>IF(A3282="","",COUNTIFS($A$2:$A$20000,A3282,$B$2:$B$20000,"&gt;"&amp;B3282)+1)</f>
        <v/>
      </c>
    </row>
    <row r="3283">
      <c r="A3283" t="inlineStr">
        <is>
          <t>샘플종목30</t>
        </is>
      </c>
      <c r="B3283" s="3" t="n">
        <v>46192</v>
      </c>
      <c r="C3283" t="n">
        <v>89954</v>
      </c>
      <c r="D3283" t="n">
        <v>3483862</v>
      </c>
      <c r="E3283">
        <f>IF(A3283="","",COUNTIFS($A$2:$A$20000,A3283,$B$2:$B$20000,"&gt;"&amp;B3283)+1)</f>
        <v/>
      </c>
    </row>
    <row r="3284">
      <c r="A3284" t="inlineStr">
        <is>
          <t>샘플종목30</t>
        </is>
      </c>
      <c r="B3284" s="3" t="n">
        <v>46199</v>
      </c>
      <c r="C3284" t="n">
        <v>91223</v>
      </c>
      <c r="D3284" t="n">
        <v>5239463</v>
      </c>
      <c r="E3284">
        <f>IF(A3284="","",COUNTIFS($A$2:$A$20000,A3284,$B$2:$B$20000,"&gt;"&amp;B3284)+1)</f>
        <v/>
      </c>
    </row>
    <row r="3285">
      <c r="A3285" t="inlineStr">
        <is>
          <t>샘플종목30</t>
        </is>
      </c>
      <c r="B3285" s="3" t="n">
        <v>46206</v>
      </c>
      <c r="C3285" t="n">
        <v>85283</v>
      </c>
      <c r="D3285" t="n">
        <v>5519670</v>
      </c>
      <c r="E3285">
        <f>IF(A3285="","",COUNTIFS($A$2:$A$20000,A3285,$B$2:$B$20000,"&gt;"&amp;B3285)+1)</f>
        <v/>
      </c>
    </row>
    <row r="3286">
      <c r="A3286" t="inlineStr">
        <is>
          <t>샘플종목30</t>
        </is>
      </c>
      <c r="B3286" s="3" t="n">
        <v>46213</v>
      </c>
      <c r="C3286" t="n">
        <v>87717</v>
      </c>
      <c r="D3286" t="n">
        <v>7929962</v>
      </c>
      <c r="E3286">
        <f>IF(A3286="","",COUNTIFS($A$2:$A$20000,A3286,$B$2:$B$20000,"&gt;"&amp;B3286)+1)</f>
        <v/>
      </c>
    </row>
    <row r="3287">
      <c r="A3287" t="inlineStr">
        <is>
          <t>샘플종목30</t>
        </is>
      </c>
      <c r="B3287" s="3" t="n">
        <v>46220</v>
      </c>
      <c r="C3287" t="n">
        <v>89544</v>
      </c>
      <c r="D3287" t="n">
        <v>9166139</v>
      </c>
      <c r="E3287">
        <f>IF(A3287="","",COUNTIFS($A$2:$A$20000,A3287,$B$2:$B$20000,"&gt;"&amp;B3287)+1)</f>
        <v/>
      </c>
    </row>
    <row r="3288">
      <c r="A3288" t="inlineStr">
        <is>
          <t>샘플종목30</t>
        </is>
      </c>
      <c r="B3288" s="3" t="n">
        <v>46227</v>
      </c>
      <c r="C3288" t="n">
        <v>90638</v>
      </c>
      <c r="D3288" t="n">
        <v>5955309</v>
      </c>
      <c r="E3288">
        <f>IF(A3288="","",COUNTIFS($A$2:$A$20000,A3288,$B$2:$B$20000,"&gt;"&amp;B3288)+1)</f>
        <v/>
      </c>
    </row>
    <row r="3289">
      <c r="A3289" t="inlineStr">
        <is>
          <t>샘플종목30</t>
        </is>
      </c>
      <c r="B3289" s="3" t="n">
        <v>46234</v>
      </c>
      <c r="C3289" t="n">
        <v>92269</v>
      </c>
      <c r="D3289" t="n">
        <v>6843905</v>
      </c>
      <c r="E3289">
        <f>IF(A3289="","",COUNTIFS($A$2:$A$20000,A3289,$B$2:$B$20000,"&gt;"&amp;B3289)+1)</f>
        <v/>
      </c>
    </row>
    <row r="3290">
      <c r="A3290" t="inlineStr">
        <is>
          <t>샘플종목30</t>
        </is>
      </c>
      <c r="B3290" s="3" t="n">
        <v>46241</v>
      </c>
      <c r="C3290" t="n">
        <v>94052</v>
      </c>
      <c r="D3290" t="n">
        <v>1331672</v>
      </c>
      <c r="E3290">
        <f>IF(A3290="","",COUNTIFS($A$2:$A$20000,A3290,$B$2:$B$20000,"&gt;"&amp;B3290)+1)</f>
        <v/>
      </c>
    </row>
    <row r="3291">
      <c r="A3291" t="inlineStr">
        <is>
          <t>샘플종목30</t>
        </is>
      </c>
      <c r="B3291" s="3" t="n">
        <v>46248</v>
      </c>
      <c r="C3291" t="n">
        <v>92708</v>
      </c>
      <c r="D3291" t="n">
        <v>212398</v>
      </c>
      <c r="E3291">
        <f>IF(A3291="","",COUNTIFS($A$2:$A$20000,A3291,$B$2:$B$20000,"&gt;"&amp;B3291)+1)</f>
        <v/>
      </c>
    </row>
    <row r="3292">
      <c r="A3292" t="inlineStr">
        <is>
          <t>샘플종목30</t>
        </is>
      </c>
      <c r="B3292" s="3" t="n">
        <v>46255</v>
      </c>
      <c r="C3292" t="n">
        <v>97517</v>
      </c>
      <c r="D3292" t="n">
        <v>1500240</v>
      </c>
      <c r="E3292">
        <f>IF(A3292="","",COUNTIFS($A$2:$A$20000,A3292,$B$2:$B$20000,"&gt;"&amp;B3292)+1)</f>
        <v/>
      </c>
    </row>
    <row r="3293">
      <c r="A3293" t="inlineStr">
        <is>
          <t>샘플종목30</t>
        </is>
      </c>
      <c r="B3293" s="3" t="n">
        <v>46262</v>
      </c>
      <c r="C3293" t="n">
        <v>100855</v>
      </c>
      <c r="D3293" t="n">
        <v>2208919</v>
      </c>
      <c r="E3293">
        <f>IF(A3293="","",COUNTIFS($A$2:$A$20000,A3293,$B$2:$B$20000,"&gt;"&amp;B3293)+1)</f>
        <v/>
      </c>
    </row>
    <row r="3294">
      <c r="A3294" t="inlineStr">
        <is>
          <t>샘플종목30</t>
        </is>
      </c>
      <c r="B3294" s="3" t="n">
        <v>46269</v>
      </c>
      <c r="C3294" t="n">
        <v>101175</v>
      </c>
      <c r="D3294" t="n">
        <v>6965129</v>
      </c>
      <c r="E3294">
        <f>IF(A3294="","",COUNTIFS($A$2:$A$20000,A3294,$B$2:$B$20000,"&gt;"&amp;B3294)+1)</f>
        <v/>
      </c>
    </row>
    <row r="3295">
      <c r="A3295" t="inlineStr">
        <is>
          <t>샘플종목30</t>
        </is>
      </c>
      <c r="B3295" s="3" t="n">
        <v>46276</v>
      </c>
      <c r="C3295" t="n">
        <v>107350</v>
      </c>
      <c r="D3295" t="n">
        <v>7642832</v>
      </c>
      <c r="E3295">
        <f>IF(A3295="","",COUNTIFS($A$2:$A$20000,A3295,$B$2:$B$20000,"&gt;"&amp;B3295)+1)</f>
        <v/>
      </c>
    </row>
    <row r="3296">
      <c r="A3296" t="inlineStr">
        <is>
          <t>샘플종목30</t>
        </is>
      </c>
      <c r="B3296" s="3" t="n">
        <v>46283</v>
      </c>
      <c r="C3296" t="n">
        <v>110772</v>
      </c>
      <c r="D3296" t="n">
        <v>3474223</v>
      </c>
      <c r="E3296">
        <f>IF(A3296="","",COUNTIFS($A$2:$A$20000,A3296,$B$2:$B$20000,"&gt;"&amp;B3296)+1)</f>
        <v/>
      </c>
    </row>
    <row r="3297">
      <c r="A3297" t="inlineStr">
        <is>
          <t>샘플종목30</t>
        </is>
      </c>
      <c r="B3297" s="3" t="n">
        <v>46290</v>
      </c>
      <c r="C3297" t="n">
        <v>113976</v>
      </c>
      <c r="D3297" t="n">
        <v>4161003</v>
      </c>
      <c r="E3297">
        <f>IF(A3297="","",COUNTIFS($A$2:$A$20000,A3297,$B$2:$B$20000,"&gt;"&amp;B3297)+1)</f>
        <v/>
      </c>
    </row>
    <row r="3298">
      <c r="A3298" t="inlineStr">
        <is>
          <t>샘플종목30</t>
        </is>
      </c>
      <c r="B3298" s="3" t="n">
        <v>46297</v>
      </c>
      <c r="C3298" t="n">
        <v>110050</v>
      </c>
      <c r="D3298" t="n">
        <v>5918382</v>
      </c>
      <c r="E3298">
        <f>IF(A3298="","",COUNTIFS($A$2:$A$20000,A3298,$B$2:$B$20000,"&gt;"&amp;B3298)+1)</f>
        <v/>
      </c>
    </row>
    <row r="3299">
      <c r="A3299" t="inlineStr">
        <is>
          <t>샘플종목30</t>
        </is>
      </c>
      <c r="B3299" s="3" t="n">
        <v>46304</v>
      </c>
      <c r="C3299" t="n">
        <v>107804</v>
      </c>
      <c r="D3299" t="n">
        <v>7713978</v>
      </c>
      <c r="E3299">
        <f>IF(A3299="","",COUNTIFS($A$2:$A$20000,A3299,$B$2:$B$20000,"&gt;"&amp;B3299)+1)</f>
        <v/>
      </c>
    </row>
    <row r="3300">
      <c r="A3300" t="inlineStr">
        <is>
          <t>샘플종목30</t>
        </is>
      </c>
      <c r="B3300" s="3" t="n">
        <v>46311</v>
      </c>
      <c r="C3300" t="n">
        <v>101467</v>
      </c>
      <c r="D3300" t="n">
        <v>2234398</v>
      </c>
      <c r="E3300">
        <f>IF(A3300="","",COUNTIFS($A$2:$A$20000,A3300,$B$2:$B$20000,"&gt;"&amp;B3300)+1)</f>
        <v/>
      </c>
    </row>
    <row r="3301">
      <c r="A3301" t="inlineStr">
        <is>
          <t>샘플종목30</t>
        </is>
      </c>
      <c r="B3301" s="3" t="n">
        <v>46318</v>
      </c>
      <c r="C3301" t="n">
        <v>100423</v>
      </c>
      <c r="D3301" t="n">
        <v>6560313</v>
      </c>
      <c r="E3301">
        <f>IF(A3301="","",COUNTIFS($A$2:$A$20000,A3301,$B$2:$B$20000,"&gt;"&amp;B3301)+1)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1주 전 대비</t>
        </is>
      </c>
      <c r="D1" s="1" t="inlineStr">
        <is>
          <t>4주 전 대비</t>
        </is>
      </c>
      <c r="E1" s="1" t="inlineStr">
        <is>
          <t>8주 전 대비</t>
        </is>
      </c>
      <c r="F1" s="1" t="inlineStr">
        <is>
          <t>12주 전 대비</t>
        </is>
      </c>
      <c r="G1" s="1" t="inlineStr">
        <is>
          <t>52주 전 대비</t>
        </is>
      </c>
      <c r="H1" s="1" t="inlineStr">
        <is>
          <t>104주 전 대비</t>
        </is>
      </c>
      <c r="I1" s="1" t="n"/>
      <c r="J1" s="1" t="inlineStr">
        <is>
          <t>정렬키 1주 전</t>
        </is>
      </c>
      <c r="K1" s="1" t="inlineStr">
        <is>
          <t>정렬키 4주 전</t>
        </is>
      </c>
      <c r="L1" s="1" t="inlineStr">
        <is>
          <t>정렬키 8주 전</t>
        </is>
      </c>
      <c r="M1" s="1" t="inlineStr">
        <is>
          <t>정렬키 12주 전</t>
        </is>
      </c>
      <c r="N1" s="1" t="inlineStr">
        <is>
          <t>정렬키 52주 전</t>
        </is>
      </c>
      <c r="O1" s="1" t="inlineStr">
        <is>
          <t>정렬키 104주 전</t>
        </is>
      </c>
    </row>
    <row r="2">
      <c r="A2" t="inlineStr">
        <is>
          <t>샘플종목01</t>
        </is>
      </c>
      <c r="B2" s="4">
        <f>IF($A2="","",IF(COUNTIFS(데이터!$A$2:$A$20000,$A2,데이터!$E$2:$E$20000,1)=0,"",SUMIFS(데이터!$C$2:$C$20000,데이터!$A$2:$A$20000,$A2,데이터!$E$2:$E$20000,1)))</f>
        <v/>
      </c>
      <c r="C2" s="5">
        <f>IFERROR(IF(OR($B2="",COUNTIFS(데이터!$A$2:$A$20000,$A2,데이터!$E$2:$E$20000,설정!$B$2)=0),"",$B2/SUMIFS(데이터!$C$2:$C$20000,데이터!$A$2:$A$20000,$A2,데이터!$E$2:$E$20000,설정!$B$2)-1),"")</f>
        <v/>
      </c>
      <c r="D2" s="5">
        <f>IFERROR(IF(OR($B2="",COUNTIFS(데이터!$A$2:$A$20000,$A2,데이터!$E$2:$E$20000,설정!$B$3)=0),"",$B2/SUMIFS(데이터!$C$2:$C$20000,데이터!$A$2:$A$20000,$A2,데이터!$E$2:$E$20000,설정!$B$3)-1),"")</f>
        <v/>
      </c>
      <c r="E2" s="5">
        <f>IFERROR(IF(OR($B2="",COUNTIFS(데이터!$A$2:$A$20000,$A2,데이터!$E$2:$E$20000,설정!$B$4)=0),"",$B2/SUMIFS(데이터!$C$2:$C$20000,데이터!$A$2:$A$20000,$A2,데이터!$E$2:$E$20000,설정!$B$4)-1),"")</f>
        <v/>
      </c>
      <c r="F2" s="5">
        <f>IFERROR(IF(OR($B2="",COUNTIFS(데이터!$A$2:$A$20000,$A2,데이터!$E$2:$E$20000,설정!$B$5)=0),"",$B2/SUMIFS(데이터!$C$2:$C$20000,데이터!$A$2:$A$20000,$A2,데이터!$E$2:$E$20000,설정!$B$5)-1),"")</f>
        <v/>
      </c>
      <c r="G2" s="5">
        <f>IFERROR(IF(OR($B2="",COUNTIFS(데이터!$A$2:$A$20000,$A2,데이터!$E$2:$E$20000,설정!$B$6)=0),"",$B2/SUMIFS(데이터!$C$2:$C$20000,데이터!$A$2:$A$20000,$A2,데이터!$E$2:$E$20000,설정!$B$6)-1),"")</f>
        <v/>
      </c>
      <c r="H2" s="5">
        <f>IFERROR(IF(OR($B2="",COUNTIFS(데이터!$A$2:$A$20000,$A2,데이터!$E$2:$E$20000,설정!$B$7)=0),"",$B2/SUMIFS(데이터!$C$2:$C$20000,데이터!$A$2:$A$20000,$A2,데이터!$E$2:$E$20000,설정!$B$7)-1),"")</f>
        <v/>
      </c>
      <c r="J2">
        <f>IF(C2="","",C2+ROW()*0.000000001)</f>
        <v/>
      </c>
      <c r="K2">
        <f>IF(D2="","",D2+ROW()*0.000000001)</f>
        <v/>
      </c>
      <c r="L2">
        <f>IF(E2="","",E2+ROW()*0.000000001)</f>
        <v/>
      </c>
      <c r="M2">
        <f>IF(F2="","",F2+ROW()*0.000000001)</f>
        <v/>
      </c>
      <c r="N2">
        <f>IF(G2="","",G2+ROW()*0.000000001)</f>
        <v/>
      </c>
      <c r="O2">
        <f>IF(H2="","",H2+ROW()*0.000000001)</f>
        <v/>
      </c>
    </row>
    <row r="3">
      <c r="A3" t="inlineStr">
        <is>
          <t>샘플종목02</t>
        </is>
      </c>
      <c r="B3" s="4">
        <f>IF($A3="","",IF(COUNTIFS(데이터!$A$2:$A$20000,$A3,데이터!$E$2:$E$20000,1)=0,"",SUMIFS(데이터!$C$2:$C$20000,데이터!$A$2:$A$20000,$A3,데이터!$E$2:$E$20000,1)))</f>
        <v/>
      </c>
      <c r="C3" s="5">
        <f>IFERROR(IF(OR($B3="",COUNTIFS(데이터!$A$2:$A$20000,$A3,데이터!$E$2:$E$20000,설정!$B$2)=0),"",$B3/SUMIFS(데이터!$C$2:$C$20000,데이터!$A$2:$A$20000,$A3,데이터!$E$2:$E$20000,설정!$B$2)-1),"")</f>
        <v/>
      </c>
      <c r="D3" s="5">
        <f>IFERROR(IF(OR($B3="",COUNTIFS(데이터!$A$2:$A$20000,$A3,데이터!$E$2:$E$20000,설정!$B$3)=0),"",$B3/SUMIFS(데이터!$C$2:$C$20000,데이터!$A$2:$A$20000,$A3,데이터!$E$2:$E$20000,설정!$B$3)-1),"")</f>
        <v/>
      </c>
      <c r="E3" s="5">
        <f>IFERROR(IF(OR($B3="",COUNTIFS(데이터!$A$2:$A$20000,$A3,데이터!$E$2:$E$20000,설정!$B$4)=0),"",$B3/SUMIFS(데이터!$C$2:$C$20000,데이터!$A$2:$A$20000,$A3,데이터!$E$2:$E$20000,설정!$B$4)-1),"")</f>
        <v/>
      </c>
      <c r="F3" s="5">
        <f>IFERROR(IF(OR($B3="",COUNTIFS(데이터!$A$2:$A$20000,$A3,데이터!$E$2:$E$20000,설정!$B$5)=0),"",$B3/SUMIFS(데이터!$C$2:$C$20000,데이터!$A$2:$A$20000,$A3,데이터!$E$2:$E$20000,설정!$B$5)-1),"")</f>
        <v/>
      </c>
      <c r="G3" s="5">
        <f>IFERROR(IF(OR($B3="",COUNTIFS(데이터!$A$2:$A$20000,$A3,데이터!$E$2:$E$20000,설정!$B$6)=0),"",$B3/SUMIFS(데이터!$C$2:$C$20000,데이터!$A$2:$A$20000,$A3,데이터!$E$2:$E$20000,설정!$B$6)-1),"")</f>
        <v/>
      </c>
      <c r="H3" s="5">
        <f>IFERROR(IF(OR($B3="",COUNTIFS(데이터!$A$2:$A$20000,$A3,데이터!$E$2:$E$20000,설정!$B$7)=0),"",$B3/SUMIFS(데이터!$C$2:$C$20000,데이터!$A$2:$A$20000,$A3,데이터!$E$2:$E$20000,설정!$B$7)-1),"")</f>
        <v/>
      </c>
      <c r="J3">
        <f>IF(C3="","",C3+ROW()*0.000000001)</f>
        <v/>
      </c>
      <c r="K3">
        <f>IF(D3="","",D3+ROW()*0.000000001)</f>
        <v/>
      </c>
      <c r="L3">
        <f>IF(E3="","",E3+ROW()*0.000000001)</f>
        <v/>
      </c>
      <c r="M3">
        <f>IF(F3="","",F3+ROW()*0.000000001)</f>
        <v/>
      </c>
      <c r="N3">
        <f>IF(G3="","",G3+ROW()*0.000000001)</f>
        <v/>
      </c>
      <c r="O3">
        <f>IF(H3="","",H3+ROW()*0.000000001)</f>
        <v/>
      </c>
    </row>
    <row r="4">
      <c r="A4" t="inlineStr">
        <is>
          <t>샘플종목03</t>
        </is>
      </c>
      <c r="B4" s="4">
        <f>IF($A4="","",IF(COUNTIFS(데이터!$A$2:$A$20000,$A4,데이터!$E$2:$E$20000,1)=0,"",SUMIFS(데이터!$C$2:$C$20000,데이터!$A$2:$A$20000,$A4,데이터!$E$2:$E$20000,1)))</f>
        <v/>
      </c>
      <c r="C4" s="5">
        <f>IFERROR(IF(OR($B4="",COUNTIFS(데이터!$A$2:$A$20000,$A4,데이터!$E$2:$E$20000,설정!$B$2)=0),"",$B4/SUMIFS(데이터!$C$2:$C$20000,데이터!$A$2:$A$20000,$A4,데이터!$E$2:$E$20000,설정!$B$2)-1),"")</f>
        <v/>
      </c>
      <c r="D4" s="5">
        <f>IFERROR(IF(OR($B4="",COUNTIFS(데이터!$A$2:$A$20000,$A4,데이터!$E$2:$E$20000,설정!$B$3)=0),"",$B4/SUMIFS(데이터!$C$2:$C$20000,데이터!$A$2:$A$20000,$A4,데이터!$E$2:$E$20000,설정!$B$3)-1),"")</f>
        <v/>
      </c>
      <c r="E4" s="5">
        <f>IFERROR(IF(OR($B4="",COUNTIFS(데이터!$A$2:$A$20000,$A4,데이터!$E$2:$E$20000,설정!$B$4)=0),"",$B4/SUMIFS(데이터!$C$2:$C$20000,데이터!$A$2:$A$20000,$A4,데이터!$E$2:$E$20000,설정!$B$4)-1),"")</f>
        <v/>
      </c>
      <c r="F4" s="5">
        <f>IFERROR(IF(OR($B4="",COUNTIFS(데이터!$A$2:$A$20000,$A4,데이터!$E$2:$E$20000,설정!$B$5)=0),"",$B4/SUMIFS(데이터!$C$2:$C$20000,데이터!$A$2:$A$20000,$A4,데이터!$E$2:$E$20000,설정!$B$5)-1),"")</f>
        <v/>
      </c>
      <c r="G4" s="5">
        <f>IFERROR(IF(OR($B4="",COUNTIFS(데이터!$A$2:$A$20000,$A4,데이터!$E$2:$E$20000,설정!$B$6)=0),"",$B4/SUMIFS(데이터!$C$2:$C$20000,데이터!$A$2:$A$20000,$A4,데이터!$E$2:$E$20000,설정!$B$6)-1),"")</f>
        <v/>
      </c>
      <c r="H4" s="5">
        <f>IFERROR(IF(OR($B4="",COUNTIFS(데이터!$A$2:$A$20000,$A4,데이터!$E$2:$E$20000,설정!$B$7)=0),"",$B4/SUMIFS(데이터!$C$2:$C$20000,데이터!$A$2:$A$20000,$A4,데이터!$E$2:$E$20000,설정!$B$7)-1),"")</f>
        <v/>
      </c>
      <c r="J4">
        <f>IF(C4="","",C4+ROW()*0.000000001)</f>
        <v/>
      </c>
      <c r="K4">
        <f>IF(D4="","",D4+ROW()*0.000000001)</f>
        <v/>
      </c>
      <c r="L4">
        <f>IF(E4="","",E4+ROW()*0.000000001)</f>
        <v/>
      </c>
      <c r="M4">
        <f>IF(F4="","",F4+ROW()*0.000000001)</f>
        <v/>
      </c>
      <c r="N4">
        <f>IF(G4="","",G4+ROW()*0.000000001)</f>
        <v/>
      </c>
      <c r="O4">
        <f>IF(H4="","",H4+ROW()*0.000000001)</f>
        <v/>
      </c>
    </row>
    <row r="5">
      <c r="A5" t="inlineStr">
        <is>
          <t>샘플종목04</t>
        </is>
      </c>
      <c r="B5" s="4">
        <f>IF($A5="","",IF(COUNTIFS(데이터!$A$2:$A$20000,$A5,데이터!$E$2:$E$20000,1)=0,"",SUMIFS(데이터!$C$2:$C$20000,데이터!$A$2:$A$20000,$A5,데이터!$E$2:$E$20000,1)))</f>
        <v/>
      </c>
      <c r="C5" s="5">
        <f>IFERROR(IF(OR($B5="",COUNTIFS(데이터!$A$2:$A$20000,$A5,데이터!$E$2:$E$20000,설정!$B$2)=0),"",$B5/SUMIFS(데이터!$C$2:$C$20000,데이터!$A$2:$A$20000,$A5,데이터!$E$2:$E$20000,설정!$B$2)-1),"")</f>
        <v/>
      </c>
      <c r="D5" s="5">
        <f>IFERROR(IF(OR($B5="",COUNTIFS(데이터!$A$2:$A$20000,$A5,데이터!$E$2:$E$20000,설정!$B$3)=0),"",$B5/SUMIFS(데이터!$C$2:$C$20000,데이터!$A$2:$A$20000,$A5,데이터!$E$2:$E$20000,설정!$B$3)-1),"")</f>
        <v/>
      </c>
      <c r="E5" s="5">
        <f>IFERROR(IF(OR($B5="",COUNTIFS(데이터!$A$2:$A$20000,$A5,데이터!$E$2:$E$20000,설정!$B$4)=0),"",$B5/SUMIFS(데이터!$C$2:$C$20000,데이터!$A$2:$A$20000,$A5,데이터!$E$2:$E$20000,설정!$B$4)-1),"")</f>
        <v/>
      </c>
      <c r="F5" s="5">
        <f>IFERROR(IF(OR($B5="",COUNTIFS(데이터!$A$2:$A$20000,$A5,데이터!$E$2:$E$20000,설정!$B$5)=0),"",$B5/SUMIFS(데이터!$C$2:$C$20000,데이터!$A$2:$A$20000,$A5,데이터!$E$2:$E$20000,설정!$B$5)-1),"")</f>
        <v/>
      </c>
      <c r="G5" s="5">
        <f>IFERROR(IF(OR($B5="",COUNTIFS(데이터!$A$2:$A$20000,$A5,데이터!$E$2:$E$20000,설정!$B$6)=0),"",$B5/SUMIFS(데이터!$C$2:$C$20000,데이터!$A$2:$A$20000,$A5,데이터!$E$2:$E$20000,설정!$B$6)-1),"")</f>
        <v/>
      </c>
      <c r="H5" s="5">
        <f>IFERROR(IF(OR($B5="",COUNTIFS(데이터!$A$2:$A$20000,$A5,데이터!$E$2:$E$20000,설정!$B$7)=0),"",$B5/SUMIFS(데이터!$C$2:$C$20000,데이터!$A$2:$A$20000,$A5,데이터!$E$2:$E$20000,설정!$B$7)-1),"")</f>
        <v/>
      </c>
      <c r="J5">
        <f>IF(C5="","",C5+ROW()*0.000000001)</f>
        <v/>
      </c>
      <c r="K5">
        <f>IF(D5="","",D5+ROW()*0.000000001)</f>
        <v/>
      </c>
      <c r="L5">
        <f>IF(E5="","",E5+ROW()*0.000000001)</f>
        <v/>
      </c>
      <c r="M5">
        <f>IF(F5="","",F5+ROW()*0.000000001)</f>
        <v/>
      </c>
      <c r="N5">
        <f>IF(G5="","",G5+ROW()*0.000000001)</f>
        <v/>
      </c>
      <c r="O5">
        <f>IF(H5="","",H5+ROW()*0.000000001)</f>
        <v/>
      </c>
    </row>
    <row r="6">
      <c r="A6" t="inlineStr">
        <is>
          <t>샘플종목05</t>
        </is>
      </c>
      <c r="B6" s="4">
        <f>IF($A6="","",IF(COUNTIFS(데이터!$A$2:$A$20000,$A6,데이터!$E$2:$E$20000,1)=0,"",SUMIFS(데이터!$C$2:$C$20000,데이터!$A$2:$A$20000,$A6,데이터!$E$2:$E$20000,1)))</f>
        <v/>
      </c>
      <c r="C6" s="5">
        <f>IFERROR(IF(OR($B6="",COUNTIFS(데이터!$A$2:$A$20000,$A6,데이터!$E$2:$E$20000,설정!$B$2)=0),"",$B6/SUMIFS(데이터!$C$2:$C$20000,데이터!$A$2:$A$20000,$A6,데이터!$E$2:$E$20000,설정!$B$2)-1),"")</f>
        <v/>
      </c>
      <c r="D6" s="5">
        <f>IFERROR(IF(OR($B6="",COUNTIFS(데이터!$A$2:$A$20000,$A6,데이터!$E$2:$E$20000,설정!$B$3)=0),"",$B6/SUMIFS(데이터!$C$2:$C$20000,데이터!$A$2:$A$20000,$A6,데이터!$E$2:$E$20000,설정!$B$3)-1),"")</f>
        <v/>
      </c>
      <c r="E6" s="5">
        <f>IFERROR(IF(OR($B6="",COUNTIFS(데이터!$A$2:$A$20000,$A6,데이터!$E$2:$E$20000,설정!$B$4)=0),"",$B6/SUMIFS(데이터!$C$2:$C$20000,데이터!$A$2:$A$20000,$A6,데이터!$E$2:$E$20000,설정!$B$4)-1),"")</f>
        <v/>
      </c>
      <c r="F6" s="5">
        <f>IFERROR(IF(OR($B6="",COUNTIFS(데이터!$A$2:$A$20000,$A6,데이터!$E$2:$E$20000,설정!$B$5)=0),"",$B6/SUMIFS(데이터!$C$2:$C$20000,데이터!$A$2:$A$20000,$A6,데이터!$E$2:$E$20000,설정!$B$5)-1),"")</f>
        <v/>
      </c>
      <c r="G6" s="5">
        <f>IFERROR(IF(OR($B6="",COUNTIFS(데이터!$A$2:$A$20000,$A6,데이터!$E$2:$E$20000,설정!$B$6)=0),"",$B6/SUMIFS(데이터!$C$2:$C$20000,데이터!$A$2:$A$20000,$A6,데이터!$E$2:$E$20000,설정!$B$6)-1),"")</f>
        <v/>
      </c>
      <c r="H6" s="5">
        <f>IFERROR(IF(OR($B6="",COUNTIFS(데이터!$A$2:$A$20000,$A6,데이터!$E$2:$E$20000,설정!$B$7)=0),"",$B6/SUMIFS(데이터!$C$2:$C$20000,데이터!$A$2:$A$20000,$A6,데이터!$E$2:$E$20000,설정!$B$7)-1),"")</f>
        <v/>
      </c>
      <c r="J6">
        <f>IF(C6="","",C6+ROW()*0.000000001)</f>
        <v/>
      </c>
      <c r="K6">
        <f>IF(D6="","",D6+ROW()*0.000000001)</f>
        <v/>
      </c>
      <c r="L6">
        <f>IF(E6="","",E6+ROW()*0.000000001)</f>
        <v/>
      </c>
      <c r="M6">
        <f>IF(F6="","",F6+ROW()*0.000000001)</f>
        <v/>
      </c>
      <c r="N6">
        <f>IF(G6="","",G6+ROW()*0.000000001)</f>
        <v/>
      </c>
      <c r="O6">
        <f>IF(H6="","",H6+ROW()*0.000000001)</f>
        <v/>
      </c>
    </row>
    <row r="7">
      <c r="A7" t="inlineStr">
        <is>
          <t>샘플종목06</t>
        </is>
      </c>
      <c r="B7" s="4">
        <f>IF($A7="","",IF(COUNTIFS(데이터!$A$2:$A$20000,$A7,데이터!$E$2:$E$20000,1)=0,"",SUMIFS(데이터!$C$2:$C$20000,데이터!$A$2:$A$20000,$A7,데이터!$E$2:$E$20000,1)))</f>
        <v/>
      </c>
      <c r="C7" s="5">
        <f>IFERROR(IF(OR($B7="",COUNTIFS(데이터!$A$2:$A$20000,$A7,데이터!$E$2:$E$20000,설정!$B$2)=0),"",$B7/SUMIFS(데이터!$C$2:$C$20000,데이터!$A$2:$A$20000,$A7,데이터!$E$2:$E$20000,설정!$B$2)-1),"")</f>
        <v/>
      </c>
      <c r="D7" s="5">
        <f>IFERROR(IF(OR($B7="",COUNTIFS(데이터!$A$2:$A$20000,$A7,데이터!$E$2:$E$20000,설정!$B$3)=0),"",$B7/SUMIFS(데이터!$C$2:$C$20000,데이터!$A$2:$A$20000,$A7,데이터!$E$2:$E$20000,설정!$B$3)-1),"")</f>
        <v/>
      </c>
      <c r="E7" s="5">
        <f>IFERROR(IF(OR($B7="",COUNTIFS(데이터!$A$2:$A$20000,$A7,데이터!$E$2:$E$20000,설정!$B$4)=0),"",$B7/SUMIFS(데이터!$C$2:$C$20000,데이터!$A$2:$A$20000,$A7,데이터!$E$2:$E$20000,설정!$B$4)-1),"")</f>
        <v/>
      </c>
      <c r="F7" s="5">
        <f>IFERROR(IF(OR($B7="",COUNTIFS(데이터!$A$2:$A$20000,$A7,데이터!$E$2:$E$20000,설정!$B$5)=0),"",$B7/SUMIFS(데이터!$C$2:$C$20000,데이터!$A$2:$A$20000,$A7,데이터!$E$2:$E$20000,설정!$B$5)-1),"")</f>
        <v/>
      </c>
      <c r="G7" s="5">
        <f>IFERROR(IF(OR($B7="",COUNTIFS(데이터!$A$2:$A$20000,$A7,데이터!$E$2:$E$20000,설정!$B$6)=0),"",$B7/SUMIFS(데이터!$C$2:$C$20000,데이터!$A$2:$A$20000,$A7,데이터!$E$2:$E$20000,설정!$B$6)-1),"")</f>
        <v/>
      </c>
      <c r="H7" s="5">
        <f>IFERROR(IF(OR($B7="",COUNTIFS(데이터!$A$2:$A$20000,$A7,데이터!$E$2:$E$20000,설정!$B$7)=0),"",$B7/SUMIFS(데이터!$C$2:$C$20000,데이터!$A$2:$A$20000,$A7,데이터!$E$2:$E$20000,설정!$B$7)-1),"")</f>
        <v/>
      </c>
      <c r="J7">
        <f>IF(C7="","",C7+ROW()*0.000000001)</f>
        <v/>
      </c>
      <c r="K7">
        <f>IF(D7="","",D7+ROW()*0.000000001)</f>
        <v/>
      </c>
      <c r="L7">
        <f>IF(E7="","",E7+ROW()*0.000000001)</f>
        <v/>
      </c>
      <c r="M7">
        <f>IF(F7="","",F7+ROW()*0.000000001)</f>
        <v/>
      </c>
      <c r="N7">
        <f>IF(G7="","",G7+ROW()*0.000000001)</f>
        <v/>
      </c>
      <c r="O7">
        <f>IF(H7="","",H7+ROW()*0.000000001)</f>
        <v/>
      </c>
    </row>
    <row r="8">
      <c r="A8" t="inlineStr">
        <is>
          <t>샘플종목07</t>
        </is>
      </c>
      <c r="B8" s="4">
        <f>IF($A8="","",IF(COUNTIFS(데이터!$A$2:$A$20000,$A8,데이터!$E$2:$E$20000,1)=0,"",SUMIFS(데이터!$C$2:$C$20000,데이터!$A$2:$A$20000,$A8,데이터!$E$2:$E$20000,1)))</f>
        <v/>
      </c>
      <c r="C8" s="5">
        <f>IFERROR(IF(OR($B8="",COUNTIFS(데이터!$A$2:$A$20000,$A8,데이터!$E$2:$E$20000,설정!$B$2)=0),"",$B8/SUMIFS(데이터!$C$2:$C$20000,데이터!$A$2:$A$20000,$A8,데이터!$E$2:$E$20000,설정!$B$2)-1),"")</f>
        <v/>
      </c>
      <c r="D8" s="5">
        <f>IFERROR(IF(OR($B8="",COUNTIFS(데이터!$A$2:$A$20000,$A8,데이터!$E$2:$E$20000,설정!$B$3)=0),"",$B8/SUMIFS(데이터!$C$2:$C$20000,데이터!$A$2:$A$20000,$A8,데이터!$E$2:$E$20000,설정!$B$3)-1),"")</f>
        <v/>
      </c>
      <c r="E8" s="5">
        <f>IFERROR(IF(OR($B8="",COUNTIFS(데이터!$A$2:$A$20000,$A8,데이터!$E$2:$E$20000,설정!$B$4)=0),"",$B8/SUMIFS(데이터!$C$2:$C$20000,데이터!$A$2:$A$20000,$A8,데이터!$E$2:$E$20000,설정!$B$4)-1),"")</f>
        <v/>
      </c>
      <c r="F8" s="5">
        <f>IFERROR(IF(OR($B8="",COUNTIFS(데이터!$A$2:$A$20000,$A8,데이터!$E$2:$E$20000,설정!$B$5)=0),"",$B8/SUMIFS(데이터!$C$2:$C$20000,데이터!$A$2:$A$20000,$A8,데이터!$E$2:$E$20000,설정!$B$5)-1),"")</f>
        <v/>
      </c>
      <c r="G8" s="5">
        <f>IFERROR(IF(OR($B8="",COUNTIFS(데이터!$A$2:$A$20000,$A8,데이터!$E$2:$E$20000,설정!$B$6)=0),"",$B8/SUMIFS(데이터!$C$2:$C$20000,데이터!$A$2:$A$20000,$A8,데이터!$E$2:$E$20000,설정!$B$6)-1),"")</f>
        <v/>
      </c>
      <c r="H8" s="5">
        <f>IFERROR(IF(OR($B8="",COUNTIFS(데이터!$A$2:$A$20000,$A8,데이터!$E$2:$E$20000,설정!$B$7)=0),"",$B8/SUMIFS(데이터!$C$2:$C$20000,데이터!$A$2:$A$20000,$A8,데이터!$E$2:$E$20000,설정!$B$7)-1),"")</f>
        <v/>
      </c>
      <c r="J8">
        <f>IF(C8="","",C8+ROW()*0.000000001)</f>
        <v/>
      </c>
      <c r="K8">
        <f>IF(D8="","",D8+ROW()*0.000000001)</f>
        <v/>
      </c>
      <c r="L8">
        <f>IF(E8="","",E8+ROW()*0.000000001)</f>
        <v/>
      </c>
      <c r="M8">
        <f>IF(F8="","",F8+ROW()*0.000000001)</f>
        <v/>
      </c>
      <c r="N8">
        <f>IF(G8="","",G8+ROW()*0.000000001)</f>
        <v/>
      </c>
      <c r="O8">
        <f>IF(H8="","",H8+ROW()*0.000000001)</f>
        <v/>
      </c>
    </row>
    <row r="9">
      <c r="A9" t="inlineStr">
        <is>
          <t>샘플종목08</t>
        </is>
      </c>
      <c r="B9" s="4">
        <f>IF($A9="","",IF(COUNTIFS(데이터!$A$2:$A$20000,$A9,데이터!$E$2:$E$20000,1)=0,"",SUMIFS(데이터!$C$2:$C$20000,데이터!$A$2:$A$20000,$A9,데이터!$E$2:$E$20000,1)))</f>
        <v/>
      </c>
      <c r="C9" s="5">
        <f>IFERROR(IF(OR($B9="",COUNTIFS(데이터!$A$2:$A$20000,$A9,데이터!$E$2:$E$20000,설정!$B$2)=0),"",$B9/SUMIFS(데이터!$C$2:$C$20000,데이터!$A$2:$A$20000,$A9,데이터!$E$2:$E$20000,설정!$B$2)-1),"")</f>
        <v/>
      </c>
      <c r="D9" s="5">
        <f>IFERROR(IF(OR($B9="",COUNTIFS(데이터!$A$2:$A$20000,$A9,데이터!$E$2:$E$20000,설정!$B$3)=0),"",$B9/SUMIFS(데이터!$C$2:$C$20000,데이터!$A$2:$A$20000,$A9,데이터!$E$2:$E$20000,설정!$B$3)-1),"")</f>
        <v/>
      </c>
      <c r="E9" s="5">
        <f>IFERROR(IF(OR($B9="",COUNTIFS(데이터!$A$2:$A$20000,$A9,데이터!$E$2:$E$20000,설정!$B$4)=0),"",$B9/SUMIFS(데이터!$C$2:$C$20000,데이터!$A$2:$A$20000,$A9,데이터!$E$2:$E$20000,설정!$B$4)-1),"")</f>
        <v/>
      </c>
      <c r="F9" s="5">
        <f>IFERROR(IF(OR($B9="",COUNTIFS(데이터!$A$2:$A$20000,$A9,데이터!$E$2:$E$20000,설정!$B$5)=0),"",$B9/SUMIFS(데이터!$C$2:$C$20000,데이터!$A$2:$A$20000,$A9,데이터!$E$2:$E$20000,설정!$B$5)-1),"")</f>
        <v/>
      </c>
      <c r="G9" s="5">
        <f>IFERROR(IF(OR($B9="",COUNTIFS(데이터!$A$2:$A$20000,$A9,데이터!$E$2:$E$20000,설정!$B$6)=0),"",$B9/SUMIFS(데이터!$C$2:$C$20000,데이터!$A$2:$A$20000,$A9,데이터!$E$2:$E$20000,설정!$B$6)-1),"")</f>
        <v/>
      </c>
      <c r="H9" s="5">
        <f>IFERROR(IF(OR($B9="",COUNTIFS(데이터!$A$2:$A$20000,$A9,데이터!$E$2:$E$20000,설정!$B$7)=0),"",$B9/SUMIFS(데이터!$C$2:$C$20000,데이터!$A$2:$A$20000,$A9,데이터!$E$2:$E$20000,설정!$B$7)-1),"")</f>
        <v/>
      </c>
      <c r="J9">
        <f>IF(C9="","",C9+ROW()*0.000000001)</f>
        <v/>
      </c>
      <c r="K9">
        <f>IF(D9="","",D9+ROW()*0.000000001)</f>
        <v/>
      </c>
      <c r="L9">
        <f>IF(E9="","",E9+ROW()*0.000000001)</f>
        <v/>
      </c>
      <c r="M9">
        <f>IF(F9="","",F9+ROW()*0.000000001)</f>
        <v/>
      </c>
      <c r="N9">
        <f>IF(G9="","",G9+ROW()*0.000000001)</f>
        <v/>
      </c>
      <c r="O9">
        <f>IF(H9="","",H9+ROW()*0.000000001)</f>
        <v/>
      </c>
    </row>
    <row r="10">
      <c r="A10" t="inlineStr">
        <is>
          <t>샘플종목09</t>
        </is>
      </c>
      <c r="B10" s="4">
        <f>IF($A10="","",IF(COUNTIFS(데이터!$A$2:$A$20000,$A10,데이터!$E$2:$E$20000,1)=0,"",SUMIFS(데이터!$C$2:$C$20000,데이터!$A$2:$A$20000,$A10,데이터!$E$2:$E$20000,1)))</f>
        <v/>
      </c>
      <c r="C10" s="5">
        <f>IFERROR(IF(OR($B10="",COUNTIFS(데이터!$A$2:$A$20000,$A10,데이터!$E$2:$E$20000,설정!$B$2)=0),"",$B10/SUMIFS(데이터!$C$2:$C$20000,데이터!$A$2:$A$20000,$A10,데이터!$E$2:$E$20000,설정!$B$2)-1),"")</f>
        <v/>
      </c>
      <c r="D10" s="5">
        <f>IFERROR(IF(OR($B10="",COUNTIFS(데이터!$A$2:$A$20000,$A10,데이터!$E$2:$E$20000,설정!$B$3)=0),"",$B10/SUMIFS(데이터!$C$2:$C$20000,데이터!$A$2:$A$20000,$A10,데이터!$E$2:$E$20000,설정!$B$3)-1),"")</f>
        <v/>
      </c>
      <c r="E10" s="5">
        <f>IFERROR(IF(OR($B10="",COUNTIFS(데이터!$A$2:$A$20000,$A10,데이터!$E$2:$E$20000,설정!$B$4)=0),"",$B10/SUMIFS(데이터!$C$2:$C$20000,데이터!$A$2:$A$20000,$A10,데이터!$E$2:$E$20000,설정!$B$4)-1),"")</f>
        <v/>
      </c>
      <c r="F10" s="5">
        <f>IFERROR(IF(OR($B10="",COUNTIFS(데이터!$A$2:$A$20000,$A10,데이터!$E$2:$E$20000,설정!$B$5)=0),"",$B10/SUMIFS(데이터!$C$2:$C$20000,데이터!$A$2:$A$20000,$A10,데이터!$E$2:$E$20000,설정!$B$5)-1),"")</f>
        <v/>
      </c>
      <c r="G10" s="5">
        <f>IFERROR(IF(OR($B10="",COUNTIFS(데이터!$A$2:$A$20000,$A10,데이터!$E$2:$E$20000,설정!$B$6)=0),"",$B10/SUMIFS(데이터!$C$2:$C$20000,데이터!$A$2:$A$20000,$A10,데이터!$E$2:$E$20000,설정!$B$6)-1),"")</f>
        <v/>
      </c>
      <c r="H10" s="5">
        <f>IFERROR(IF(OR($B10="",COUNTIFS(데이터!$A$2:$A$20000,$A10,데이터!$E$2:$E$20000,설정!$B$7)=0),"",$B10/SUMIFS(데이터!$C$2:$C$20000,데이터!$A$2:$A$20000,$A10,데이터!$E$2:$E$20000,설정!$B$7)-1),"")</f>
        <v/>
      </c>
      <c r="J10">
        <f>IF(C10="","",C10+ROW()*0.000000001)</f>
        <v/>
      </c>
      <c r="K10">
        <f>IF(D10="","",D10+ROW()*0.000000001)</f>
        <v/>
      </c>
      <c r="L10">
        <f>IF(E10="","",E10+ROW()*0.000000001)</f>
        <v/>
      </c>
      <c r="M10">
        <f>IF(F10="","",F10+ROW()*0.000000001)</f>
        <v/>
      </c>
      <c r="N10">
        <f>IF(G10="","",G10+ROW()*0.000000001)</f>
        <v/>
      </c>
      <c r="O10">
        <f>IF(H10="","",H10+ROW()*0.000000001)</f>
        <v/>
      </c>
    </row>
    <row r="11">
      <c r="A11" t="inlineStr">
        <is>
          <t>샘플종목10</t>
        </is>
      </c>
      <c r="B11" s="4">
        <f>IF($A11="","",IF(COUNTIFS(데이터!$A$2:$A$20000,$A11,데이터!$E$2:$E$20000,1)=0,"",SUMIFS(데이터!$C$2:$C$20000,데이터!$A$2:$A$20000,$A11,데이터!$E$2:$E$20000,1)))</f>
        <v/>
      </c>
      <c r="C11" s="5">
        <f>IFERROR(IF(OR($B11="",COUNTIFS(데이터!$A$2:$A$20000,$A11,데이터!$E$2:$E$20000,설정!$B$2)=0),"",$B11/SUMIFS(데이터!$C$2:$C$20000,데이터!$A$2:$A$20000,$A11,데이터!$E$2:$E$20000,설정!$B$2)-1),"")</f>
        <v/>
      </c>
      <c r="D11" s="5">
        <f>IFERROR(IF(OR($B11="",COUNTIFS(데이터!$A$2:$A$20000,$A11,데이터!$E$2:$E$20000,설정!$B$3)=0),"",$B11/SUMIFS(데이터!$C$2:$C$20000,데이터!$A$2:$A$20000,$A11,데이터!$E$2:$E$20000,설정!$B$3)-1),"")</f>
        <v/>
      </c>
      <c r="E11" s="5">
        <f>IFERROR(IF(OR($B11="",COUNTIFS(데이터!$A$2:$A$20000,$A11,데이터!$E$2:$E$20000,설정!$B$4)=0),"",$B11/SUMIFS(데이터!$C$2:$C$20000,데이터!$A$2:$A$20000,$A11,데이터!$E$2:$E$20000,설정!$B$4)-1),"")</f>
        <v/>
      </c>
      <c r="F11" s="5">
        <f>IFERROR(IF(OR($B11="",COUNTIFS(데이터!$A$2:$A$20000,$A11,데이터!$E$2:$E$20000,설정!$B$5)=0),"",$B11/SUMIFS(데이터!$C$2:$C$20000,데이터!$A$2:$A$20000,$A11,데이터!$E$2:$E$20000,설정!$B$5)-1),"")</f>
        <v/>
      </c>
      <c r="G11" s="5">
        <f>IFERROR(IF(OR($B11="",COUNTIFS(데이터!$A$2:$A$20000,$A11,데이터!$E$2:$E$20000,설정!$B$6)=0),"",$B11/SUMIFS(데이터!$C$2:$C$20000,데이터!$A$2:$A$20000,$A11,데이터!$E$2:$E$20000,설정!$B$6)-1),"")</f>
        <v/>
      </c>
      <c r="H11" s="5">
        <f>IFERROR(IF(OR($B11="",COUNTIFS(데이터!$A$2:$A$20000,$A11,데이터!$E$2:$E$20000,설정!$B$7)=0),"",$B11/SUMIFS(데이터!$C$2:$C$20000,데이터!$A$2:$A$20000,$A11,데이터!$E$2:$E$20000,설정!$B$7)-1),"")</f>
        <v/>
      </c>
      <c r="J11">
        <f>IF(C11="","",C11+ROW()*0.000000001)</f>
        <v/>
      </c>
      <c r="K11">
        <f>IF(D11="","",D11+ROW()*0.000000001)</f>
        <v/>
      </c>
      <c r="L11">
        <f>IF(E11="","",E11+ROW()*0.000000001)</f>
        <v/>
      </c>
      <c r="M11">
        <f>IF(F11="","",F11+ROW()*0.000000001)</f>
        <v/>
      </c>
      <c r="N11">
        <f>IF(G11="","",G11+ROW()*0.000000001)</f>
        <v/>
      </c>
      <c r="O11">
        <f>IF(H11="","",H11+ROW()*0.000000001)</f>
        <v/>
      </c>
    </row>
    <row r="12">
      <c r="A12" t="inlineStr">
        <is>
          <t>샘플종목11</t>
        </is>
      </c>
      <c r="B12" s="4">
        <f>IF($A12="","",IF(COUNTIFS(데이터!$A$2:$A$20000,$A12,데이터!$E$2:$E$20000,1)=0,"",SUMIFS(데이터!$C$2:$C$20000,데이터!$A$2:$A$20000,$A12,데이터!$E$2:$E$20000,1)))</f>
        <v/>
      </c>
      <c r="C12" s="5">
        <f>IFERROR(IF(OR($B12="",COUNTIFS(데이터!$A$2:$A$20000,$A12,데이터!$E$2:$E$20000,설정!$B$2)=0),"",$B12/SUMIFS(데이터!$C$2:$C$20000,데이터!$A$2:$A$20000,$A12,데이터!$E$2:$E$20000,설정!$B$2)-1),"")</f>
        <v/>
      </c>
      <c r="D12" s="5">
        <f>IFERROR(IF(OR($B12="",COUNTIFS(데이터!$A$2:$A$20000,$A12,데이터!$E$2:$E$20000,설정!$B$3)=0),"",$B12/SUMIFS(데이터!$C$2:$C$20000,데이터!$A$2:$A$20000,$A12,데이터!$E$2:$E$20000,설정!$B$3)-1),"")</f>
        <v/>
      </c>
      <c r="E12" s="5">
        <f>IFERROR(IF(OR($B12="",COUNTIFS(데이터!$A$2:$A$20000,$A12,데이터!$E$2:$E$20000,설정!$B$4)=0),"",$B12/SUMIFS(데이터!$C$2:$C$20000,데이터!$A$2:$A$20000,$A12,데이터!$E$2:$E$20000,설정!$B$4)-1),"")</f>
        <v/>
      </c>
      <c r="F12" s="5">
        <f>IFERROR(IF(OR($B12="",COUNTIFS(데이터!$A$2:$A$20000,$A12,데이터!$E$2:$E$20000,설정!$B$5)=0),"",$B12/SUMIFS(데이터!$C$2:$C$20000,데이터!$A$2:$A$20000,$A12,데이터!$E$2:$E$20000,설정!$B$5)-1),"")</f>
        <v/>
      </c>
      <c r="G12" s="5">
        <f>IFERROR(IF(OR($B12="",COUNTIFS(데이터!$A$2:$A$20000,$A12,데이터!$E$2:$E$20000,설정!$B$6)=0),"",$B12/SUMIFS(데이터!$C$2:$C$20000,데이터!$A$2:$A$20000,$A12,데이터!$E$2:$E$20000,설정!$B$6)-1),"")</f>
        <v/>
      </c>
      <c r="H12" s="5">
        <f>IFERROR(IF(OR($B12="",COUNTIFS(데이터!$A$2:$A$20000,$A12,데이터!$E$2:$E$20000,설정!$B$7)=0),"",$B12/SUMIFS(데이터!$C$2:$C$20000,데이터!$A$2:$A$20000,$A12,데이터!$E$2:$E$20000,설정!$B$7)-1),"")</f>
        <v/>
      </c>
      <c r="J12">
        <f>IF(C12="","",C12+ROW()*0.000000001)</f>
        <v/>
      </c>
      <c r="K12">
        <f>IF(D12="","",D12+ROW()*0.000000001)</f>
        <v/>
      </c>
      <c r="L12">
        <f>IF(E12="","",E12+ROW()*0.000000001)</f>
        <v/>
      </c>
      <c r="M12">
        <f>IF(F12="","",F12+ROW()*0.000000001)</f>
        <v/>
      </c>
      <c r="N12">
        <f>IF(G12="","",G12+ROW()*0.000000001)</f>
        <v/>
      </c>
      <c r="O12">
        <f>IF(H12="","",H12+ROW()*0.000000001)</f>
        <v/>
      </c>
    </row>
    <row r="13">
      <c r="A13" t="inlineStr">
        <is>
          <t>샘플종목12</t>
        </is>
      </c>
      <c r="B13" s="4">
        <f>IF($A13="","",IF(COUNTIFS(데이터!$A$2:$A$20000,$A13,데이터!$E$2:$E$20000,1)=0,"",SUMIFS(데이터!$C$2:$C$20000,데이터!$A$2:$A$20000,$A13,데이터!$E$2:$E$20000,1)))</f>
        <v/>
      </c>
      <c r="C13" s="5">
        <f>IFERROR(IF(OR($B13="",COUNTIFS(데이터!$A$2:$A$20000,$A13,데이터!$E$2:$E$20000,설정!$B$2)=0),"",$B13/SUMIFS(데이터!$C$2:$C$20000,데이터!$A$2:$A$20000,$A13,데이터!$E$2:$E$20000,설정!$B$2)-1),"")</f>
        <v/>
      </c>
      <c r="D13" s="5">
        <f>IFERROR(IF(OR($B13="",COUNTIFS(데이터!$A$2:$A$20000,$A13,데이터!$E$2:$E$20000,설정!$B$3)=0),"",$B13/SUMIFS(데이터!$C$2:$C$20000,데이터!$A$2:$A$20000,$A13,데이터!$E$2:$E$20000,설정!$B$3)-1),"")</f>
        <v/>
      </c>
      <c r="E13" s="5">
        <f>IFERROR(IF(OR($B13="",COUNTIFS(데이터!$A$2:$A$20000,$A13,데이터!$E$2:$E$20000,설정!$B$4)=0),"",$B13/SUMIFS(데이터!$C$2:$C$20000,데이터!$A$2:$A$20000,$A13,데이터!$E$2:$E$20000,설정!$B$4)-1),"")</f>
        <v/>
      </c>
      <c r="F13" s="5">
        <f>IFERROR(IF(OR($B13="",COUNTIFS(데이터!$A$2:$A$20000,$A13,데이터!$E$2:$E$20000,설정!$B$5)=0),"",$B13/SUMIFS(데이터!$C$2:$C$20000,데이터!$A$2:$A$20000,$A13,데이터!$E$2:$E$20000,설정!$B$5)-1),"")</f>
        <v/>
      </c>
      <c r="G13" s="5">
        <f>IFERROR(IF(OR($B13="",COUNTIFS(데이터!$A$2:$A$20000,$A13,데이터!$E$2:$E$20000,설정!$B$6)=0),"",$B13/SUMIFS(데이터!$C$2:$C$20000,데이터!$A$2:$A$20000,$A13,데이터!$E$2:$E$20000,설정!$B$6)-1),"")</f>
        <v/>
      </c>
      <c r="H13" s="5">
        <f>IFERROR(IF(OR($B13="",COUNTIFS(데이터!$A$2:$A$20000,$A13,데이터!$E$2:$E$20000,설정!$B$7)=0),"",$B13/SUMIFS(데이터!$C$2:$C$20000,데이터!$A$2:$A$20000,$A13,데이터!$E$2:$E$20000,설정!$B$7)-1),"")</f>
        <v/>
      </c>
      <c r="J13">
        <f>IF(C13="","",C13+ROW()*0.000000001)</f>
        <v/>
      </c>
      <c r="K13">
        <f>IF(D13="","",D13+ROW()*0.000000001)</f>
        <v/>
      </c>
      <c r="L13">
        <f>IF(E13="","",E13+ROW()*0.000000001)</f>
        <v/>
      </c>
      <c r="M13">
        <f>IF(F13="","",F13+ROW()*0.000000001)</f>
        <v/>
      </c>
      <c r="N13">
        <f>IF(G13="","",G13+ROW()*0.000000001)</f>
        <v/>
      </c>
      <c r="O13">
        <f>IF(H13="","",H13+ROW()*0.000000001)</f>
        <v/>
      </c>
    </row>
    <row r="14">
      <c r="A14" t="inlineStr">
        <is>
          <t>샘플종목13</t>
        </is>
      </c>
      <c r="B14" s="4">
        <f>IF($A14="","",IF(COUNTIFS(데이터!$A$2:$A$20000,$A14,데이터!$E$2:$E$20000,1)=0,"",SUMIFS(데이터!$C$2:$C$20000,데이터!$A$2:$A$20000,$A14,데이터!$E$2:$E$20000,1)))</f>
        <v/>
      </c>
      <c r="C14" s="5">
        <f>IFERROR(IF(OR($B14="",COUNTIFS(데이터!$A$2:$A$20000,$A14,데이터!$E$2:$E$20000,설정!$B$2)=0),"",$B14/SUMIFS(데이터!$C$2:$C$20000,데이터!$A$2:$A$20000,$A14,데이터!$E$2:$E$20000,설정!$B$2)-1),"")</f>
        <v/>
      </c>
      <c r="D14" s="5">
        <f>IFERROR(IF(OR($B14="",COUNTIFS(데이터!$A$2:$A$20000,$A14,데이터!$E$2:$E$20000,설정!$B$3)=0),"",$B14/SUMIFS(데이터!$C$2:$C$20000,데이터!$A$2:$A$20000,$A14,데이터!$E$2:$E$20000,설정!$B$3)-1),"")</f>
        <v/>
      </c>
      <c r="E14" s="5">
        <f>IFERROR(IF(OR($B14="",COUNTIFS(데이터!$A$2:$A$20000,$A14,데이터!$E$2:$E$20000,설정!$B$4)=0),"",$B14/SUMIFS(데이터!$C$2:$C$20000,데이터!$A$2:$A$20000,$A14,데이터!$E$2:$E$20000,설정!$B$4)-1),"")</f>
        <v/>
      </c>
      <c r="F14" s="5">
        <f>IFERROR(IF(OR($B14="",COUNTIFS(데이터!$A$2:$A$20000,$A14,데이터!$E$2:$E$20000,설정!$B$5)=0),"",$B14/SUMIFS(데이터!$C$2:$C$20000,데이터!$A$2:$A$20000,$A14,데이터!$E$2:$E$20000,설정!$B$5)-1),"")</f>
        <v/>
      </c>
      <c r="G14" s="5">
        <f>IFERROR(IF(OR($B14="",COUNTIFS(데이터!$A$2:$A$20000,$A14,데이터!$E$2:$E$20000,설정!$B$6)=0),"",$B14/SUMIFS(데이터!$C$2:$C$20000,데이터!$A$2:$A$20000,$A14,데이터!$E$2:$E$20000,설정!$B$6)-1),"")</f>
        <v/>
      </c>
      <c r="H14" s="5">
        <f>IFERROR(IF(OR($B14="",COUNTIFS(데이터!$A$2:$A$20000,$A14,데이터!$E$2:$E$20000,설정!$B$7)=0),"",$B14/SUMIFS(데이터!$C$2:$C$20000,데이터!$A$2:$A$20000,$A14,데이터!$E$2:$E$20000,설정!$B$7)-1),"")</f>
        <v/>
      </c>
      <c r="J14">
        <f>IF(C14="","",C14+ROW()*0.000000001)</f>
        <v/>
      </c>
      <c r="K14">
        <f>IF(D14="","",D14+ROW()*0.000000001)</f>
        <v/>
      </c>
      <c r="L14">
        <f>IF(E14="","",E14+ROW()*0.000000001)</f>
        <v/>
      </c>
      <c r="M14">
        <f>IF(F14="","",F14+ROW()*0.000000001)</f>
        <v/>
      </c>
      <c r="N14">
        <f>IF(G14="","",G14+ROW()*0.000000001)</f>
        <v/>
      </c>
      <c r="O14">
        <f>IF(H14="","",H14+ROW()*0.000000001)</f>
        <v/>
      </c>
    </row>
    <row r="15">
      <c r="A15" t="inlineStr">
        <is>
          <t>샘플종목14</t>
        </is>
      </c>
      <c r="B15" s="4">
        <f>IF($A15="","",IF(COUNTIFS(데이터!$A$2:$A$20000,$A15,데이터!$E$2:$E$20000,1)=0,"",SUMIFS(데이터!$C$2:$C$20000,데이터!$A$2:$A$20000,$A15,데이터!$E$2:$E$20000,1)))</f>
        <v/>
      </c>
      <c r="C15" s="5">
        <f>IFERROR(IF(OR($B15="",COUNTIFS(데이터!$A$2:$A$20000,$A15,데이터!$E$2:$E$20000,설정!$B$2)=0),"",$B15/SUMIFS(데이터!$C$2:$C$20000,데이터!$A$2:$A$20000,$A15,데이터!$E$2:$E$20000,설정!$B$2)-1),"")</f>
        <v/>
      </c>
      <c r="D15" s="5">
        <f>IFERROR(IF(OR($B15="",COUNTIFS(데이터!$A$2:$A$20000,$A15,데이터!$E$2:$E$20000,설정!$B$3)=0),"",$B15/SUMIFS(데이터!$C$2:$C$20000,데이터!$A$2:$A$20000,$A15,데이터!$E$2:$E$20000,설정!$B$3)-1),"")</f>
        <v/>
      </c>
      <c r="E15" s="5">
        <f>IFERROR(IF(OR($B15="",COUNTIFS(데이터!$A$2:$A$20000,$A15,데이터!$E$2:$E$20000,설정!$B$4)=0),"",$B15/SUMIFS(데이터!$C$2:$C$20000,데이터!$A$2:$A$20000,$A15,데이터!$E$2:$E$20000,설정!$B$4)-1),"")</f>
        <v/>
      </c>
      <c r="F15" s="5">
        <f>IFERROR(IF(OR($B15="",COUNTIFS(데이터!$A$2:$A$20000,$A15,데이터!$E$2:$E$20000,설정!$B$5)=0),"",$B15/SUMIFS(데이터!$C$2:$C$20000,데이터!$A$2:$A$20000,$A15,데이터!$E$2:$E$20000,설정!$B$5)-1),"")</f>
        <v/>
      </c>
      <c r="G15" s="5">
        <f>IFERROR(IF(OR($B15="",COUNTIFS(데이터!$A$2:$A$20000,$A15,데이터!$E$2:$E$20000,설정!$B$6)=0),"",$B15/SUMIFS(데이터!$C$2:$C$20000,데이터!$A$2:$A$20000,$A15,데이터!$E$2:$E$20000,설정!$B$6)-1),"")</f>
        <v/>
      </c>
      <c r="H15" s="5">
        <f>IFERROR(IF(OR($B15="",COUNTIFS(데이터!$A$2:$A$20000,$A15,데이터!$E$2:$E$20000,설정!$B$7)=0),"",$B15/SUMIFS(데이터!$C$2:$C$20000,데이터!$A$2:$A$20000,$A15,데이터!$E$2:$E$20000,설정!$B$7)-1),"")</f>
        <v/>
      </c>
      <c r="J15">
        <f>IF(C15="","",C15+ROW()*0.000000001)</f>
        <v/>
      </c>
      <c r="K15">
        <f>IF(D15="","",D15+ROW()*0.000000001)</f>
        <v/>
      </c>
      <c r="L15">
        <f>IF(E15="","",E15+ROW()*0.000000001)</f>
        <v/>
      </c>
      <c r="M15">
        <f>IF(F15="","",F15+ROW()*0.000000001)</f>
        <v/>
      </c>
      <c r="N15">
        <f>IF(G15="","",G15+ROW()*0.000000001)</f>
        <v/>
      </c>
      <c r="O15">
        <f>IF(H15="","",H15+ROW()*0.000000001)</f>
        <v/>
      </c>
    </row>
    <row r="16">
      <c r="A16" t="inlineStr">
        <is>
          <t>샘플종목15</t>
        </is>
      </c>
      <c r="B16" s="4">
        <f>IF($A16="","",IF(COUNTIFS(데이터!$A$2:$A$20000,$A16,데이터!$E$2:$E$20000,1)=0,"",SUMIFS(데이터!$C$2:$C$20000,데이터!$A$2:$A$20000,$A16,데이터!$E$2:$E$20000,1)))</f>
        <v/>
      </c>
      <c r="C16" s="5">
        <f>IFERROR(IF(OR($B16="",COUNTIFS(데이터!$A$2:$A$20000,$A16,데이터!$E$2:$E$20000,설정!$B$2)=0),"",$B16/SUMIFS(데이터!$C$2:$C$20000,데이터!$A$2:$A$20000,$A16,데이터!$E$2:$E$20000,설정!$B$2)-1),"")</f>
        <v/>
      </c>
      <c r="D16" s="5">
        <f>IFERROR(IF(OR($B16="",COUNTIFS(데이터!$A$2:$A$20000,$A16,데이터!$E$2:$E$20000,설정!$B$3)=0),"",$B16/SUMIFS(데이터!$C$2:$C$20000,데이터!$A$2:$A$20000,$A16,데이터!$E$2:$E$20000,설정!$B$3)-1),"")</f>
        <v/>
      </c>
      <c r="E16" s="5">
        <f>IFERROR(IF(OR($B16="",COUNTIFS(데이터!$A$2:$A$20000,$A16,데이터!$E$2:$E$20000,설정!$B$4)=0),"",$B16/SUMIFS(데이터!$C$2:$C$20000,데이터!$A$2:$A$20000,$A16,데이터!$E$2:$E$20000,설정!$B$4)-1),"")</f>
        <v/>
      </c>
      <c r="F16" s="5">
        <f>IFERROR(IF(OR($B16="",COUNTIFS(데이터!$A$2:$A$20000,$A16,데이터!$E$2:$E$20000,설정!$B$5)=0),"",$B16/SUMIFS(데이터!$C$2:$C$20000,데이터!$A$2:$A$20000,$A16,데이터!$E$2:$E$20000,설정!$B$5)-1),"")</f>
        <v/>
      </c>
      <c r="G16" s="5">
        <f>IFERROR(IF(OR($B16="",COUNTIFS(데이터!$A$2:$A$20000,$A16,데이터!$E$2:$E$20000,설정!$B$6)=0),"",$B16/SUMIFS(데이터!$C$2:$C$20000,데이터!$A$2:$A$20000,$A16,데이터!$E$2:$E$20000,설정!$B$6)-1),"")</f>
        <v/>
      </c>
      <c r="H16" s="5">
        <f>IFERROR(IF(OR($B16="",COUNTIFS(데이터!$A$2:$A$20000,$A16,데이터!$E$2:$E$20000,설정!$B$7)=0),"",$B16/SUMIFS(데이터!$C$2:$C$20000,데이터!$A$2:$A$20000,$A16,데이터!$E$2:$E$20000,설정!$B$7)-1),"")</f>
        <v/>
      </c>
      <c r="J16">
        <f>IF(C16="","",C16+ROW()*0.000000001)</f>
        <v/>
      </c>
      <c r="K16">
        <f>IF(D16="","",D16+ROW()*0.000000001)</f>
        <v/>
      </c>
      <c r="L16">
        <f>IF(E16="","",E16+ROW()*0.000000001)</f>
        <v/>
      </c>
      <c r="M16">
        <f>IF(F16="","",F16+ROW()*0.000000001)</f>
        <v/>
      </c>
      <c r="N16">
        <f>IF(G16="","",G16+ROW()*0.000000001)</f>
        <v/>
      </c>
      <c r="O16">
        <f>IF(H16="","",H16+ROW()*0.000000001)</f>
        <v/>
      </c>
    </row>
    <row r="17">
      <c r="A17" t="inlineStr">
        <is>
          <t>샘플종목16</t>
        </is>
      </c>
      <c r="B17" s="4">
        <f>IF($A17="","",IF(COUNTIFS(데이터!$A$2:$A$20000,$A17,데이터!$E$2:$E$20000,1)=0,"",SUMIFS(데이터!$C$2:$C$20000,데이터!$A$2:$A$20000,$A17,데이터!$E$2:$E$20000,1)))</f>
        <v/>
      </c>
      <c r="C17" s="5">
        <f>IFERROR(IF(OR($B17="",COUNTIFS(데이터!$A$2:$A$20000,$A17,데이터!$E$2:$E$20000,설정!$B$2)=0),"",$B17/SUMIFS(데이터!$C$2:$C$20000,데이터!$A$2:$A$20000,$A17,데이터!$E$2:$E$20000,설정!$B$2)-1),"")</f>
        <v/>
      </c>
      <c r="D17" s="5">
        <f>IFERROR(IF(OR($B17="",COUNTIFS(데이터!$A$2:$A$20000,$A17,데이터!$E$2:$E$20000,설정!$B$3)=0),"",$B17/SUMIFS(데이터!$C$2:$C$20000,데이터!$A$2:$A$20000,$A17,데이터!$E$2:$E$20000,설정!$B$3)-1),"")</f>
        <v/>
      </c>
      <c r="E17" s="5">
        <f>IFERROR(IF(OR($B17="",COUNTIFS(데이터!$A$2:$A$20000,$A17,데이터!$E$2:$E$20000,설정!$B$4)=0),"",$B17/SUMIFS(데이터!$C$2:$C$20000,데이터!$A$2:$A$20000,$A17,데이터!$E$2:$E$20000,설정!$B$4)-1),"")</f>
        <v/>
      </c>
      <c r="F17" s="5">
        <f>IFERROR(IF(OR($B17="",COUNTIFS(데이터!$A$2:$A$20000,$A17,데이터!$E$2:$E$20000,설정!$B$5)=0),"",$B17/SUMIFS(데이터!$C$2:$C$20000,데이터!$A$2:$A$20000,$A17,데이터!$E$2:$E$20000,설정!$B$5)-1),"")</f>
        <v/>
      </c>
      <c r="G17" s="5">
        <f>IFERROR(IF(OR($B17="",COUNTIFS(데이터!$A$2:$A$20000,$A17,데이터!$E$2:$E$20000,설정!$B$6)=0),"",$B17/SUMIFS(데이터!$C$2:$C$20000,데이터!$A$2:$A$20000,$A17,데이터!$E$2:$E$20000,설정!$B$6)-1),"")</f>
        <v/>
      </c>
      <c r="H17" s="5">
        <f>IFERROR(IF(OR($B17="",COUNTIFS(데이터!$A$2:$A$20000,$A17,데이터!$E$2:$E$20000,설정!$B$7)=0),"",$B17/SUMIFS(데이터!$C$2:$C$20000,데이터!$A$2:$A$20000,$A17,데이터!$E$2:$E$20000,설정!$B$7)-1),"")</f>
        <v/>
      </c>
      <c r="J17">
        <f>IF(C17="","",C17+ROW()*0.000000001)</f>
        <v/>
      </c>
      <c r="K17">
        <f>IF(D17="","",D17+ROW()*0.000000001)</f>
        <v/>
      </c>
      <c r="L17">
        <f>IF(E17="","",E17+ROW()*0.000000001)</f>
        <v/>
      </c>
      <c r="M17">
        <f>IF(F17="","",F17+ROW()*0.000000001)</f>
        <v/>
      </c>
      <c r="N17">
        <f>IF(G17="","",G17+ROW()*0.000000001)</f>
        <v/>
      </c>
      <c r="O17">
        <f>IF(H17="","",H17+ROW()*0.000000001)</f>
        <v/>
      </c>
    </row>
    <row r="18">
      <c r="A18" t="inlineStr">
        <is>
          <t>샘플종목17</t>
        </is>
      </c>
      <c r="B18" s="4">
        <f>IF($A18="","",IF(COUNTIFS(데이터!$A$2:$A$20000,$A18,데이터!$E$2:$E$20000,1)=0,"",SUMIFS(데이터!$C$2:$C$20000,데이터!$A$2:$A$20000,$A18,데이터!$E$2:$E$20000,1)))</f>
        <v/>
      </c>
      <c r="C18" s="5">
        <f>IFERROR(IF(OR($B18="",COUNTIFS(데이터!$A$2:$A$20000,$A18,데이터!$E$2:$E$20000,설정!$B$2)=0),"",$B18/SUMIFS(데이터!$C$2:$C$20000,데이터!$A$2:$A$20000,$A18,데이터!$E$2:$E$20000,설정!$B$2)-1),"")</f>
        <v/>
      </c>
      <c r="D18" s="5">
        <f>IFERROR(IF(OR($B18="",COUNTIFS(데이터!$A$2:$A$20000,$A18,데이터!$E$2:$E$20000,설정!$B$3)=0),"",$B18/SUMIFS(데이터!$C$2:$C$20000,데이터!$A$2:$A$20000,$A18,데이터!$E$2:$E$20000,설정!$B$3)-1),"")</f>
        <v/>
      </c>
      <c r="E18" s="5">
        <f>IFERROR(IF(OR($B18="",COUNTIFS(데이터!$A$2:$A$20000,$A18,데이터!$E$2:$E$20000,설정!$B$4)=0),"",$B18/SUMIFS(데이터!$C$2:$C$20000,데이터!$A$2:$A$20000,$A18,데이터!$E$2:$E$20000,설정!$B$4)-1),"")</f>
        <v/>
      </c>
      <c r="F18" s="5">
        <f>IFERROR(IF(OR($B18="",COUNTIFS(데이터!$A$2:$A$20000,$A18,데이터!$E$2:$E$20000,설정!$B$5)=0),"",$B18/SUMIFS(데이터!$C$2:$C$20000,데이터!$A$2:$A$20000,$A18,데이터!$E$2:$E$20000,설정!$B$5)-1),"")</f>
        <v/>
      </c>
      <c r="G18" s="5">
        <f>IFERROR(IF(OR($B18="",COUNTIFS(데이터!$A$2:$A$20000,$A18,데이터!$E$2:$E$20000,설정!$B$6)=0),"",$B18/SUMIFS(데이터!$C$2:$C$20000,데이터!$A$2:$A$20000,$A18,데이터!$E$2:$E$20000,설정!$B$6)-1),"")</f>
        <v/>
      </c>
      <c r="H18" s="5">
        <f>IFERROR(IF(OR($B18="",COUNTIFS(데이터!$A$2:$A$20000,$A18,데이터!$E$2:$E$20000,설정!$B$7)=0),"",$B18/SUMIFS(데이터!$C$2:$C$20000,데이터!$A$2:$A$20000,$A18,데이터!$E$2:$E$20000,설정!$B$7)-1),"")</f>
        <v/>
      </c>
      <c r="J18">
        <f>IF(C18="","",C18+ROW()*0.000000001)</f>
        <v/>
      </c>
      <c r="K18">
        <f>IF(D18="","",D18+ROW()*0.000000001)</f>
        <v/>
      </c>
      <c r="L18">
        <f>IF(E18="","",E18+ROW()*0.000000001)</f>
        <v/>
      </c>
      <c r="M18">
        <f>IF(F18="","",F18+ROW()*0.000000001)</f>
        <v/>
      </c>
      <c r="N18">
        <f>IF(G18="","",G18+ROW()*0.000000001)</f>
        <v/>
      </c>
      <c r="O18">
        <f>IF(H18="","",H18+ROW()*0.000000001)</f>
        <v/>
      </c>
    </row>
    <row r="19">
      <c r="A19" t="inlineStr">
        <is>
          <t>샘플종목18</t>
        </is>
      </c>
      <c r="B19" s="4">
        <f>IF($A19="","",IF(COUNTIFS(데이터!$A$2:$A$20000,$A19,데이터!$E$2:$E$20000,1)=0,"",SUMIFS(데이터!$C$2:$C$20000,데이터!$A$2:$A$20000,$A19,데이터!$E$2:$E$20000,1)))</f>
        <v/>
      </c>
      <c r="C19" s="5">
        <f>IFERROR(IF(OR($B19="",COUNTIFS(데이터!$A$2:$A$20000,$A19,데이터!$E$2:$E$20000,설정!$B$2)=0),"",$B19/SUMIFS(데이터!$C$2:$C$20000,데이터!$A$2:$A$20000,$A19,데이터!$E$2:$E$20000,설정!$B$2)-1),"")</f>
        <v/>
      </c>
      <c r="D19" s="5">
        <f>IFERROR(IF(OR($B19="",COUNTIFS(데이터!$A$2:$A$20000,$A19,데이터!$E$2:$E$20000,설정!$B$3)=0),"",$B19/SUMIFS(데이터!$C$2:$C$20000,데이터!$A$2:$A$20000,$A19,데이터!$E$2:$E$20000,설정!$B$3)-1),"")</f>
        <v/>
      </c>
      <c r="E19" s="5">
        <f>IFERROR(IF(OR($B19="",COUNTIFS(데이터!$A$2:$A$20000,$A19,데이터!$E$2:$E$20000,설정!$B$4)=0),"",$B19/SUMIFS(데이터!$C$2:$C$20000,데이터!$A$2:$A$20000,$A19,데이터!$E$2:$E$20000,설정!$B$4)-1),"")</f>
        <v/>
      </c>
      <c r="F19" s="5">
        <f>IFERROR(IF(OR($B19="",COUNTIFS(데이터!$A$2:$A$20000,$A19,데이터!$E$2:$E$20000,설정!$B$5)=0),"",$B19/SUMIFS(데이터!$C$2:$C$20000,데이터!$A$2:$A$20000,$A19,데이터!$E$2:$E$20000,설정!$B$5)-1),"")</f>
        <v/>
      </c>
      <c r="G19" s="5">
        <f>IFERROR(IF(OR($B19="",COUNTIFS(데이터!$A$2:$A$20000,$A19,데이터!$E$2:$E$20000,설정!$B$6)=0),"",$B19/SUMIFS(데이터!$C$2:$C$20000,데이터!$A$2:$A$20000,$A19,데이터!$E$2:$E$20000,설정!$B$6)-1),"")</f>
        <v/>
      </c>
      <c r="H19" s="5">
        <f>IFERROR(IF(OR($B19="",COUNTIFS(데이터!$A$2:$A$20000,$A19,데이터!$E$2:$E$20000,설정!$B$7)=0),"",$B19/SUMIFS(데이터!$C$2:$C$20000,데이터!$A$2:$A$20000,$A19,데이터!$E$2:$E$20000,설정!$B$7)-1),"")</f>
        <v/>
      </c>
      <c r="J19">
        <f>IF(C19="","",C19+ROW()*0.000000001)</f>
        <v/>
      </c>
      <c r="K19">
        <f>IF(D19="","",D19+ROW()*0.000000001)</f>
        <v/>
      </c>
      <c r="L19">
        <f>IF(E19="","",E19+ROW()*0.000000001)</f>
        <v/>
      </c>
      <c r="M19">
        <f>IF(F19="","",F19+ROW()*0.000000001)</f>
        <v/>
      </c>
      <c r="N19">
        <f>IF(G19="","",G19+ROW()*0.000000001)</f>
        <v/>
      </c>
      <c r="O19">
        <f>IF(H19="","",H19+ROW()*0.000000001)</f>
        <v/>
      </c>
    </row>
    <row r="20">
      <c r="A20" t="inlineStr">
        <is>
          <t>샘플종목19</t>
        </is>
      </c>
      <c r="B20" s="4">
        <f>IF($A20="","",IF(COUNTIFS(데이터!$A$2:$A$20000,$A20,데이터!$E$2:$E$20000,1)=0,"",SUMIFS(데이터!$C$2:$C$20000,데이터!$A$2:$A$20000,$A20,데이터!$E$2:$E$20000,1)))</f>
        <v/>
      </c>
      <c r="C20" s="5">
        <f>IFERROR(IF(OR($B20="",COUNTIFS(데이터!$A$2:$A$20000,$A20,데이터!$E$2:$E$20000,설정!$B$2)=0),"",$B20/SUMIFS(데이터!$C$2:$C$20000,데이터!$A$2:$A$20000,$A20,데이터!$E$2:$E$20000,설정!$B$2)-1),"")</f>
        <v/>
      </c>
      <c r="D20" s="5">
        <f>IFERROR(IF(OR($B20="",COUNTIFS(데이터!$A$2:$A$20000,$A20,데이터!$E$2:$E$20000,설정!$B$3)=0),"",$B20/SUMIFS(데이터!$C$2:$C$20000,데이터!$A$2:$A$20000,$A20,데이터!$E$2:$E$20000,설정!$B$3)-1),"")</f>
        <v/>
      </c>
      <c r="E20" s="5">
        <f>IFERROR(IF(OR($B20="",COUNTIFS(데이터!$A$2:$A$20000,$A20,데이터!$E$2:$E$20000,설정!$B$4)=0),"",$B20/SUMIFS(데이터!$C$2:$C$20000,데이터!$A$2:$A$20000,$A20,데이터!$E$2:$E$20000,설정!$B$4)-1),"")</f>
        <v/>
      </c>
      <c r="F20" s="5">
        <f>IFERROR(IF(OR($B20="",COUNTIFS(데이터!$A$2:$A$20000,$A20,데이터!$E$2:$E$20000,설정!$B$5)=0),"",$B20/SUMIFS(데이터!$C$2:$C$20000,데이터!$A$2:$A$20000,$A20,데이터!$E$2:$E$20000,설정!$B$5)-1),"")</f>
        <v/>
      </c>
      <c r="G20" s="5">
        <f>IFERROR(IF(OR($B20="",COUNTIFS(데이터!$A$2:$A$20000,$A20,데이터!$E$2:$E$20000,설정!$B$6)=0),"",$B20/SUMIFS(데이터!$C$2:$C$20000,데이터!$A$2:$A$20000,$A20,데이터!$E$2:$E$20000,설정!$B$6)-1),"")</f>
        <v/>
      </c>
      <c r="H20" s="5">
        <f>IFERROR(IF(OR($B20="",COUNTIFS(데이터!$A$2:$A$20000,$A20,데이터!$E$2:$E$20000,설정!$B$7)=0),"",$B20/SUMIFS(데이터!$C$2:$C$20000,데이터!$A$2:$A$20000,$A20,데이터!$E$2:$E$20000,설정!$B$7)-1),"")</f>
        <v/>
      </c>
      <c r="J20">
        <f>IF(C20="","",C20+ROW()*0.000000001)</f>
        <v/>
      </c>
      <c r="K20">
        <f>IF(D20="","",D20+ROW()*0.000000001)</f>
        <v/>
      </c>
      <c r="L20">
        <f>IF(E20="","",E20+ROW()*0.000000001)</f>
        <v/>
      </c>
      <c r="M20">
        <f>IF(F20="","",F20+ROW()*0.000000001)</f>
        <v/>
      </c>
      <c r="N20">
        <f>IF(G20="","",G20+ROW()*0.000000001)</f>
        <v/>
      </c>
      <c r="O20">
        <f>IF(H20="","",H20+ROW()*0.000000001)</f>
        <v/>
      </c>
    </row>
    <row r="21">
      <c r="A21" t="inlineStr">
        <is>
          <t>샘플종목20</t>
        </is>
      </c>
      <c r="B21" s="4">
        <f>IF($A21="","",IF(COUNTIFS(데이터!$A$2:$A$20000,$A21,데이터!$E$2:$E$20000,1)=0,"",SUMIFS(데이터!$C$2:$C$20000,데이터!$A$2:$A$20000,$A21,데이터!$E$2:$E$20000,1)))</f>
        <v/>
      </c>
      <c r="C21" s="5">
        <f>IFERROR(IF(OR($B21="",COUNTIFS(데이터!$A$2:$A$20000,$A21,데이터!$E$2:$E$20000,설정!$B$2)=0),"",$B21/SUMIFS(데이터!$C$2:$C$20000,데이터!$A$2:$A$20000,$A21,데이터!$E$2:$E$20000,설정!$B$2)-1),"")</f>
        <v/>
      </c>
      <c r="D21" s="5">
        <f>IFERROR(IF(OR($B21="",COUNTIFS(데이터!$A$2:$A$20000,$A21,데이터!$E$2:$E$20000,설정!$B$3)=0),"",$B21/SUMIFS(데이터!$C$2:$C$20000,데이터!$A$2:$A$20000,$A21,데이터!$E$2:$E$20000,설정!$B$3)-1),"")</f>
        <v/>
      </c>
      <c r="E21" s="5">
        <f>IFERROR(IF(OR($B21="",COUNTIFS(데이터!$A$2:$A$20000,$A21,데이터!$E$2:$E$20000,설정!$B$4)=0),"",$B21/SUMIFS(데이터!$C$2:$C$20000,데이터!$A$2:$A$20000,$A21,데이터!$E$2:$E$20000,설정!$B$4)-1),"")</f>
        <v/>
      </c>
      <c r="F21" s="5">
        <f>IFERROR(IF(OR($B21="",COUNTIFS(데이터!$A$2:$A$20000,$A21,데이터!$E$2:$E$20000,설정!$B$5)=0),"",$B21/SUMIFS(데이터!$C$2:$C$20000,데이터!$A$2:$A$20000,$A21,데이터!$E$2:$E$20000,설정!$B$5)-1),"")</f>
        <v/>
      </c>
      <c r="G21" s="5">
        <f>IFERROR(IF(OR($B21="",COUNTIFS(데이터!$A$2:$A$20000,$A21,데이터!$E$2:$E$20000,설정!$B$6)=0),"",$B21/SUMIFS(데이터!$C$2:$C$20000,데이터!$A$2:$A$20000,$A21,데이터!$E$2:$E$20000,설정!$B$6)-1),"")</f>
        <v/>
      </c>
      <c r="H21" s="5">
        <f>IFERROR(IF(OR($B21="",COUNTIFS(데이터!$A$2:$A$20000,$A21,데이터!$E$2:$E$20000,설정!$B$7)=0),"",$B21/SUMIFS(데이터!$C$2:$C$20000,데이터!$A$2:$A$20000,$A21,데이터!$E$2:$E$20000,설정!$B$7)-1),"")</f>
        <v/>
      </c>
      <c r="J21">
        <f>IF(C21="","",C21+ROW()*0.000000001)</f>
        <v/>
      </c>
      <c r="K21">
        <f>IF(D21="","",D21+ROW()*0.000000001)</f>
        <v/>
      </c>
      <c r="L21">
        <f>IF(E21="","",E21+ROW()*0.000000001)</f>
        <v/>
      </c>
      <c r="M21">
        <f>IF(F21="","",F21+ROW()*0.000000001)</f>
        <v/>
      </c>
      <c r="N21">
        <f>IF(G21="","",G21+ROW()*0.000000001)</f>
        <v/>
      </c>
      <c r="O21">
        <f>IF(H21="","",H21+ROW()*0.000000001)</f>
        <v/>
      </c>
    </row>
    <row r="22">
      <c r="A22" t="inlineStr">
        <is>
          <t>샘플종목21</t>
        </is>
      </c>
      <c r="B22" s="4">
        <f>IF($A22="","",IF(COUNTIFS(데이터!$A$2:$A$20000,$A22,데이터!$E$2:$E$20000,1)=0,"",SUMIFS(데이터!$C$2:$C$20000,데이터!$A$2:$A$20000,$A22,데이터!$E$2:$E$20000,1)))</f>
        <v/>
      </c>
      <c r="C22" s="5">
        <f>IFERROR(IF(OR($B22="",COUNTIFS(데이터!$A$2:$A$20000,$A22,데이터!$E$2:$E$20000,설정!$B$2)=0),"",$B22/SUMIFS(데이터!$C$2:$C$20000,데이터!$A$2:$A$20000,$A22,데이터!$E$2:$E$20000,설정!$B$2)-1),"")</f>
        <v/>
      </c>
      <c r="D22" s="5">
        <f>IFERROR(IF(OR($B22="",COUNTIFS(데이터!$A$2:$A$20000,$A22,데이터!$E$2:$E$20000,설정!$B$3)=0),"",$B22/SUMIFS(데이터!$C$2:$C$20000,데이터!$A$2:$A$20000,$A22,데이터!$E$2:$E$20000,설정!$B$3)-1),"")</f>
        <v/>
      </c>
      <c r="E22" s="5">
        <f>IFERROR(IF(OR($B22="",COUNTIFS(데이터!$A$2:$A$20000,$A22,데이터!$E$2:$E$20000,설정!$B$4)=0),"",$B22/SUMIFS(데이터!$C$2:$C$20000,데이터!$A$2:$A$20000,$A22,데이터!$E$2:$E$20000,설정!$B$4)-1),"")</f>
        <v/>
      </c>
      <c r="F22" s="5">
        <f>IFERROR(IF(OR($B22="",COUNTIFS(데이터!$A$2:$A$20000,$A22,데이터!$E$2:$E$20000,설정!$B$5)=0),"",$B22/SUMIFS(데이터!$C$2:$C$20000,데이터!$A$2:$A$20000,$A22,데이터!$E$2:$E$20000,설정!$B$5)-1),"")</f>
        <v/>
      </c>
      <c r="G22" s="5">
        <f>IFERROR(IF(OR($B22="",COUNTIFS(데이터!$A$2:$A$20000,$A22,데이터!$E$2:$E$20000,설정!$B$6)=0),"",$B22/SUMIFS(데이터!$C$2:$C$20000,데이터!$A$2:$A$20000,$A22,데이터!$E$2:$E$20000,설정!$B$6)-1),"")</f>
        <v/>
      </c>
      <c r="H22" s="5">
        <f>IFERROR(IF(OR($B22="",COUNTIFS(데이터!$A$2:$A$20000,$A22,데이터!$E$2:$E$20000,설정!$B$7)=0),"",$B22/SUMIFS(데이터!$C$2:$C$20000,데이터!$A$2:$A$20000,$A22,데이터!$E$2:$E$20000,설정!$B$7)-1),"")</f>
        <v/>
      </c>
      <c r="J22">
        <f>IF(C22="","",C22+ROW()*0.000000001)</f>
        <v/>
      </c>
      <c r="K22">
        <f>IF(D22="","",D22+ROW()*0.000000001)</f>
        <v/>
      </c>
      <c r="L22">
        <f>IF(E22="","",E22+ROW()*0.000000001)</f>
        <v/>
      </c>
      <c r="M22">
        <f>IF(F22="","",F22+ROW()*0.000000001)</f>
        <v/>
      </c>
      <c r="N22">
        <f>IF(G22="","",G22+ROW()*0.000000001)</f>
        <v/>
      </c>
      <c r="O22">
        <f>IF(H22="","",H22+ROW()*0.000000001)</f>
        <v/>
      </c>
    </row>
    <row r="23">
      <c r="A23" t="inlineStr">
        <is>
          <t>샘플종목22</t>
        </is>
      </c>
      <c r="B23" s="4">
        <f>IF($A23="","",IF(COUNTIFS(데이터!$A$2:$A$20000,$A23,데이터!$E$2:$E$20000,1)=0,"",SUMIFS(데이터!$C$2:$C$20000,데이터!$A$2:$A$20000,$A23,데이터!$E$2:$E$20000,1)))</f>
        <v/>
      </c>
      <c r="C23" s="5">
        <f>IFERROR(IF(OR($B23="",COUNTIFS(데이터!$A$2:$A$20000,$A23,데이터!$E$2:$E$20000,설정!$B$2)=0),"",$B23/SUMIFS(데이터!$C$2:$C$20000,데이터!$A$2:$A$20000,$A23,데이터!$E$2:$E$20000,설정!$B$2)-1),"")</f>
        <v/>
      </c>
      <c r="D23" s="5">
        <f>IFERROR(IF(OR($B23="",COUNTIFS(데이터!$A$2:$A$20000,$A23,데이터!$E$2:$E$20000,설정!$B$3)=0),"",$B23/SUMIFS(데이터!$C$2:$C$20000,데이터!$A$2:$A$20000,$A23,데이터!$E$2:$E$20000,설정!$B$3)-1),"")</f>
        <v/>
      </c>
      <c r="E23" s="5">
        <f>IFERROR(IF(OR($B23="",COUNTIFS(데이터!$A$2:$A$20000,$A23,데이터!$E$2:$E$20000,설정!$B$4)=0),"",$B23/SUMIFS(데이터!$C$2:$C$20000,데이터!$A$2:$A$20000,$A23,데이터!$E$2:$E$20000,설정!$B$4)-1),"")</f>
        <v/>
      </c>
      <c r="F23" s="5">
        <f>IFERROR(IF(OR($B23="",COUNTIFS(데이터!$A$2:$A$20000,$A23,데이터!$E$2:$E$20000,설정!$B$5)=0),"",$B23/SUMIFS(데이터!$C$2:$C$20000,데이터!$A$2:$A$20000,$A23,데이터!$E$2:$E$20000,설정!$B$5)-1),"")</f>
        <v/>
      </c>
      <c r="G23" s="5">
        <f>IFERROR(IF(OR($B23="",COUNTIFS(데이터!$A$2:$A$20000,$A23,데이터!$E$2:$E$20000,설정!$B$6)=0),"",$B23/SUMIFS(데이터!$C$2:$C$20000,데이터!$A$2:$A$20000,$A23,데이터!$E$2:$E$20000,설정!$B$6)-1),"")</f>
        <v/>
      </c>
      <c r="H23" s="5">
        <f>IFERROR(IF(OR($B23="",COUNTIFS(데이터!$A$2:$A$20000,$A23,데이터!$E$2:$E$20000,설정!$B$7)=0),"",$B23/SUMIFS(데이터!$C$2:$C$20000,데이터!$A$2:$A$20000,$A23,데이터!$E$2:$E$20000,설정!$B$7)-1),"")</f>
        <v/>
      </c>
      <c r="J23">
        <f>IF(C23="","",C23+ROW()*0.000000001)</f>
        <v/>
      </c>
      <c r="K23">
        <f>IF(D23="","",D23+ROW()*0.000000001)</f>
        <v/>
      </c>
      <c r="L23">
        <f>IF(E23="","",E23+ROW()*0.000000001)</f>
        <v/>
      </c>
      <c r="M23">
        <f>IF(F23="","",F23+ROW()*0.000000001)</f>
        <v/>
      </c>
      <c r="N23">
        <f>IF(G23="","",G23+ROW()*0.000000001)</f>
        <v/>
      </c>
      <c r="O23">
        <f>IF(H23="","",H23+ROW()*0.000000001)</f>
        <v/>
      </c>
    </row>
    <row r="24">
      <c r="A24" t="inlineStr">
        <is>
          <t>샘플종목23</t>
        </is>
      </c>
      <c r="B24" s="4">
        <f>IF($A24="","",IF(COUNTIFS(데이터!$A$2:$A$20000,$A24,데이터!$E$2:$E$20000,1)=0,"",SUMIFS(데이터!$C$2:$C$20000,데이터!$A$2:$A$20000,$A24,데이터!$E$2:$E$20000,1)))</f>
        <v/>
      </c>
      <c r="C24" s="5">
        <f>IFERROR(IF(OR($B24="",COUNTIFS(데이터!$A$2:$A$20000,$A24,데이터!$E$2:$E$20000,설정!$B$2)=0),"",$B24/SUMIFS(데이터!$C$2:$C$20000,데이터!$A$2:$A$20000,$A24,데이터!$E$2:$E$20000,설정!$B$2)-1),"")</f>
        <v/>
      </c>
      <c r="D24" s="5">
        <f>IFERROR(IF(OR($B24="",COUNTIFS(데이터!$A$2:$A$20000,$A24,데이터!$E$2:$E$20000,설정!$B$3)=0),"",$B24/SUMIFS(데이터!$C$2:$C$20000,데이터!$A$2:$A$20000,$A24,데이터!$E$2:$E$20000,설정!$B$3)-1),"")</f>
        <v/>
      </c>
      <c r="E24" s="5">
        <f>IFERROR(IF(OR($B24="",COUNTIFS(데이터!$A$2:$A$20000,$A24,데이터!$E$2:$E$20000,설정!$B$4)=0),"",$B24/SUMIFS(데이터!$C$2:$C$20000,데이터!$A$2:$A$20000,$A24,데이터!$E$2:$E$20000,설정!$B$4)-1),"")</f>
        <v/>
      </c>
      <c r="F24" s="5">
        <f>IFERROR(IF(OR($B24="",COUNTIFS(데이터!$A$2:$A$20000,$A24,데이터!$E$2:$E$20000,설정!$B$5)=0),"",$B24/SUMIFS(데이터!$C$2:$C$20000,데이터!$A$2:$A$20000,$A24,데이터!$E$2:$E$20000,설정!$B$5)-1),"")</f>
        <v/>
      </c>
      <c r="G24" s="5">
        <f>IFERROR(IF(OR($B24="",COUNTIFS(데이터!$A$2:$A$20000,$A24,데이터!$E$2:$E$20000,설정!$B$6)=0),"",$B24/SUMIFS(데이터!$C$2:$C$20000,데이터!$A$2:$A$20000,$A24,데이터!$E$2:$E$20000,설정!$B$6)-1),"")</f>
        <v/>
      </c>
      <c r="H24" s="5">
        <f>IFERROR(IF(OR($B24="",COUNTIFS(데이터!$A$2:$A$20000,$A24,데이터!$E$2:$E$20000,설정!$B$7)=0),"",$B24/SUMIFS(데이터!$C$2:$C$20000,데이터!$A$2:$A$20000,$A24,데이터!$E$2:$E$20000,설정!$B$7)-1),"")</f>
        <v/>
      </c>
      <c r="J24">
        <f>IF(C24="","",C24+ROW()*0.000000001)</f>
        <v/>
      </c>
      <c r="K24">
        <f>IF(D24="","",D24+ROW()*0.000000001)</f>
        <v/>
      </c>
      <c r="L24">
        <f>IF(E24="","",E24+ROW()*0.000000001)</f>
        <v/>
      </c>
      <c r="M24">
        <f>IF(F24="","",F24+ROW()*0.000000001)</f>
        <v/>
      </c>
      <c r="N24">
        <f>IF(G24="","",G24+ROW()*0.000000001)</f>
        <v/>
      </c>
      <c r="O24">
        <f>IF(H24="","",H24+ROW()*0.000000001)</f>
        <v/>
      </c>
    </row>
    <row r="25">
      <c r="A25" t="inlineStr">
        <is>
          <t>샘플종목24</t>
        </is>
      </c>
      <c r="B25" s="4">
        <f>IF($A25="","",IF(COUNTIFS(데이터!$A$2:$A$20000,$A25,데이터!$E$2:$E$20000,1)=0,"",SUMIFS(데이터!$C$2:$C$20000,데이터!$A$2:$A$20000,$A25,데이터!$E$2:$E$20000,1)))</f>
        <v/>
      </c>
      <c r="C25" s="5">
        <f>IFERROR(IF(OR($B25="",COUNTIFS(데이터!$A$2:$A$20000,$A25,데이터!$E$2:$E$20000,설정!$B$2)=0),"",$B25/SUMIFS(데이터!$C$2:$C$20000,데이터!$A$2:$A$20000,$A25,데이터!$E$2:$E$20000,설정!$B$2)-1),"")</f>
        <v/>
      </c>
      <c r="D25" s="5">
        <f>IFERROR(IF(OR($B25="",COUNTIFS(데이터!$A$2:$A$20000,$A25,데이터!$E$2:$E$20000,설정!$B$3)=0),"",$B25/SUMIFS(데이터!$C$2:$C$20000,데이터!$A$2:$A$20000,$A25,데이터!$E$2:$E$20000,설정!$B$3)-1),"")</f>
        <v/>
      </c>
      <c r="E25" s="5">
        <f>IFERROR(IF(OR($B25="",COUNTIFS(데이터!$A$2:$A$20000,$A25,데이터!$E$2:$E$20000,설정!$B$4)=0),"",$B25/SUMIFS(데이터!$C$2:$C$20000,데이터!$A$2:$A$20000,$A25,데이터!$E$2:$E$20000,설정!$B$4)-1),"")</f>
        <v/>
      </c>
      <c r="F25" s="5">
        <f>IFERROR(IF(OR($B25="",COUNTIFS(데이터!$A$2:$A$20000,$A25,데이터!$E$2:$E$20000,설정!$B$5)=0),"",$B25/SUMIFS(데이터!$C$2:$C$20000,데이터!$A$2:$A$20000,$A25,데이터!$E$2:$E$20000,설정!$B$5)-1),"")</f>
        <v/>
      </c>
      <c r="G25" s="5">
        <f>IFERROR(IF(OR($B25="",COUNTIFS(데이터!$A$2:$A$20000,$A25,데이터!$E$2:$E$20000,설정!$B$6)=0),"",$B25/SUMIFS(데이터!$C$2:$C$20000,데이터!$A$2:$A$20000,$A25,데이터!$E$2:$E$20000,설정!$B$6)-1),"")</f>
        <v/>
      </c>
      <c r="H25" s="5">
        <f>IFERROR(IF(OR($B25="",COUNTIFS(데이터!$A$2:$A$20000,$A25,데이터!$E$2:$E$20000,설정!$B$7)=0),"",$B25/SUMIFS(데이터!$C$2:$C$20000,데이터!$A$2:$A$20000,$A25,데이터!$E$2:$E$20000,설정!$B$7)-1),"")</f>
        <v/>
      </c>
      <c r="J25">
        <f>IF(C25="","",C25+ROW()*0.000000001)</f>
        <v/>
      </c>
      <c r="K25">
        <f>IF(D25="","",D25+ROW()*0.000000001)</f>
        <v/>
      </c>
      <c r="L25">
        <f>IF(E25="","",E25+ROW()*0.000000001)</f>
        <v/>
      </c>
      <c r="M25">
        <f>IF(F25="","",F25+ROW()*0.000000001)</f>
        <v/>
      </c>
      <c r="N25">
        <f>IF(G25="","",G25+ROW()*0.000000001)</f>
        <v/>
      </c>
      <c r="O25">
        <f>IF(H25="","",H25+ROW()*0.000000001)</f>
        <v/>
      </c>
    </row>
    <row r="26">
      <c r="A26" t="inlineStr">
        <is>
          <t>샘플종목25</t>
        </is>
      </c>
      <c r="B26" s="4">
        <f>IF($A26="","",IF(COUNTIFS(데이터!$A$2:$A$20000,$A26,데이터!$E$2:$E$20000,1)=0,"",SUMIFS(데이터!$C$2:$C$20000,데이터!$A$2:$A$20000,$A26,데이터!$E$2:$E$20000,1)))</f>
        <v/>
      </c>
      <c r="C26" s="5">
        <f>IFERROR(IF(OR($B26="",COUNTIFS(데이터!$A$2:$A$20000,$A26,데이터!$E$2:$E$20000,설정!$B$2)=0),"",$B26/SUMIFS(데이터!$C$2:$C$20000,데이터!$A$2:$A$20000,$A26,데이터!$E$2:$E$20000,설정!$B$2)-1),"")</f>
        <v/>
      </c>
      <c r="D26" s="5">
        <f>IFERROR(IF(OR($B26="",COUNTIFS(데이터!$A$2:$A$20000,$A26,데이터!$E$2:$E$20000,설정!$B$3)=0),"",$B26/SUMIFS(데이터!$C$2:$C$20000,데이터!$A$2:$A$20000,$A26,데이터!$E$2:$E$20000,설정!$B$3)-1),"")</f>
        <v/>
      </c>
      <c r="E26" s="5">
        <f>IFERROR(IF(OR($B26="",COUNTIFS(데이터!$A$2:$A$20000,$A26,데이터!$E$2:$E$20000,설정!$B$4)=0),"",$B26/SUMIFS(데이터!$C$2:$C$20000,데이터!$A$2:$A$20000,$A26,데이터!$E$2:$E$20000,설정!$B$4)-1),"")</f>
        <v/>
      </c>
      <c r="F26" s="5">
        <f>IFERROR(IF(OR($B26="",COUNTIFS(데이터!$A$2:$A$20000,$A26,데이터!$E$2:$E$20000,설정!$B$5)=0),"",$B26/SUMIFS(데이터!$C$2:$C$20000,데이터!$A$2:$A$20000,$A26,데이터!$E$2:$E$20000,설정!$B$5)-1),"")</f>
        <v/>
      </c>
      <c r="G26" s="5">
        <f>IFERROR(IF(OR($B26="",COUNTIFS(데이터!$A$2:$A$20000,$A26,데이터!$E$2:$E$20000,설정!$B$6)=0),"",$B26/SUMIFS(데이터!$C$2:$C$20000,데이터!$A$2:$A$20000,$A26,데이터!$E$2:$E$20000,설정!$B$6)-1),"")</f>
        <v/>
      </c>
      <c r="H26" s="5">
        <f>IFERROR(IF(OR($B26="",COUNTIFS(데이터!$A$2:$A$20000,$A26,데이터!$E$2:$E$20000,설정!$B$7)=0),"",$B26/SUMIFS(데이터!$C$2:$C$20000,데이터!$A$2:$A$20000,$A26,데이터!$E$2:$E$20000,설정!$B$7)-1),"")</f>
        <v/>
      </c>
      <c r="J26">
        <f>IF(C26="","",C26+ROW()*0.000000001)</f>
        <v/>
      </c>
      <c r="K26">
        <f>IF(D26="","",D26+ROW()*0.000000001)</f>
        <v/>
      </c>
      <c r="L26">
        <f>IF(E26="","",E26+ROW()*0.000000001)</f>
        <v/>
      </c>
      <c r="M26">
        <f>IF(F26="","",F26+ROW()*0.000000001)</f>
        <v/>
      </c>
      <c r="N26">
        <f>IF(G26="","",G26+ROW()*0.000000001)</f>
        <v/>
      </c>
      <c r="O26">
        <f>IF(H26="","",H26+ROW()*0.000000001)</f>
        <v/>
      </c>
    </row>
    <row r="27">
      <c r="A27" t="inlineStr">
        <is>
          <t>샘플종목26</t>
        </is>
      </c>
      <c r="B27" s="4">
        <f>IF($A27="","",IF(COUNTIFS(데이터!$A$2:$A$20000,$A27,데이터!$E$2:$E$20000,1)=0,"",SUMIFS(데이터!$C$2:$C$20000,데이터!$A$2:$A$20000,$A27,데이터!$E$2:$E$20000,1)))</f>
        <v/>
      </c>
      <c r="C27" s="5">
        <f>IFERROR(IF(OR($B27="",COUNTIFS(데이터!$A$2:$A$20000,$A27,데이터!$E$2:$E$20000,설정!$B$2)=0),"",$B27/SUMIFS(데이터!$C$2:$C$20000,데이터!$A$2:$A$20000,$A27,데이터!$E$2:$E$20000,설정!$B$2)-1),"")</f>
        <v/>
      </c>
      <c r="D27" s="5">
        <f>IFERROR(IF(OR($B27="",COUNTIFS(데이터!$A$2:$A$20000,$A27,데이터!$E$2:$E$20000,설정!$B$3)=0),"",$B27/SUMIFS(데이터!$C$2:$C$20000,데이터!$A$2:$A$20000,$A27,데이터!$E$2:$E$20000,설정!$B$3)-1),"")</f>
        <v/>
      </c>
      <c r="E27" s="5">
        <f>IFERROR(IF(OR($B27="",COUNTIFS(데이터!$A$2:$A$20000,$A27,데이터!$E$2:$E$20000,설정!$B$4)=0),"",$B27/SUMIFS(데이터!$C$2:$C$20000,데이터!$A$2:$A$20000,$A27,데이터!$E$2:$E$20000,설정!$B$4)-1),"")</f>
        <v/>
      </c>
      <c r="F27" s="5">
        <f>IFERROR(IF(OR($B27="",COUNTIFS(데이터!$A$2:$A$20000,$A27,데이터!$E$2:$E$20000,설정!$B$5)=0),"",$B27/SUMIFS(데이터!$C$2:$C$20000,데이터!$A$2:$A$20000,$A27,데이터!$E$2:$E$20000,설정!$B$5)-1),"")</f>
        <v/>
      </c>
      <c r="G27" s="5">
        <f>IFERROR(IF(OR($B27="",COUNTIFS(데이터!$A$2:$A$20000,$A27,데이터!$E$2:$E$20000,설정!$B$6)=0),"",$B27/SUMIFS(데이터!$C$2:$C$20000,데이터!$A$2:$A$20000,$A27,데이터!$E$2:$E$20000,설정!$B$6)-1),"")</f>
        <v/>
      </c>
      <c r="H27" s="5">
        <f>IFERROR(IF(OR($B27="",COUNTIFS(데이터!$A$2:$A$20000,$A27,데이터!$E$2:$E$20000,설정!$B$7)=0),"",$B27/SUMIFS(데이터!$C$2:$C$20000,데이터!$A$2:$A$20000,$A27,데이터!$E$2:$E$20000,설정!$B$7)-1),"")</f>
        <v/>
      </c>
      <c r="J27">
        <f>IF(C27="","",C27+ROW()*0.000000001)</f>
        <v/>
      </c>
      <c r="K27">
        <f>IF(D27="","",D27+ROW()*0.000000001)</f>
        <v/>
      </c>
      <c r="L27">
        <f>IF(E27="","",E27+ROW()*0.000000001)</f>
        <v/>
      </c>
      <c r="M27">
        <f>IF(F27="","",F27+ROW()*0.000000001)</f>
        <v/>
      </c>
      <c r="N27">
        <f>IF(G27="","",G27+ROW()*0.000000001)</f>
        <v/>
      </c>
      <c r="O27">
        <f>IF(H27="","",H27+ROW()*0.000000001)</f>
        <v/>
      </c>
    </row>
    <row r="28">
      <c r="A28" t="inlineStr">
        <is>
          <t>샘플종목27</t>
        </is>
      </c>
      <c r="B28" s="4">
        <f>IF($A28="","",IF(COUNTIFS(데이터!$A$2:$A$20000,$A28,데이터!$E$2:$E$20000,1)=0,"",SUMIFS(데이터!$C$2:$C$20000,데이터!$A$2:$A$20000,$A28,데이터!$E$2:$E$20000,1)))</f>
        <v/>
      </c>
      <c r="C28" s="5">
        <f>IFERROR(IF(OR($B28="",COUNTIFS(데이터!$A$2:$A$20000,$A28,데이터!$E$2:$E$20000,설정!$B$2)=0),"",$B28/SUMIFS(데이터!$C$2:$C$20000,데이터!$A$2:$A$20000,$A28,데이터!$E$2:$E$20000,설정!$B$2)-1),"")</f>
        <v/>
      </c>
      <c r="D28" s="5">
        <f>IFERROR(IF(OR($B28="",COUNTIFS(데이터!$A$2:$A$20000,$A28,데이터!$E$2:$E$20000,설정!$B$3)=0),"",$B28/SUMIFS(데이터!$C$2:$C$20000,데이터!$A$2:$A$20000,$A28,데이터!$E$2:$E$20000,설정!$B$3)-1),"")</f>
        <v/>
      </c>
      <c r="E28" s="5">
        <f>IFERROR(IF(OR($B28="",COUNTIFS(데이터!$A$2:$A$20000,$A28,데이터!$E$2:$E$20000,설정!$B$4)=0),"",$B28/SUMIFS(데이터!$C$2:$C$20000,데이터!$A$2:$A$20000,$A28,데이터!$E$2:$E$20000,설정!$B$4)-1),"")</f>
        <v/>
      </c>
      <c r="F28" s="5">
        <f>IFERROR(IF(OR($B28="",COUNTIFS(데이터!$A$2:$A$20000,$A28,데이터!$E$2:$E$20000,설정!$B$5)=0),"",$B28/SUMIFS(데이터!$C$2:$C$20000,데이터!$A$2:$A$20000,$A28,데이터!$E$2:$E$20000,설정!$B$5)-1),"")</f>
        <v/>
      </c>
      <c r="G28" s="5">
        <f>IFERROR(IF(OR($B28="",COUNTIFS(데이터!$A$2:$A$20000,$A28,데이터!$E$2:$E$20000,설정!$B$6)=0),"",$B28/SUMIFS(데이터!$C$2:$C$20000,데이터!$A$2:$A$20000,$A28,데이터!$E$2:$E$20000,설정!$B$6)-1),"")</f>
        <v/>
      </c>
      <c r="H28" s="5">
        <f>IFERROR(IF(OR($B28="",COUNTIFS(데이터!$A$2:$A$20000,$A28,데이터!$E$2:$E$20000,설정!$B$7)=0),"",$B28/SUMIFS(데이터!$C$2:$C$20000,데이터!$A$2:$A$20000,$A28,데이터!$E$2:$E$20000,설정!$B$7)-1),"")</f>
        <v/>
      </c>
      <c r="J28">
        <f>IF(C28="","",C28+ROW()*0.000000001)</f>
        <v/>
      </c>
      <c r="K28">
        <f>IF(D28="","",D28+ROW()*0.000000001)</f>
        <v/>
      </c>
      <c r="L28">
        <f>IF(E28="","",E28+ROW()*0.000000001)</f>
        <v/>
      </c>
      <c r="M28">
        <f>IF(F28="","",F28+ROW()*0.000000001)</f>
        <v/>
      </c>
      <c r="N28">
        <f>IF(G28="","",G28+ROW()*0.000000001)</f>
        <v/>
      </c>
      <c r="O28">
        <f>IF(H28="","",H28+ROW()*0.000000001)</f>
        <v/>
      </c>
    </row>
    <row r="29">
      <c r="A29" t="inlineStr">
        <is>
          <t>샘플종목28</t>
        </is>
      </c>
      <c r="B29" s="4">
        <f>IF($A29="","",IF(COUNTIFS(데이터!$A$2:$A$20000,$A29,데이터!$E$2:$E$20000,1)=0,"",SUMIFS(데이터!$C$2:$C$20000,데이터!$A$2:$A$20000,$A29,데이터!$E$2:$E$20000,1)))</f>
        <v/>
      </c>
      <c r="C29" s="5">
        <f>IFERROR(IF(OR($B29="",COUNTIFS(데이터!$A$2:$A$20000,$A29,데이터!$E$2:$E$20000,설정!$B$2)=0),"",$B29/SUMIFS(데이터!$C$2:$C$20000,데이터!$A$2:$A$20000,$A29,데이터!$E$2:$E$20000,설정!$B$2)-1),"")</f>
        <v/>
      </c>
      <c r="D29" s="5">
        <f>IFERROR(IF(OR($B29="",COUNTIFS(데이터!$A$2:$A$20000,$A29,데이터!$E$2:$E$20000,설정!$B$3)=0),"",$B29/SUMIFS(데이터!$C$2:$C$20000,데이터!$A$2:$A$20000,$A29,데이터!$E$2:$E$20000,설정!$B$3)-1),"")</f>
        <v/>
      </c>
      <c r="E29" s="5">
        <f>IFERROR(IF(OR($B29="",COUNTIFS(데이터!$A$2:$A$20000,$A29,데이터!$E$2:$E$20000,설정!$B$4)=0),"",$B29/SUMIFS(데이터!$C$2:$C$20000,데이터!$A$2:$A$20000,$A29,데이터!$E$2:$E$20000,설정!$B$4)-1),"")</f>
        <v/>
      </c>
      <c r="F29" s="5">
        <f>IFERROR(IF(OR($B29="",COUNTIFS(데이터!$A$2:$A$20000,$A29,데이터!$E$2:$E$20000,설정!$B$5)=0),"",$B29/SUMIFS(데이터!$C$2:$C$20000,데이터!$A$2:$A$20000,$A29,데이터!$E$2:$E$20000,설정!$B$5)-1),"")</f>
        <v/>
      </c>
      <c r="G29" s="5">
        <f>IFERROR(IF(OR($B29="",COUNTIFS(데이터!$A$2:$A$20000,$A29,데이터!$E$2:$E$20000,설정!$B$6)=0),"",$B29/SUMIFS(데이터!$C$2:$C$20000,데이터!$A$2:$A$20000,$A29,데이터!$E$2:$E$20000,설정!$B$6)-1),"")</f>
        <v/>
      </c>
      <c r="H29" s="5">
        <f>IFERROR(IF(OR($B29="",COUNTIFS(데이터!$A$2:$A$20000,$A29,데이터!$E$2:$E$20000,설정!$B$7)=0),"",$B29/SUMIFS(데이터!$C$2:$C$20000,데이터!$A$2:$A$20000,$A29,데이터!$E$2:$E$20000,설정!$B$7)-1),"")</f>
        <v/>
      </c>
      <c r="J29">
        <f>IF(C29="","",C29+ROW()*0.000000001)</f>
        <v/>
      </c>
      <c r="K29">
        <f>IF(D29="","",D29+ROW()*0.000000001)</f>
        <v/>
      </c>
      <c r="L29">
        <f>IF(E29="","",E29+ROW()*0.000000001)</f>
        <v/>
      </c>
      <c r="M29">
        <f>IF(F29="","",F29+ROW()*0.000000001)</f>
        <v/>
      </c>
      <c r="N29">
        <f>IF(G29="","",G29+ROW()*0.000000001)</f>
        <v/>
      </c>
      <c r="O29">
        <f>IF(H29="","",H29+ROW()*0.000000001)</f>
        <v/>
      </c>
    </row>
    <row r="30">
      <c r="A30" t="inlineStr">
        <is>
          <t>샘플종목29</t>
        </is>
      </c>
      <c r="B30" s="4">
        <f>IF($A30="","",IF(COUNTIFS(데이터!$A$2:$A$20000,$A30,데이터!$E$2:$E$20000,1)=0,"",SUMIFS(데이터!$C$2:$C$20000,데이터!$A$2:$A$20000,$A30,데이터!$E$2:$E$20000,1)))</f>
        <v/>
      </c>
      <c r="C30" s="5">
        <f>IFERROR(IF(OR($B30="",COUNTIFS(데이터!$A$2:$A$20000,$A30,데이터!$E$2:$E$20000,설정!$B$2)=0),"",$B30/SUMIFS(데이터!$C$2:$C$20000,데이터!$A$2:$A$20000,$A30,데이터!$E$2:$E$20000,설정!$B$2)-1),"")</f>
        <v/>
      </c>
      <c r="D30" s="5">
        <f>IFERROR(IF(OR($B30="",COUNTIFS(데이터!$A$2:$A$20000,$A30,데이터!$E$2:$E$20000,설정!$B$3)=0),"",$B30/SUMIFS(데이터!$C$2:$C$20000,데이터!$A$2:$A$20000,$A30,데이터!$E$2:$E$20000,설정!$B$3)-1),"")</f>
        <v/>
      </c>
      <c r="E30" s="5">
        <f>IFERROR(IF(OR($B30="",COUNTIFS(데이터!$A$2:$A$20000,$A30,데이터!$E$2:$E$20000,설정!$B$4)=0),"",$B30/SUMIFS(데이터!$C$2:$C$20000,데이터!$A$2:$A$20000,$A30,데이터!$E$2:$E$20000,설정!$B$4)-1),"")</f>
        <v/>
      </c>
      <c r="F30" s="5">
        <f>IFERROR(IF(OR($B30="",COUNTIFS(데이터!$A$2:$A$20000,$A30,데이터!$E$2:$E$20000,설정!$B$5)=0),"",$B30/SUMIFS(데이터!$C$2:$C$20000,데이터!$A$2:$A$20000,$A30,데이터!$E$2:$E$20000,설정!$B$5)-1),"")</f>
        <v/>
      </c>
      <c r="G30" s="5">
        <f>IFERROR(IF(OR($B30="",COUNTIFS(데이터!$A$2:$A$20000,$A30,데이터!$E$2:$E$20000,설정!$B$6)=0),"",$B30/SUMIFS(데이터!$C$2:$C$20000,데이터!$A$2:$A$20000,$A30,데이터!$E$2:$E$20000,설정!$B$6)-1),"")</f>
        <v/>
      </c>
      <c r="H30" s="5">
        <f>IFERROR(IF(OR($B30="",COUNTIFS(데이터!$A$2:$A$20000,$A30,데이터!$E$2:$E$20000,설정!$B$7)=0),"",$B30/SUMIFS(데이터!$C$2:$C$20000,데이터!$A$2:$A$20000,$A30,데이터!$E$2:$E$20000,설정!$B$7)-1),"")</f>
        <v/>
      </c>
      <c r="J30">
        <f>IF(C30="","",C30+ROW()*0.000000001)</f>
        <v/>
      </c>
      <c r="K30">
        <f>IF(D30="","",D30+ROW()*0.000000001)</f>
        <v/>
      </c>
      <c r="L30">
        <f>IF(E30="","",E30+ROW()*0.000000001)</f>
        <v/>
      </c>
      <c r="M30">
        <f>IF(F30="","",F30+ROW()*0.000000001)</f>
        <v/>
      </c>
      <c r="N30">
        <f>IF(G30="","",G30+ROW()*0.000000001)</f>
        <v/>
      </c>
      <c r="O30">
        <f>IF(H30="","",H30+ROW()*0.000000001)</f>
        <v/>
      </c>
    </row>
    <row r="31">
      <c r="A31" t="inlineStr">
        <is>
          <t>샘플종목30</t>
        </is>
      </c>
      <c r="B31" s="4">
        <f>IF($A31="","",IF(COUNTIFS(데이터!$A$2:$A$20000,$A31,데이터!$E$2:$E$20000,1)=0,"",SUMIFS(데이터!$C$2:$C$20000,데이터!$A$2:$A$20000,$A31,데이터!$E$2:$E$20000,1)))</f>
        <v/>
      </c>
      <c r="C31" s="5">
        <f>IFERROR(IF(OR($B31="",COUNTIFS(데이터!$A$2:$A$20000,$A31,데이터!$E$2:$E$20000,설정!$B$2)=0),"",$B31/SUMIFS(데이터!$C$2:$C$20000,데이터!$A$2:$A$20000,$A31,데이터!$E$2:$E$20000,설정!$B$2)-1),"")</f>
        <v/>
      </c>
      <c r="D31" s="5">
        <f>IFERROR(IF(OR($B31="",COUNTIFS(데이터!$A$2:$A$20000,$A31,데이터!$E$2:$E$20000,설정!$B$3)=0),"",$B31/SUMIFS(데이터!$C$2:$C$20000,데이터!$A$2:$A$20000,$A31,데이터!$E$2:$E$20000,설정!$B$3)-1),"")</f>
        <v/>
      </c>
      <c r="E31" s="5">
        <f>IFERROR(IF(OR($B31="",COUNTIFS(데이터!$A$2:$A$20000,$A31,데이터!$E$2:$E$20000,설정!$B$4)=0),"",$B31/SUMIFS(데이터!$C$2:$C$20000,데이터!$A$2:$A$20000,$A31,데이터!$E$2:$E$20000,설정!$B$4)-1),"")</f>
        <v/>
      </c>
      <c r="F31" s="5">
        <f>IFERROR(IF(OR($B31="",COUNTIFS(데이터!$A$2:$A$20000,$A31,데이터!$E$2:$E$20000,설정!$B$5)=0),"",$B31/SUMIFS(데이터!$C$2:$C$20000,데이터!$A$2:$A$20000,$A31,데이터!$E$2:$E$20000,설정!$B$5)-1),"")</f>
        <v/>
      </c>
      <c r="G31" s="5">
        <f>IFERROR(IF(OR($B31="",COUNTIFS(데이터!$A$2:$A$20000,$A31,데이터!$E$2:$E$20000,설정!$B$6)=0),"",$B31/SUMIFS(데이터!$C$2:$C$20000,데이터!$A$2:$A$20000,$A31,데이터!$E$2:$E$20000,설정!$B$6)-1),"")</f>
        <v/>
      </c>
      <c r="H31" s="5">
        <f>IFERROR(IF(OR($B31="",COUNTIFS(데이터!$A$2:$A$20000,$A31,데이터!$E$2:$E$20000,설정!$B$7)=0),"",$B31/SUMIFS(데이터!$C$2:$C$20000,데이터!$A$2:$A$20000,$A31,데이터!$E$2:$E$20000,설정!$B$7)-1),"")</f>
        <v/>
      </c>
      <c r="J31">
        <f>IF(C31="","",C31+ROW()*0.000000001)</f>
        <v/>
      </c>
      <c r="K31">
        <f>IF(D31="","",D31+ROW()*0.000000001)</f>
        <v/>
      </c>
      <c r="L31">
        <f>IF(E31="","",E31+ROW()*0.000000001)</f>
        <v/>
      </c>
      <c r="M31">
        <f>IF(F31="","",F31+ROW()*0.000000001)</f>
        <v/>
      </c>
      <c r="N31">
        <f>IF(G31="","",G31+ROW()*0.000000001)</f>
        <v/>
      </c>
      <c r="O31">
        <f>IF(H31="","",H31+ROW()*0.000000001)</f>
        <v/>
      </c>
    </row>
    <row r="32">
      <c r="B32" s="4">
        <f>IF($A32="","",IF(COUNTIFS(데이터!$A$2:$A$20000,$A32,데이터!$E$2:$E$20000,1)=0,"",SUMIFS(데이터!$C$2:$C$20000,데이터!$A$2:$A$20000,$A32,데이터!$E$2:$E$20000,1)))</f>
        <v/>
      </c>
      <c r="C32" s="5">
        <f>IFERROR(IF(OR($B32="",COUNTIFS(데이터!$A$2:$A$20000,$A32,데이터!$E$2:$E$20000,설정!$B$2)=0),"",$B32/SUMIFS(데이터!$C$2:$C$20000,데이터!$A$2:$A$20000,$A32,데이터!$E$2:$E$20000,설정!$B$2)-1),"")</f>
        <v/>
      </c>
      <c r="D32" s="5">
        <f>IFERROR(IF(OR($B32="",COUNTIFS(데이터!$A$2:$A$20000,$A32,데이터!$E$2:$E$20000,설정!$B$3)=0),"",$B32/SUMIFS(데이터!$C$2:$C$20000,데이터!$A$2:$A$20000,$A32,데이터!$E$2:$E$20000,설정!$B$3)-1),"")</f>
        <v/>
      </c>
      <c r="E32" s="5">
        <f>IFERROR(IF(OR($B32="",COUNTIFS(데이터!$A$2:$A$20000,$A32,데이터!$E$2:$E$20000,설정!$B$4)=0),"",$B32/SUMIFS(데이터!$C$2:$C$20000,데이터!$A$2:$A$20000,$A32,데이터!$E$2:$E$20000,설정!$B$4)-1),"")</f>
        <v/>
      </c>
      <c r="F32" s="5">
        <f>IFERROR(IF(OR($B32="",COUNTIFS(데이터!$A$2:$A$20000,$A32,데이터!$E$2:$E$20000,설정!$B$5)=0),"",$B32/SUMIFS(데이터!$C$2:$C$20000,데이터!$A$2:$A$20000,$A32,데이터!$E$2:$E$20000,설정!$B$5)-1),"")</f>
        <v/>
      </c>
      <c r="G32" s="5">
        <f>IFERROR(IF(OR($B32="",COUNTIFS(데이터!$A$2:$A$20000,$A32,데이터!$E$2:$E$20000,설정!$B$6)=0),"",$B32/SUMIFS(데이터!$C$2:$C$20000,데이터!$A$2:$A$20000,$A32,데이터!$E$2:$E$20000,설정!$B$6)-1),"")</f>
        <v/>
      </c>
      <c r="H32" s="5">
        <f>IFERROR(IF(OR($B32="",COUNTIFS(데이터!$A$2:$A$20000,$A32,데이터!$E$2:$E$20000,설정!$B$7)=0),"",$B32/SUMIFS(데이터!$C$2:$C$20000,데이터!$A$2:$A$20000,$A32,데이터!$E$2:$E$20000,설정!$B$7)-1),"")</f>
        <v/>
      </c>
      <c r="J32">
        <f>IF(C32="","",C32+ROW()*0.000000001)</f>
        <v/>
      </c>
      <c r="K32">
        <f>IF(D32="","",D32+ROW()*0.000000001)</f>
        <v/>
      </c>
      <c r="L32">
        <f>IF(E32="","",E32+ROW()*0.000000001)</f>
        <v/>
      </c>
      <c r="M32">
        <f>IF(F32="","",F32+ROW()*0.000000001)</f>
        <v/>
      </c>
      <c r="N32">
        <f>IF(G32="","",G32+ROW()*0.000000001)</f>
        <v/>
      </c>
      <c r="O32">
        <f>IF(H32="","",H32+ROW()*0.000000001)</f>
        <v/>
      </c>
    </row>
    <row r="33">
      <c r="B33" s="4">
        <f>IF($A33="","",IF(COUNTIFS(데이터!$A$2:$A$20000,$A33,데이터!$E$2:$E$20000,1)=0,"",SUMIFS(데이터!$C$2:$C$20000,데이터!$A$2:$A$20000,$A33,데이터!$E$2:$E$20000,1)))</f>
        <v/>
      </c>
      <c r="C33" s="5">
        <f>IFERROR(IF(OR($B33="",COUNTIFS(데이터!$A$2:$A$20000,$A33,데이터!$E$2:$E$20000,설정!$B$2)=0),"",$B33/SUMIFS(데이터!$C$2:$C$20000,데이터!$A$2:$A$20000,$A33,데이터!$E$2:$E$20000,설정!$B$2)-1),"")</f>
        <v/>
      </c>
      <c r="D33" s="5">
        <f>IFERROR(IF(OR($B33="",COUNTIFS(데이터!$A$2:$A$20000,$A33,데이터!$E$2:$E$20000,설정!$B$3)=0),"",$B33/SUMIFS(데이터!$C$2:$C$20000,데이터!$A$2:$A$20000,$A33,데이터!$E$2:$E$20000,설정!$B$3)-1),"")</f>
        <v/>
      </c>
      <c r="E33" s="5">
        <f>IFERROR(IF(OR($B33="",COUNTIFS(데이터!$A$2:$A$20000,$A33,데이터!$E$2:$E$20000,설정!$B$4)=0),"",$B33/SUMIFS(데이터!$C$2:$C$20000,데이터!$A$2:$A$20000,$A33,데이터!$E$2:$E$20000,설정!$B$4)-1),"")</f>
        <v/>
      </c>
      <c r="F33" s="5">
        <f>IFERROR(IF(OR($B33="",COUNTIFS(데이터!$A$2:$A$20000,$A33,데이터!$E$2:$E$20000,설정!$B$5)=0),"",$B33/SUMIFS(데이터!$C$2:$C$20000,데이터!$A$2:$A$20000,$A33,데이터!$E$2:$E$20000,설정!$B$5)-1),"")</f>
        <v/>
      </c>
      <c r="G33" s="5">
        <f>IFERROR(IF(OR($B33="",COUNTIFS(데이터!$A$2:$A$20000,$A33,데이터!$E$2:$E$20000,설정!$B$6)=0),"",$B33/SUMIFS(데이터!$C$2:$C$20000,데이터!$A$2:$A$20000,$A33,데이터!$E$2:$E$20000,설정!$B$6)-1),"")</f>
        <v/>
      </c>
      <c r="H33" s="5">
        <f>IFERROR(IF(OR($B33="",COUNTIFS(데이터!$A$2:$A$20000,$A33,데이터!$E$2:$E$20000,설정!$B$7)=0),"",$B33/SUMIFS(데이터!$C$2:$C$20000,데이터!$A$2:$A$20000,$A33,데이터!$E$2:$E$20000,설정!$B$7)-1),"")</f>
        <v/>
      </c>
      <c r="J33">
        <f>IF(C33="","",C33+ROW()*0.000000001)</f>
        <v/>
      </c>
      <c r="K33">
        <f>IF(D33="","",D33+ROW()*0.000000001)</f>
        <v/>
      </c>
      <c r="L33">
        <f>IF(E33="","",E33+ROW()*0.000000001)</f>
        <v/>
      </c>
      <c r="M33">
        <f>IF(F33="","",F33+ROW()*0.000000001)</f>
        <v/>
      </c>
      <c r="N33">
        <f>IF(G33="","",G33+ROW()*0.000000001)</f>
        <v/>
      </c>
      <c r="O33">
        <f>IF(H33="","",H33+ROW()*0.000000001)</f>
        <v/>
      </c>
    </row>
    <row r="34">
      <c r="B34" s="4">
        <f>IF($A34="","",IF(COUNTIFS(데이터!$A$2:$A$20000,$A34,데이터!$E$2:$E$20000,1)=0,"",SUMIFS(데이터!$C$2:$C$20000,데이터!$A$2:$A$20000,$A34,데이터!$E$2:$E$20000,1)))</f>
        <v/>
      </c>
      <c r="C34" s="5">
        <f>IFERROR(IF(OR($B34="",COUNTIFS(데이터!$A$2:$A$20000,$A34,데이터!$E$2:$E$20000,설정!$B$2)=0),"",$B34/SUMIFS(데이터!$C$2:$C$20000,데이터!$A$2:$A$20000,$A34,데이터!$E$2:$E$20000,설정!$B$2)-1),"")</f>
        <v/>
      </c>
      <c r="D34" s="5">
        <f>IFERROR(IF(OR($B34="",COUNTIFS(데이터!$A$2:$A$20000,$A34,데이터!$E$2:$E$20000,설정!$B$3)=0),"",$B34/SUMIFS(데이터!$C$2:$C$20000,데이터!$A$2:$A$20000,$A34,데이터!$E$2:$E$20000,설정!$B$3)-1),"")</f>
        <v/>
      </c>
      <c r="E34" s="5">
        <f>IFERROR(IF(OR($B34="",COUNTIFS(데이터!$A$2:$A$20000,$A34,데이터!$E$2:$E$20000,설정!$B$4)=0),"",$B34/SUMIFS(데이터!$C$2:$C$20000,데이터!$A$2:$A$20000,$A34,데이터!$E$2:$E$20000,설정!$B$4)-1),"")</f>
        <v/>
      </c>
      <c r="F34" s="5">
        <f>IFERROR(IF(OR($B34="",COUNTIFS(데이터!$A$2:$A$20000,$A34,데이터!$E$2:$E$20000,설정!$B$5)=0),"",$B34/SUMIFS(데이터!$C$2:$C$20000,데이터!$A$2:$A$20000,$A34,데이터!$E$2:$E$20000,설정!$B$5)-1),"")</f>
        <v/>
      </c>
      <c r="G34" s="5">
        <f>IFERROR(IF(OR($B34="",COUNTIFS(데이터!$A$2:$A$20000,$A34,데이터!$E$2:$E$20000,설정!$B$6)=0),"",$B34/SUMIFS(데이터!$C$2:$C$20000,데이터!$A$2:$A$20000,$A34,데이터!$E$2:$E$20000,설정!$B$6)-1),"")</f>
        <v/>
      </c>
      <c r="H34" s="5">
        <f>IFERROR(IF(OR($B34="",COUNTIFS(데이터!$A$2:$A$20000,$A34,데이터!$E$2:$E$20000,설정!$B$7)=0),"",$B34/SUMIFS(데이터!$C$2:$C$20000,데이터!$A$2:$A$20000,$A34,데이터!$E$2:$E$20000,설정!$B$7)-1),"")</f>
        <v/>
      </c>
      <c r="J34">
        <f>IF(C34="","",C34+ROW()*0.000000001)</f>
        <v/>
      </c>
      <c r="K34">
        <f>IF(D34="","",D34+ROW()*0.000000001)</f>
        <v/>
      </c>
      <c r="L34">
        <f>IF(E34="","",E34+ROW()*0.000000001)</f>
        <v/>
      </c>
      <c r="M34">
        <f>IF(F34="","",F34+ROW()*0.000000001)</f>
        <v/>
      </c>
      <c r="N34">
        <f>IF(G34="","",G34+ROW()*0.000000001)</f>
        <v/>
      </c>
      <c r="O34">
        <f>IF(H34="","",H34+ROW()*0.000000001)</f>
        <v/>
      </c>
    </row>
    <row r="35">
      <c r="B35" s="4">
        <f>IF($A35="","",IF(COUNTIFS(데이터!$A$2:$A$20000,$A35,데이터!$E$2:$E$20000,1)=0,"",SUMIFS(데이터!$C$2:$C$20000,데이터!$A$2:$A$20000,$A35,데이터!$E$2:$E$20000,1)))</f>
        <v/>
      </c>
      <c r="C35" s="5">
        <f>IFERROR(IF(OR($B35="",COUNTIFS(데이터!$A$2:$A$20000,$A35,데이터!$E$2:$E$20000,설정!$B$2)=0),"",$B35/SUMIFS(데이터!$C$2:$C$20000,데이터!$A$2:$A$20000,$A35,데이터!$E$2:$E$20000,설정!$B$2)-1),"")</f>
        <v/>
      </c>
      <c r="D35" s="5">
        <f>IFERROR(IF(OR($B35="",COUNTIFS(데이터!$A$2:$A$20000,$A35,데이터!$E$2:$E$20000,설정!$B$3)=0),"",$B35/SUMIFS(데이터!$C$2:$C$20000,데이터!$A$2:$A$20000,$A35,데이터!$E$2:$E$20000,설정!$B$3)-1),"")</f>
        <v/>
      </c>
      <c r="E35" s="5">
        <f>IFERROR(IF(OR($B35="",COUNTIFS(데이터!$A$2:$A$20000,$A35,데이터!$E$2:$E$20000,설정!$B$4)=0),"",$B35/SUMIFS(데이터!$C$2:$C$20000,데이터!$A$2:$A$20000,$A35,데이터!$E$2:$E$20000,설정!$B$4)-1),"")</f>
        <v/>
      </c>
      <c r="F35" s="5">
        <f>IFERROR(IF(OR($B35="",COUNTIFS(데이터!$A$2:$A$20000,$A35,데이터!$E$2:$E$20000,설정!$B$5)=0),"",$B35/SUMIFS(데이터!$C$2:$C$20000,데이터!$A$2:$A$20000,$A35,데이터!$E$2:$E$20000,설정!$B$5)-1),"")</f>
        <v/>
      </c>
      <c r="G35" s="5">
        <f>IFERROR(IF(OR($B35="",COUNTIFS(데이터!$A$2:$A$20000,$A35,데이터!$E$2:$E$20000,설정!$B$6)=0),"",$B35/SUMIFS(데이터!$C$2:$C$20000,데이터!$A$2:$A$20000,$A35,데이터!$E$2:$E$20000,설정!$B$6)-1),"")</f>
        <v/>
      </c>
      <c r="H35" s="5">
        <f>IFERROR(IF(OR($B35="",COUNTIFS(데이터!$A$2:$A$20000,$A35,데이터!$E$2:$E$20000,설정!$B$7)=0),"",$B35/SUMIFS(데이터!$C$2:$C$20000,데이터!$A$2:$A$20000,$A35,데이터!$E$2:$E$20000,설정!$B$7)-1),"")</f>
        <v/>
      </c>
      <c r="J35">
        <f>IF(C35="","",C35+ROW()*0.000000001)</f>
        <v/>
      </c>
      <c r="K35">
        <f>IF(D35="","",D35+ROW()*0.000000001)</f>
        <v/>
      </c>
      <c r="L35">
        <f>IF(E35="","",E35+ROW()*0.000000001)</f>
        <v/>
      </c>
      <c r="M35">
        <f>IF(F35="","",F35+ROW()*0.000000001)</f>
        <v/>
      </c>
      <c r="N35">
        <f>IF(G35="","",G35+ROW()*0.000000001)</f>
        <v/>
      </c>
      <c r="O35">
        <f>IF(H35="","",H35+ROW()*0.000000001)</f>
        <v/>
      </c>
    </row>
    <row r="36">
      <c r="B36" s="4">
        <f>IF($A36="","",IF(COUNTIFS(데이터!$A$2:$A$20000,$A36,데이터!$E$2:$E$20000,1)=0,"",SUMIFS(데이터!$C$2:$C$20000,데이터!$A$2:$A$20000,$A36,데이터!$E$2:$E$20000,1)))</f>
        <v/>
      </c>
      <c r="C36" s="5">
        <f>IFERROR(IF(OR($B36="",COUNTIFS(데이터!$A$2:$A$20000,$A36,데이터!$E$2:$E$20000,설정!$B$2)=0),"",$B36/SUMIFS(데이터!$C$2:$C$20000,데이터!$A$2:$A$20000,$A36,데이터!$E$2:$E$20000,설정!$B$2)-1),"")</f>
        <v/>
      </c>
      <c r="D36" s="5">
        <f>IFERROR(IF(OR($B36="",COUNTIFS(데이터!$A$2:$A$20000,$A36,데이터!$E$2:$E$20000,설정!$B$3)=0),"",$B36/SUMIFS(데이터!$C$2:$C$20000,데이터!$A$2:$A$20000,$A36,데이터!$E$2:$E$20000,설정!$B$3)-1),"")</f>
        <v/>
      </c>
      <c r="E36" s="5">
        <f>IFERROR(IF(OR($B36="",COUNTIFS(데이터!$A$2:$A$20000,$A36,데이터!$E$2:$E$20000,설정!$B$4)=0),"",$B36/SUMIFS(데이터!$C$2:$C$20000,데이터!$A$2:$A$20000,$A36,데이터!$E$2:$E$20000,설정!$B$4)-1),"")</f>
        <v/>
      </c>
      <c r="F36" s="5">
        <f>IFERROR(IF(OR($B36="",COUNTIFS(데이터!$A$2:$A$20000,$A36,데이터!$E$2:$E$20000,설정!$B$5)=0),"",$B36/SUMIFS(데이터!$C$2:$C$20000,데이터!$A$2:$A$20000,$A36,데이터!$E$2:$E$20000,설정!$B$5)-1),"")</f>
        <v/>
      </c>
      <c r="G36" s="5">
        <f>IFERROR(IF(OR($B36="",COUNTIFS(데이터!$A$2:$A$20000,$A36,데이터!$E$2:$E$20000,설정!$B$6)=0),"",$B36/SUMIFS(데이터!$C$2:$C$20000,데이터!$A$2:$A$20000,$A36,데이터!$E$2:$E$20000,설정!$B$6)-1),"")</f>
        <v/>
      </c>
      <c r="H36" s="5">
        <f>IFERROR(IF(OR($B36="",COUNTIFS(데이터!$A$2:$A$20000,$A36,데이터!$E$2:$E$20000,설정!$B$7)=0),"",$B36/SUMIFS(데이터!$C$2:$C$20000,데이터!$A$2:$A$20000,$A36,데이터!$E$2:$E$20000,설정!$B$7)-1),"")</f>
        <v/>
      </c>
      <c r="J36">
        <f>IF(C36="","",C36+ROW()*0.000000001)</f>
        <v/>
      </c>
      <c r="K36">
        <f>IF(D36="","",D36+ROW()*0.000000001)</f>
        <v/>
      </c>
      <c r="L36">
        <f>IF(E36="","",E36+ROW()*0.000000001)</f>
        <v/>
      </c>
      <c r="M36">
        <f>IF(F36="","",F36+ROW()*0.000000001)</f>
        <v/>
      </c>
      <c r="N36">
        <f>IF(G36="","",G36+ROW()*0.000000001)</f>
        <v/>
      </c>
      <c r="O36">
        <f>IF(H36="","",H36+ROW()*0.000000001)</f>
        <v/>
      </c>
    </row>
    <row r="37">
      <c r="B37" s="4">
        <f>IF($A37="","",IF(COUNTIFS(데이터!$A$2:$A$20000,$A37,데이터!$E$2:$E$20000,1)=0,"",SUMIFS(데이터!$C$2:$C$20000,데이터!$A$2:$A$20000,$A37,데이터!$E$2:$E$20000,1)))</f>
        <v/>
      </c>
      <c r="C37" s="5">
        <f>IFERROR(IF(OR($B37="",COUNTIFS(데이터!$A$2:$A$20000,$A37,데이터!$E$2:$E$20000,설정!$B$2)=0),"",$B37/SUMIFS(데이터!$C$2:$C$20000,데이터!$A$2:$A$20000,$A37,데이터!$E$2:$E$20000,설정!$B$2)-1),"")</f>
        <v/>
      </c>
      <c r="D37" s="5">
        <f>IFERROR(IF(OR($B37="",COUNTIFS(데이터!$A$2:$A$20000,$A37,데이터!$E$2:$E$20000,설정!$B$3)=0),"",$B37/SUMIFS(데이터!$C$2:$C$20000,데이터!$A$2:$A$20000,$A37,데이터!$E$2:$E$20000,설정!$B$3)-1),"")</f>
        <v/>
      </c>
      <c r="E37" s="5">
        <f>IFERROR(IF(OR($B37="",COUNTIFS(데이터!$A$2:$A$20000,$A37,데이터!$E$2:$E$20000,설정!$B$4)=0),"",$B37/SUMIFS(데이터!$C$2:$C$20000,데이터!$A$2:$A$20000,$A37,데이터!$E$2:$E$20000,설정!$B$4)-1),"")</f>
        <v/>
      </c>
      <c r="F37" s="5">
        <f>IFERROR(IF(OR($B37="",COUNTIFS(데이터!$A$2:$A$20000,$A37,데이터!$E$2:$E$20000,설정!$B$5)=0),"",$B37/SUMIFS(데이터!$C$2:$C$20000,데이터!$A$2:$A$20000,$A37,데이터!$E$2:$E$20000,설정!$B$5)-1),"")</f>
        <v/>
      </c>
      <c r="G37" s="5">
        <f>IFERROR(IF(OR($B37="",COUNTIFS(데이터!$A$2:$A$20000,$A37,데이터!$E$2:$E$20000,설정!$B$6)=0),"",$B37/SUMIFS(데이터!$C$2:$C$20000,데이터!$A$2:$A$20000,$A37,데이터!$E$2:$E$20000,설정!$B$6)-1),"")</f>
        <v/>
      </c>
      <c r="H37" s="5">
        <f>IFERROR(IF(OR($B37="",COUNTIFS(데이터!$A$2:$A$20000,$A37,데이터!$E$2:$E$20000,설정!$B$7)=0),"",$B37/SUMIFS(데이터!$C$2:$C$20000,데이터!$A$2:$A$20000,$A37,데이터!$E$2:$E$20000,설정!$B$7)-1),"")</f>
        <v/>
      </c>
      <c r="J37">
        <f>IF(C37="","",C37+ROW()*0.000000001)</f>
        <v/>
      </c>
      <c r="K37">
        <f>IF(D37="","",D37+ROW()*0.000000001)</f>
        <v/>
      </c>
      <c r="L37">
        <f>IF(E37="","",E37+ROW()*0.000000001)</f>
        <v/>
      </c>
      <c r="M37">
        <f>IF(F37="","",F37+ROW()*0.000000001)</f>
        <v/>
      </c>
      <c r="N37">
        <f>IF(G37="","",G37+ROW()*0.000000001)</f>
        <v/>
      </c>
      <c r="O37">
        <f>IF(H37="","",H37+ROW()*0.000000001)</f>
        <v/>
      </c>
    </row>
    <row r="38">
      <c r="B38" s="4">
        <f>IF($A38="","",IF(COUNTIFS(데이터!$A$2:$A$20000,$A38,데이터!$E$2:$E$20000,1)=0,"",SUMIFS(데이터!$C$2:$C$20000,데이터!$A$2:$A$20000,$A38,데이터!$E$2:$E$20000,1)))</f>
        <v/>
      </c>
      <c r="C38" s="5">
        <f>IFERROR(IF(OR($B38="",COUNTIFS(데이터!$A$2:$A$20000,$A38,데이터!$E$2:$E$20000,설정!$B$2)=0),"",$B38/SUMIFS(데이터!$C$2:$C$20000,데이터!$A$2:$A$20000,$A38,데이터!$E$2:$E$20000,설정!$B$2)-1),"")</f>
        <v/>
      </c>
      <c r="D38" s="5">
        <f>IFERROR(IF(OR($B38="",COUNTIFS(데이터!$A$2:$A$20000,$A38,데이터!$E$2:$E$20000,설정!$B$3)=0),"",$B38/SUMIFS(데이터!$C$2:$C$20000,데이터!$A$2:$A$20000,$A38,데이터!$E$2:$E$20000,설정!$B$3)-1),"")</f>
        <v/>
      </c>
      <c r="E38" s="5">
        <f>IFERROR(IF(OR($B38="",COUNTIFS(데이터!$A$2:$A$20000,$A38,데이터!$E$2:$E$20000,설정!$B$4)=0),"",$B38/SUMIFS(데이터!$C$2:$C$20000,데이터!$A$2:$A$20000,$A38,데이터!$E$2:$E$20000,설정!$B$4)-1),"")</f>
        <v/>
      </c>
      <c r="F38" s="5">
        <f>IFERROR(IF(OR($B38="",COUNTIFS(데이터!$A$2:$A$20000,$A38,데이터!$E$2:$E$20000,설정!$B$5)=0),"",$B38/SUMIFS(데이터!$C$2:$C$20000,데이터!$A$2:$A$20000,$A38,데이터!$E$2:$E$20000,설정!$B$5)-1),"")</f>
        <v/>
      </c>
      <c r="G38" s="5">
        <f>IFERROR(IF(OR($B38="",COUNTIFS(데이터!$A$2:$A$20000,$A38,데이터!$E$2:$E$20000,설정!$B$6)=0),"",$B38/SUMIFS(데이터!$C$2:$C$20000,데이터!$A$2:$A$20000,$A38,데이터!$E$2:$E$20000,설정!$B$6)-1),"")</f>
        <v/>
      </c>
      <c r="H38" s="5">
        <f>IFERROR(IF(OR($B38="",COUNTIFS(데이터!$A$2:$A$20000,$A38,데이터!$E$2:$E$20000,설정!$B$7)=0),"",$B38/SUMIFS(데이터!$C$2:$C$20000,데이터!$A$2:$A$20000,$A38,데이터!$E$2:$E$20000,설정!$B$7)-1),"")</f>
        <v/>
      </c>
      <c r="J38">
        <f>IF(C38="","",C38+ROW()*0.000000001)</f>
        <v/>
      </c>
      <c r="K38">
        <f>IF(D38="","",D38+ROW()*0.000000001)</f>
        <v/>
      </c>
      <c r="L38">
        <f>IF(E38="","",E38+ROW()*0.000000001)</f>
        <v/>
      </c>
      <c r="M38">
        <f>IF(F38="","",F38+ROW()*0.000000001)</f>
        <v/>
      </c>
      <c r="N38">
        <f>IF(G38="","",G38+ROW()*0.000000001)</f>
        <v/>
      </c>
      <c r="O38">
        <f>IF(H38="","",H38+ROW()*0.000000001)</f>
        <v/>
      </c>
    </row>
    <row r="39">
      <c r="B39" s="4">
        <f>IF($A39="","",IF(COUNTIFS(데이터!$A$2:$A$20000,$A39,데이터!$E$2:$E$20000,1)=0,"",SUMIFS(데이터!$C$2:$C$20000,데이터!$A$2:$A$20000,$A39,데이터!$E$2:$E$20000,1)))</f>
        <v/>
      </c>
      <c r="C39" s="5">
        <f>IFERROR(IF(OR($B39="",COUNTIFS(데이터!$A$2:$A$20000,$A39,데이터!$E$2:$E$20000,설정!$B$2)=0),"",$B39/SUMIFS(데이터!$C$2:$C$20000,데이터!$A$2:$A$20000,$A39,데이터!$E$2:$E$20000,설정!$B$2)-1),"")</f>
        <v/>
      </c>
      <c r="D39" s="5">
        <f>IFERROR(IF(OR($B39="",COUNTIFS(데이터!$A$2:$A$20000,$A39,데이터!$E$2:$E$20000,설정!$B$3)=0),"",$B39/SUMIFS(데이터!$C$2:$C$20000,데이터!$A$2:$A$20000,$A39,데이터!$E$2:$E$20000,설정!$B$3)-1),"")</f>
        <v/>
      </c>
      <c r="E39" s="5">
        <f>IFERROR(IF(OR($B39="",COUNTIFS(데이터!$A$2:$A$20000,$A39,데이터!$E$2:$E$20000,설정!$B$4)=0),"",$B39/SUMIFS(데이터!$C$2:$C$20000,데이터!$A$2:$A$20000,$A39,데이터!$E$2:$E$20000,설정!$B$4)-1),"")</f>
        <v/>
      </c>
      <c r="F39" s="5">
        <f>IFERROR(IF(OR($B39="",COUNTIFS(데이터!$A$2:$A$20000,$A39,데이터!$E$2:$E$20000,설정!$B$5)=0),"",$B39/SUMIFS(데이터!$C$2:$C$20000,데이터!$A$2:$A$20000,$A39,데이터!$E$2:$E$20000,설정!$B$5)-1),"")</f>
        <v/>
      </c>
      <c r="G39" s="5">
        <f>IFERROR(IF(OR($B39="",COUNTIFS(데이터!$A$2:$A$20000,$A39,데이터!$E$2:$E$20000,설정!$B$6)=0),"",$B39/SUMIFS(데이터!$C$2:$C$20000,데이터!$A$2:$A$20000,$A39,데이터!$E$2:$E$20000,설정!$B$6)-1),"")</f>
        <v/>
      </c>
      <c r="H39" s="5">
        <f>IFERROR(IF(OR($B39="",COUNTIFS(데이터!$A$2:$A$20000,$A39,데이터!$E$2:$E$20000,설정!$B$7)=0),"",$B39/SUMIFS(데이터!$C$2:$C$20000,데이터!$A$2:$A$20000,$A39,데이터!$E$2:$E$20000,설정!$B$7)-1),"")</f>
        <v/>
      </c>
      <c r="J39">
        <f>IF(C39="","",C39+ROW()*0.000000001)</f>
        <v/>
      </c>
      <c r="K39">
        <f>IF(D39="","",D39+ROW()*0.000000001)</f>
        <v/>
      </c>
      <c r="L39">
        <f>IF(E39="","",E39+ROW()*0.000000001)</f>
        <v/>
      </c>
      <c r="M39">
        <f>IF(F39="","",F39+ROW()*0.000000001)</f>
        <v/>
      </c>
      <c r="N39">
        <f>IF(G39="","",G39+ROW()*0.000000001)</f>
        <v/>
      </c>
      <c r="O39">
        <f>IF(H39="","",H39+ROW()*0.000000001)</f>
        <v/>
      </c>
    </row>
    <row r="40">
      <c r="B40" s="4">
        <f>IF($A40="","",IF(COUNTIFS(데이터!$A$2:$A$20000,$A40,데이터!$E$2:$E$20000,1)=0,"",SUMIFS(데이터!$C$2:$C$20000,데이터!$A$2:$A$20000,$A40,데이터!$E$2:$E$20000,1)))</f>
        <v/>
      </c>
      <c r="C40" s="5">
        <f>IFERROR(IF(OR($B40="",COUNTIFS(데이터!$A$2:$A$20000,$A40,데이터!$E$2:$E$20000,설정!$B$2)=0),"",$B40/SUMIFS(데이터!$C$2:$C$20000,데이터!$A$2:$A$20000,$A40,데이터!$E$2:$E$20000,설정!$B$2)-1),"")</f>
        <v/>
      </c>
      <c r="D40" s="5">
        <f>IFERROR(IF(OR($B40="",COUNTIFS(데이터!$A$2:$A$20000,$A40,데이터!$E$2:$E$20000,설정!$B$3)=0),"",$B40/SUMIFS(데이터!$C$2:$C$20000,데이터!$A$2:$A$20000,$A40,데이터!$E$2:$E$20000,설정!$B$3)-1),"")</f>
        <v/>
      </c>
      <c r="E40" s="5">
        <f>IFERROR(IF(OR($B40="",COUNTIFS(데이터!$A$2:$A$20000,$A40,데이터!$E$2:$E$20000,설정!$B$4)=0),"",$B40/SUMIFS(데이터!$C$2:$C$20000,데이터!$A$2:$A$20000,$A40,데이터!$E$2:$E$20000,설정!$B$4)-1),"")</f>
        <v/>
      </c>
      <c r="F40" s="5">
        <f>IFERROR(IF(OR($B40="",COUNTIFS(데이터!$A$2:$A$20000,$A40,데이터!$E$2:$E$20000,설정!$B$5)=0),"",$B40/SUMIFS(데이터!$C$2:$C$20000,데이터!$A$2:$A$20000,$A40,데이터!$E$2:$E$20000,설정!$B$5)-1),"")</f>
        <v/>
      </c>
      <c r="G40" s="5">
        <f>IFERROR(IF(OR($B40="",COUNTIFS(데이터!$A$2:$A$20000,$A40,데이터!$E$2:$E$20000,설정!$B$6)=0),"",$B40/SUMIFS(데이터!$C$2:$C$20000,데이터!$A$2:$A$20000,$A40,데이터!$E$2:$E$20000,설정!$B$6)-1),"")</f>
        <v/>
      </c>
      <c r="H40" s="5">
        <f>IFERROR(IF(OR($B40="",COUNTIFS(데이터!$A$2:$A$20000,$A40,데이터!$E$2:$E$20000,설정!$B$7)=0),"",$B40/SUMIFS(데이터!$C$2:$C$20000,데이터!$A$2:$A$20000,$A40,데이터!$E$2:$E$20000,설정!$B$7)-1),"")</f>
        <v/>
      </c>
      <c r="J40">
        <f>IF(C40="","",C40+ROW()*0.000000001)</f>
        <v/>
      </c>
      <c r="K40">
        <f>IF(D40="","",D40+ROW()*0.000000001)</f>
        <v/>
      </c>
      <c r="L40">
        <f>IF(E40="","",E40+ROW()*0.000000001)</f>
        <v/>
      </c>
      <c r="M40">
        <f>IF(F40="","",F40+ROW()*0.000000001)</f>
        <v/>
      </c>
      <c r="N40">
        <f>IF(G40="","",G40+ROW()*0.000000001)</f>
        <v/>
      </c>
      <c r="O40">
        <f>IF(H40="","",H40+ROW()*0.000000001)</f>
        <v/>
      </c>
    </row>
    <row r="41">
      <c r="B41" s="4">
        <f>IF($A41="","",IF(COUNTIFS(데이터!$A$2:$A$20000,$A41,데이터!$E$2:$E$20000,1)=0,"",SUMIFS(데이터!$C$2:$C$20000,데이터!$A$2:$A$20000,$A41,데이터!$E$2:$E$20000,1)))</f>
        <v/>
      </c>
      <c r="C41" s="5">
        <f>IFERROR(IF(OR($B41="",COUNTIFS(데이터!$A$2:$A$20000,$A41,데이터!$E$2:$E$20000,설정!$B$2)=0),"",$B41/SUMIFS(데이터!$C$2:$C$20000,데이터!$A$2:$A$20000,$A41,데이터!$E$2:$E$20000,설정!$B$2)-1),"")</f>
        <v/>
      </c>
      <c r="D41" s="5">
        <f>IFERROR(IF(OR($B41="",COUNTIFS(데이터!$A$2:$A$20000,$A41,데이터!$E$2:$E$20000,설정!$B$3)=0),"",$B41/SUMIFS(데이터!$C$2:$C$20000,데이터!$A$2:$A$20000,$A41,데이터!$E$2:$E$20000,설정!$B$3)-1),"")</f>
        <v/>
      </c>
      <c r="E41" s="5">
        <f>IFERROR(IF(OR($B41="",COUNTIFS(데이터!$A$2:$A$20000,$A41,데이터!$E$2:$E$20000,설정!$B$4)=0),"",$B41/SUMIFS(데이터!$C$2:$C$20000,데이터!$A$2:$A$20000,$A41,데이터!$E$2:$E$20000,설정!$B$4)-1),"")</f>
        <v/>
      </c>
      <c r="F41" s="5">
        <f>IFERROR(IF(OR($B41="",COUNTIFS(데이터!$A$2:$A$20000,$A41,데이터!$E$2:$E$20000,설정!$B$5)=0),"",$B41/SUMIFS(데이터!$C$2:$C$20000,데이터!$A$2:$A$20000,$A41,데이터!$E$2:$E$20000,설정!$B$5)-1),"")</f>
        <v/>
      </c>
      <c r="G41" s="5">
        <f>IFERROR(IF(OR($B41="",COUNTIFS(데이터!$A$2:$A$20000,$A41,데이터!$E$2:$E$20000,설정!$B$6)=0),"",$B41/SUMIFS(데이터!$C$2:$C$20000,데이터!$A$2:$A$20000,$A41,데이터!$E$2:$E$20000,설정!$B$6)-1),"")</f>
        <v/>
      </c>
      <c r="H41" s="5">
        <f>IFERROR(IF(OR($B41="",COUNTIFS(데이터!$A$2:$A$20000,$A41,데이터!$E$2:$E$20000,설정!$B$7)=0),"",$B41/SUMIFS(데이터!$C$2:$C$20000,데이터!$A$2:$A$20000,$A41,데이터!$E$2:$E$20000,설정!$B$7)-1),"")</f>
        <v/>
      </c>
      <c r="J41">
        <f>IF(C41="","",C41+ROW()*0.000000001)</f>
        <v/>
      </c>
      <c r="K41">
        <f>IF(D41="","",D41+ROW()*0.000000001)</f>
        <v/>
      </c>
      <c r="L41">
        <f>IF(E41="","",E41+ROW()*0.000000001)</f>
        <v/>
      </c>
      <c r="M41">
        <f>IF(F41="","",F41+ROW()*0.000000001)</f>
        <v/>
      </c>
      <c r="N41">
        <f>IF(G41="","",G41+ROW()*0.000000001)</f>
        <v/>
      </c>
      <c r="O41">
        <f>IF(H41="","",H41+ROW()*0.000000001)</f>
        <v/>
      </c>
    </row>
    <row r="42">
      <c r="B42" s="4">
        <f>IF($A42="","",IF(COUNTIFS(데이터!$A$2:$A$20000,$A42,데이터!$E$2:$E$20000,1)=0,"",SUMIFS(데이터!$C$2:$C$20000,데이터!$A$2:$A$20000,$A42,데이터!$E$2:$E$20000,1)))</f>
        <v/>
      </c>
      <c r="C42" s="5">
        <f>IFERROR(IF(OR($B42="",COUNTIFS(데이터!$A$2:$A$20000,$A42,데이터!$E$2:$E$20000,설정!$B$2)=0),"",$B42/SUMIFS(데이터!$C$2:$C$20000,데이터!$A$2:$A$20000,$A42,데이터!$E$2:$E$20000,설정!$B$2)-1),"")</f>
        <v/>
      </c>
      <c r="D42" s="5">
        <f>IFERROR(IF(OR($B42="",COUNTIFS(데이터!$A$2:$A$20000,$A42,데이터!$E$2:$E$20000,설정!$B$3)=0),"",$B42/SUMIFS(데이터!$C$2:$C$20000,데이터!$A$2:$A$20000,$A42,데이터!$E$2:$E$20000,설정!$B$3)-1),"")</f>
        <v/>
      </c>
      <c r="E42" s="5">
        <f>IFERROR(IF(OR($B42="",COUNTIFS(데이터!$A$2:$A$20000,$A42,데이터!$E$2:$E$20000,설정!$B$4)=0),"",$B42/SUMIFS(데이터!$C$2:$C$20000,데이터!$A$2:$A$20000,$A42,데이터!$E$2:$E$20000,설정!$B$4)-1),"")</f>
        <v/>
      </c>
      <c r="F42" s="5">
        <f>IFERROR(IF(OR($B42="",COUNTIFS(데이터!$A$2:$A$20000,$A42,데이터!$E$2:$E$20000,설정!$B$5)=0),"",$B42/SUMIFS(데이터!$C$2:$C$20000,데이터!$A$2:$A$20000,$A42,데이터!$E$2:$E$20000,설정!$B$5)-1),"")</f>
        <v/>
      </c>
      <c r="G42" s="5">
        <f>IFERROR(IF(OR($B42="",COUNTIFS(데이터!$A$2:$A$20000,$A42,데이터!$E$2:$E$20000,설정!$B$6)=0),"",$B42/SUMIFS(데이터!$C$2:$C$20000,데이터!$A$2:$A$20000,$A42,데이터!$E$2:$E$20000,설정!$B$6)-1),"")</f>
        <v/>
      </c>
      <c r="H42" s="5">
        <f>IFERROR(IF(OR($B42="",COUNTIFS(데이터!$A$2:$A$20000,$A42,데이터!$E$2:$E$20000,설정!$B$7)=0),"",$B42/SUMIFS(데이터!$C$2:$C$20000,데이터!$A$2:$A$20000,$A42,데이터!$E$2:$E$20000,설정!$B$7)-1),"")</f>
        <v/>
      </c>
      <c r="J42">
        <f>IF(C42="","",C42+ROW()*0.000000001)</f>
        <v/>
      </c>
      <c r="K42">
        <f>IF(D42="","",D42+ROW()*0.000000001)</f>
        <v/>
      </c>
      <c r="L42">
        <f>IF(E42="","",E42+ROW()*0.000000001)</f>
        <v/>
      </c>
      <c r="M42">
        <f>IF(F42="","",F42+ROW()*0.000000001)</f>
        <v/>
      </c>
      <c r="N42">
        <f>IF(G42="","",G42+ROW()*0.000000001)</f>
        <v/>
      </c>
      <c r="O42">
        <f>IF(H42="","",H42+ROW()*0.000000001)</f>
        <v/>
      </c>
    </row>
    <row r="43">
      <c r="B43" s="4">
        <f>IF($A43="","",IF(COUNTIFS(데이터!$A$2:$A$20000,$A43,데이터!$E$2:$E$20000,1)=0,"",SUMIFS(데이터!$C$2:$C$20000,데이터!$A$2:$A$20000,$A43,데이터!$E$2:$E$20000,1)))</f>
        <v/>
      </c>
      <c r="C43" s="5">
        <f>IFERROR(IF(OR($B43="",COUNTIFS(데이터!$A$2:$A$20000,$A43,데이터!$E$2:$E$20000,설정!$B$2)=0),"",$B43/SUMIFS(데이터!$C$2:$C$20000,데이터!$A$2:$A$20000,$A43,데이터!$E$2:$E$20000,설정!$B$2)-1),"")</f>
        <v/>
      </c>
      <c r="D43" s="5">
        <f>IFERROR(IF(OR($B43="",COUNTIFS(데이터!$A$2:$A$20000,$A43,데이터!$E$2:$E$20000,설정!$B$3)=0),"",$B43/SUMIFS(데이터!$C$2:$C$20000,데이터!$A$2:$A$20000,$A43,데이터!$E$2:$E$20000,설정!$B$3)-1),"")</f>
        <v/>
      </c>
      <c r="E43" s="5">
        <f>IFERROR(IF(OR($B43="",COUNTIFS(데이터!$A$2:$A$20000,$A43,데이터!$E$2:$E$20000,설정!$B$4)=0),"",$B43/SUMIFS(데이터!$C$2:$C$20000,데이터!$A$2:$A$20000,$A43,데이터!$E$2:$E$20000,설정!$B$4)-1),"")</f>
        <v/>
      </c>
      <c r="F43" s="5">
        <f>IFERROR(IF(OR($B43="",COUNTIFS(데이터!$A$2:$A$20000,$A43,데이터!$E$2:$E$20000,설정!$B$5)=0),"",$B43/SUMIFS(데이터!$C$2:$C$20000,데이터!$A$2:$A$20000,$A43,데이터!$E$2:$E$20000,설정!$B$5)-1),"")</f>
        <v/>
      </c>
      <c r="G43" s="5">
        <f>IFERROR(IF(OR($B43="",COUNTIFS(데이터!$A$2:$A$20000,$A43,데이터!$E$2:$E$20000,설정!$B$6)=0),"",$B43/SUMIFS(데이터!$C$2:$C$20000,데이터!$A$2:$A$20000,$A43,데이터!$E$2:$E$20000,설정!$B$6)-1),"")</f>
        <v/>
      </c>
      <c r="H43" s="5">
        <f>IFERROR(IF(OR($B43="",COUNTIFS(데이터!$A$2:$A$20000,$A43,데이터!$E$2:$E$20000,설정!$B$7)=0),"",$B43/SUMIFS(데이터!$C$2:$C$20000,데이터!$A$2:$A$20000,$A43,데이터!$E$2:$E$20000,설정!$B$7)-1),"")</f>
        <v/>
      </c>
      <c r="J43">
        <f>IF(C43="","",C43+ROW()*0.000000001)</f>
        <v/>
      </c>
      <c r="K43">
        <f>IF(D43="","",D43+ROW()*0.000000001)</f>
        <v/>
      </c>
      <c r="L43">
        <f>IF(E43="","",E43+ROW()*0.000000001)</f>
        <v/>
      </c>
      <c r="M43">
        <f>IF(F43="","",F43+ROW()*0.000000001)</f>
        <v/>
      </c>
      <c r="N43">
        <f>IF(G43="","",G43+ROW()*0.000000001)</f>
        <v/>
      </c>
      <c r="O43">
        <f>IF(H43="","",H43+ROW()*0.000000001)</f>
        <v/>
      </c>
    </row>
    <row r="44">
      <c r="B44" s="4">
        <f>IF($A44="","",IF(COUNTIFS(데이터!$A$2:$A$20000,$A44,데이터!$E$2:$E$20000,1)=0,"",SUMIFS(데이터!$C$2:$C$20000,데이터!$A$2:$A$20000,$A44,데이터!$E$2:$E$20000,1)))</f>
        <v/>
      </c>
      <c r="C44" s="5">
        <f>IFERROR(IF(OR($B44="",COUNTIFS(데이터!$A$2:$A$20000,$A44,데이터!$E$2:$E$20000,설정!$B$2)=0),"",$B44/SUMIFS(데이터!$C$2:$C$20000,데이터!$A$2:$A$20000,$A44,데이터!$E$2:$E$20000,설정!$B$2)-1),"")</f>
        <v/>
      </c>
      <c r="D44" s="5">
        <f>IFERROR(IF(OR($B44="",COUNTIFS(데이터!$A$2:$A$20000,$A44,데이터!$E$2:$E$20000,설정!$B$3)=0),"",$B44/SUMIFS(데이터!$C$2:$C$20000,데이터!$A$2:$A$20000,$A44,데이터!$E$2:$E$20000,설정!$B$3)-1),"")</f>
        <v/>
      </c>
      <c r="E44" s="5">
        <f>IFERROR(IF(OR($B44="",COUNTIFS(데이터!$A$2:$A$20000,$A44,데이터!$E$2:$E$20000,설정!$B$4)=0),"",$B44/SUMIFS(데이터!$C$2:$C$20000,데이터!$A$2:$A$20000,$A44,데이터!$E$2:$E$20000,설정!$B$4)-1),"")</f>
        <v/>
      </c>
      <c r="F44" s="5">
        <f>IFERROR(IF(OR($B44="",COUNTIFS(데이터!$A$2:$A$20000,$A44,데이터!$E$2:$E$20000,설정!$B$5)=0),"",$B44/SUMIFS(데이터!$C$2:$C$20000,데이터!$A$2:$A$20000,$A44,데이터!$E$2:$E$20000,설정!$B$5)-1),"")</f>
        <v/>
      </c>
      <c r="G44" s="5">
        <f>IFERROR(IF(OR($B44="",COUNTIFS(데이터!$A$2:$A$20000,$A44,데이터!$E$2:$E$20000,설정!$B$6)=0),"",$B44/SUMIFS(데이터!$C$2:$C$20000,데이터!$A$2:$A$20000,$A44,데이터!$E$2:$E$20000,설정!$B$6)-1),"")</f>
        <v/>
      </c>
      <c r="H44" s="5">
        <f>IFERROR(IF(OR($B44="",COUNTIFS(데이터!$A$2:$A$20000,$A44,데이터!$E$2:$E$20000,설정!$B$7)=0),"",$B44/SUMIFS(데이터!$C$2:$C$20000,데이터!$A$2:$A$20000,$A44,데이터!$E$2:$E$20000,설정!$B$7)-1),"")</f>
        <v/>
      </c>
      <c r="J44">
        <f>IF(C44="","",C44+ROW()*0.000000001)</f>
        <v/>
      </c>
      <c r="K44">
        <f>IF(D44="","",D44+ROW()*0.000000001)</f>
        <v/>
      </c>
      <c r="L44">
        <f>IF(E44="","",E44+ROW()*0.000000001)</f>
        <v/>
      </c>
      <c r="M44">
        <f>IF(F44="","",F44+ROW()*0.000000001)</f>
        <v/>
      </c>
      <c r="N44">
        <f>IF(G44="","",G44+ROW()*0.000000001)</f>
        <v/>
      </c>
      <c r="O44">
        <f>IF(H44="","",H44+ROW()*0.000000001)</f>
        <v/>
      </c>
    </row>
    <row r="45">
      <c r="B45" s="4">
        <f>IF($A45="","",IF(COUNTIFS(데이터!$A$2:$A$20000,$A45,데이터!$E$2:$E$20000,1)=0,"",SUMIFS(데이터!$C$2:$C$20000,데이터!$A$2:$A$20000,$A45,데이터!$E$2:$E$20000,1)))</f>
        <v/>
      </c>
      <c r="C45" s="5">
        <f>IFERROR(IF(OR($B45="",COUNTIFS(데이터!$A$2:$A$20000,$A45,데이터!$E$2:$E$20000,설정!$B$2)=0),"",$B45/SUMIFS(데이터!$C$2:$C$20000,데이터!$A$2:$A$20000,$A45,데이터!$E$2:$E$20000,설정!$B$2)-1),"")</f>
        <v/>
      </c>
      <c r="D45" s="5">
        <f>IFERROR(IF(OR($B45="",COUNTIFS(데이터!$A$2:$A$20000,$A45,데이터!$E$2:$E$20000,설정!$B$3)=0),"",$B45/SUMIFS(데이터!$C$2:$C$20000,데이터!$A$2:$A$20000,$A45,데이터!$E$2:$E$20000,설정!$B$3)-1),"")</f>
        <v/>
      </c>
      <c r="E45" s="5">
        <f>IFERROR(IF(OR($B45="",COUNTIFS(데이터!$A$2:$A$20000,$A45,데이터!$E$2:$E$20000,설정!$B$4)=0),"",$B45/SUMIFS(데이터!$C$2:$C$20000,데이터!$A$2:$A$20000,$A45,데이터!$E$2:$E$20000,설정!$B$4)-1),"")</f>
        <v/>
      </c>
      <c r="F45" s="5">
        <f>IFERROR(IF(OR($B45="",COUNTIFS(데이터!$A$2:$A$20000,$A45,데이터!$E$2:$E$20000,설정!$B$5)=0),"",$B45/SUMIFS(데이터!$C$2:$C$20000,데이터!$A$2:$A$20000,$A45,데이터!$E$2:$E$20000,설정!$B$5)-1),"")</f>
        <v/>
      </c>
      <c r="G45" s="5">
        <f>IFERROR(IF(OR($B45="",COUNTIFS(데이터!$A$2:$A$20000,$A45,데이터!$E$2:$E$20000,설정!$B$6)=0),"",$B45/SUMIFS(데이터!$C$2:$C$20000,데이터!$A$2:$A$20000,$A45,데이터!$E$2:$E$20000,설정!$B$6)-1),"")</f>
        <v/>
      </c>
      <c r="H45" s="5">
        <f>IFERROR(IF(OR($B45="",COUNTIFS(데이터!$A$2:$A$20000,$A45,데이터!$E$2:$E$20000,설정!$B$7)=0),"",$B45/SUMIFS(데이터!$C$2:$C$20000,데이터!$A$2:$A$20000,$A45,데이터!$E$2:$E$20000,설정!$B$7)-1),"")</f>
        <v/>
      </c>
      <c r="J45">
        <f>IF(C45="","",C45+ROW()*0.000000001)</f>
        <v/>
      </c>
      <c r="K45">
        <f>IF(D45="","",D45+ROW()*0.000000001)</f>
        <v/>
      </c>
      <c r="L45">
        <f>IF(E45="","",E45+ROW()*0.000000001)</f>
        <v/>
      </c>
      <c r="M45">
        <f>IF(F45="","",F45+ROW()*0.000000001)</f>
        <v/>
      </c>
      <c r="N45">
        <f>IF(G45="","",G45+ROW()*0.000000001)</f>
        <v/>
      </c>
      <c r="O45">
        <f>IF(H45="","",H45+ROW()*0.000000001)</f>
        <v/>
      </c>
    </row>
    <row r="46">
      <c r="B46" s="4">
        <f>IF($A46="","",IF(COUNTIFS(데이터!$A$2:$A$20000,$A46,데이터!$E$2:$E$20000,1)=0,"",SUMIFS(데이터!$C$2:$C$20000,데이터!$A$2:$A$20000,$A46,데이터!$E$2:$E$20000,1)))</f>
        <v/>
      </c>
      <c r="C46" s="5">
        <f>IFERROR(IF(OR($B46="",COUNTIFS(데이터!$A$2:$A$20000,$A46,데이터!$E$2:$E$20000,설정!$B$2)=0),"",$B46/SUMIFS(데이터!$C$2:$C$20000,데이터!$A$2:$A$20000,$A46,데이터!$E$2:$E$20000,설정!$B$2)-1),"")</f>
        <v/>
      </c>
      <c r="D46" s="5">
        <f>IFERROR(IF(OR($B46="",COUNTIFS(데이터!$A$2:$A$20000,$A46,데이터!$E$2:$E$20000,설정!$B$3)=0),"",$B46/SUMIFS(데이터!$C$2:$C$20000,데이터!$A$2:$A$20000,$A46,데이터!$E$2:$E$20000,설정!$B$3)-1),"")</f>
        <v/>
      </c>
      <c r="E46" s="5">
        <f>IFERROR(IF(OR($B46="",COUNTIFS(데이터!$A$2:$A$20000,$A46,데이터!$E$2:$E$20000,설정!$B$4)=0),"",$B46/SUMIFS(데이터!$C$2:$C$20000,데이터!$A$2:$A$20000,$A46,데이터!$E$2:$E$20000,설정!$B$4)-1),"")</f>
        <v/>
      </c>
      <c r="F46" s="5">
        <f>IFERROR(IF(OR($B46="",COUNTIFS(데이터!$A$2:$A$20000,$A46,데이터!$E$2:$E$20000,설정!$B$5)=0),"",$B46/SUMIFS(데이터!$C$2:$C$20000,데이터!$A$2:$A$20000,$A46,데이터!$E$2:$E$20000,설정!$B$5)-1),"")</f>
        <v/>
      </c>
      <c r="G46" s="5">
        <f>IFERROR(IF(OR($B46="",COUNTIFS(데이터!$A$2:$A$20000,$A46,데이터!$E$2:$E$20000,설정!$B$6)=0),"",$B46/SUMIFS(데이터!$C$2:$C$20000,데이터!$A$2:$A$20000,$A46,데이터!$E$2:$E$20000,설정!$B$6)-1),"")</f>
        <v/>
      </c>
      <c r="H46" s="5">
        <f>IFERROR(IF(OR($B46="",COUNTIFS(데이터!$A$2:$A$20000,$A46,데이터!$E$2:$E$20000,설정!$B$7)=0),"",$B46/SUMIFS(데이터!$C$2:$C$20000,데이터!$A$2:$A$20000,$A46,데이터!$E$2:$E$20000,설정!$B$7)-1),"")</f>
        <v/>
      </c>
      <c r="J46">
        <f>IF(C46="","",C46+ROW()*0.000000001)</f>
        <v/>
      </c>
      <c r="K46">
        <f>IF(D46="","",D46+ROW()*0.000000001)</f>
        <v/>
      </c>
      <c r="L46">
        <f>IF(E46="","",E46+ROW()*0.000000001)</f>
        <v/>
      </c>
      <c r="M46">
        <f>IF(F46="","",F46+ROW()*0.000000001)</f>
        <v/>
      </c>
      <c r="N46">
        <f>IF(G46="","",G46+ROW()*0.000000001)</f>
        <v/>
      </c>
      <c r="O46">
        <f>IF(H46="","",H46+ROW()*0.000000001)</f>
        <v/>
      </c>
    </row>
    <row r="47">
      <c r="B47" s="4">
        <f>IF($A47="","",IF(COUNTIFS(데이터!$A$2:$A$20000,$A47,데이터!$E$2:$E$20000,1)=0,"",SUMIFS(데이터!$C$2:$C$20000,데이터!$A$2:$A$20000,$A47,데이터!$E$2:$E$20000,1)))</f>
        <v/>
      </c>
      <c r="C47" s="5">
        <f>IFERROR(IF(OR($B47="",COUNTIFS(데이터!$A$2:$A$20000,$A47,데이터!$E$2:$E$20000,설정!$B$2)=0),"",$B47/SUMIFS(데이터!$C$2:$C$20000,데이터!$A$2:$A$20000,$A47,데이터!$E$2:$E$20000,설정!$B$2)-1),"")</f>
        <v/>
      </c>
      <c r="D47" s="5">
        <f>IFERROR(IF(OR($B47="",COUNTIFS(데이터!$A$2:$A$20000,$A47,데이터!$E$2:$E$20000,설정!$B$3)=0),"",$B47/SUMIFS(데이터!$C$2:$C$20000,데이터!$A$2:$A$20000,$A47,데이터!$E$2:$E$20000,설정!$B$3)-1),"")</f>
        <v/>
      </c>
      <c r="E47" s="5">
        <f>IFERROR(IF(OR($B47="",COUNTIFS(데이터!$A$2:$A$20000,$A47,데이터!$E$2:$E$20000,설정!$B$4)=0),"",$B47/SUMIFS(데이터!$C$2:$C$20000,데이터!$A$2:$A$20000,$A47,데이터!$E$2:$E$20000,설정!$B$4)-1),"")</f>
        <v/>
      </c>
      <c r="F47" s="5">
        <f>IFERROR(IF(OR($B47="",COUNTIFS(데이터!$A$2:$A$20000,$A47,데이터!$E$2:$E$20000,설정!$B$5)=0),"",$B47/SUMIFS(데이터!$C$2:$C$20000,데이터!$A$2:$A$20000,$A47,데이터!$E$2:$E$20000,설정!$B$5)-1),"")</f>
        <v/>
      </c>
      <c r="G47" s="5">
        <f>IFERROR(IF(OR($B47="",COUNTIFS(데이터!$A$2:$A$20000,$A47,데이터!$E$2:$E$20000,설정!$B$6)=0),"",$B47/SUMIFS(데이터!$C$2:$C$20000,데이터!$A$2:$A$20000,$A47,데이터!$E$2:$E$20000,설정!$B$6)-1),"")</f>
        <v/>
      </c>
      <c r="H47" s="5">
        <f>IFERROR(IF(OR($B47="",COUNTIFS(데이터!$A$2:$A$20000,$A47,데이터!$E$2:$E$20000,설정!$B$7)=0),"",$B47/SUMIFS(데이터!$C$2:$C$20000,데이터!$A$2:$A$20000,$A47,데이터!$E$2:$E$20000,설정!$B$7)-1),"")</f>
        <v/>
      </c>
      <c r="J47">
        <f>IF(C47="","",C47+ROW()*0.000000001)</f>
        <v/>
      </c>
      <c r="K47">
        <f>IF(D47="","",D47+ROW()*0.000000001)</f>
        <v/>
      </c>
      <c r="L47">
        <f>IF(E47="","",E47+ROW()*0.000000001)</f>
        <v/>
      </c>
      <c r="M47">
        <f>IF(F47="","",F47+ROW()*0.000000001)</f>
        <v/>
      </c>
      <c r="N47">
        <f>IF(G47="","",G47+ROW()*0.000000001)</f>
        <v/>
      </c>
      <c r="O47">
        <f>IF(H47="","",H47+ROW()*0.000000001)</f>
        <v/>
      </c>
    </row>
    <row r="48">
      <c r="B48" s="4">
        <f>IF($A48="","",IF(COUNTIFS(데이터!$A$2:$A$20000,$A48,데이터!$E$2:$E$20000,1)=0,"",SUMIFS(데이터!$C$2:$C$20000,데이터!$A$2:$A$20000,$A48,데이터!$E$2:$E$20000,1)))</f>
        <v/>
      </c>
      <c r="C48" s="5">
        <f>IFERROR(IF(OR($B48="",COUNTIFS(데이터!$A$2:$A$20000,$A48,데이터!$E$2:$E$20000,설정!$B$2)=0),"",$B48/SUMIFS(데이터!$C$2:$C$20000,데이터!$A$2:$A$20000,$A48,데이터!$E$2:$E$20000,설정!$B$2)-1),"")</f>
        <v/>
      </c>
      <c r="D48" s="5">
        <f>IFERROR(IF(OR($B48="",COUNTIFS(데이터!$A$2:$A$20000,$A48,데이터!$E$2:$E$20000,설정!$B$3)=0),"",$B48/SUMIFS(데이터!$C$2:$C$20000,데이터!$A$2:$A$20000,$A48,데이터!$E$2:$E$20000,설정!$B$3)-1),"")</f>
        <v/>
      </c>
      <c r="E48" s="5">
        <f>IFERROR(IF(OR($B48="",COUNTIFS(데이터!$A$2:$A$20000,$A48,데이터!$E$2:$E$20000,설정!$B$4)=0),"",$B48/SUMIFS(데이터!$C$2:$C$20000,데이터!$A$2:$A$20000,$A48,데이터!$E$2:$E$20000,설정!$B$4)-1),"")</f>
        <v/>
      </c>
      <c r="F48" s="5">
        <f>IFERROR(IF(OR($B48="",COUNTIFS(데이터!$A$2:$A$20000,$A48,데이터!$E$2:$E$20000,설정!$B$5)=0),"",$B48/SUMIFS(데이터!$C$2:$C$20000,데이터!$A$2:$A$20000,$A48,데이터!$E$2:$E$20000,설정!$B$5)-1),"")</f>
        <v/>
      </c>
      <c r="G48" s="5">
        <f>IFERROR(IF(OR($B48="",COUNTIFS(데이터!$A$2:$A$20000,$A48,데이터!$E$2:$E$20000,설정!$B$6)=0),"",$B48/SUMIFS(데이터!$C$2:$C$20000,데이터!$A$2:$A$20000,$A48,데이터!$E$2:$E$20000,설정!$B$6)-1),"")</f>
        <v/>
      </c>
      <c r="H48" s="5">
        <f>IFERROR(IF(OR($B48="",COUNTIFS(데이터!$A$2:$A$20000,$A48,데이터!$E$2:$E$20000,설정!$B$7)=0),"",$B48/SUMIFS(데이터!$C$2:$C$20000,데이터!$A$2:$A$20000,$A48,데이터!$E$2:$E$20000,설정!$B$7)-1),"")</f>
        <v/>
      </c>
      <c r="J48">
        <f>IF(C48="","",C48+ROW()*0.000000001)</f>
        <v/>
      </c>
      <c r="K48">
        <f>IF(D48="","",D48+ROW()*0.000000001)</f>
        <v/>
      </c>
      <c r="L48">
        <f>IF(E48="","",E48+ROW()*0.000000001)</f>
        <v/>
      </c>
      <c r="M48">
        <f>IF(F48="","",F48+ROW()*0.000000001)</f>
        <v/>
      </c>
      <c r="N48">
        <f>IF(G48="","",G48+ROW()*0.000000001)</f>
        <v/>
      </c>
      <c r="O48">
        <f>IF(H48="","",H48+ROW()*0.000000001)</f>
        <v/>
      </c>
    </row>
    <row r="49">
      <c r="B49" s="4">
        <f>IF($A49="","",IF(COUNTIFS(데이터!$A$2:$A$20000,$A49,데이터!$E$2:$E$20000,1)=0,"",SUMIFS(데이터!$C$2:$C$20000,데이터!$A$2:$A$20000,$A49,데이터!$E$2:$E$20000,1)))</f>
        <v/>
      </c>
      <c r="C49" s="5">
        <f>IFERROR(IF(OR($B49="",COUNTIFS(데이터!$A$2:$A$20000,$A49,데이터!$E$2:$E$20000,설정!$B$2)=0),"",$B49/SUMIFS(데이터!$C$2:$C$20000,데이터!$A$2:$A$20000,$A49,데이터!$E$2:$E$20000,설정!$B$2)-1),"")</f>
        <v/>
      </c>
      <c r="D49" s="5">
        <f>IFERROR(IF(OR($B49="",COUNTIFS(데이터!$A$2:$A$20000,$A49,데이터!$E$2:$E$20000,설정!$B$3)=0),"",$B49/SUMIFS(데이터!$C$2:$C$20000,데이터!$A$2:$A$20000,$A49,데이터!$E$2:$E$20000,설정!$B$3)-1),"")</f>
        <v/>
      </c>
      <c r="E49" s="5">
        <f>IFERROR(IF(OR($B49="",COUNTIFS(데이터!$A$2:$A$20000,$A49,데이터!$E$2:$E$20000,설정!$B$4)=0),"",$B49/SUMIFS(데이터!$C$2:$C$20000,데이터!$A$2:$A$20000,$A49,데이터!$E$2:$E$20000,설정!$B$4)-1),"")</f>
        <v/>
      </c>
      <c r="F49" s="5">
        <f>IFERROR(IF(OR($B49="",COUNTIFS(데이터!$A$2:$A$20000,$A49,데이터!$E$2:$E$20000,설정!$B$5)=0),"",$B49/SUMIFS(데이터!$C$2:$C$20000,데이터!$A$2:$A$20000,$A49,데이터!$E$2:$E$20000,설정!$B$5)-1),"")</f>
        <v/>
      </c>
      <c r="G49" s="5">
        <f>IFERROR(IF(OR($B49="",COUNTIFS(데이터!$A$2:$A$20000,$A49,데이터!$E$2:$E$20000,설정!$B$6)=0),"",$B49/SUMIFS(데이터!$C$2:$C$20000,데이터!$A$2:$A$20000,$A49,데이터!$E$2:$E$20000,설정!$B$6)-1),"")</f>
        <v/>
      </c>
      <c r="H49" s="5">
        <f>IFERROR(IF(OR($B49="",COUNTIFS(데이터!$A$2:$A$20000,$A49,데이터!$E$2:$E$20000,설정!$B$7)=0),"",$B49/SUMIFS(데이터!$C$2:$C$20000,데이터!$A$2:$A$20000,$A49,데이터!$E$2:$E$20000,설정!$B$7)-1),"")</f>
        <v/>
      </c>
      <c r="J49">
        <f>IF(C49="","",C49+ROW()*0.000000001)</f>
        <v/>
      </c>
      <c r="K49">
        <f>IF(D49="","",D49+ROW()*0.000000001)</f>
        <v/>
      </c>
      <c r="L49">
        <f>IF(E49="","",E49+ROW()*0.000000001)</f>
        <v/>
      </c>
      <c r="M49">
        <f>IF(F49="","",F49+ROW()*0.000000001)</f>
        <v/>
      </c>
      <c r="N49">
        <f>IF(G49="","",G49+ROW()*0.000000001)</f>
        <v/>
      </c>
      <c r="O49">
        <f>IF(H49="","",H49+ROW()*0.000000001)</f>
        <v/>
      </c>
    </row>
    <row r="50">
      <c r="B50" s="4">
        <f>IF($A50="","",IF(COUNTIFS(데이터!$A$2:$A$20000,$A50,데이터!$E$2:$E$20000,1)=0,"",SUMIFS(데이터!$C$2:$C$20000,데이터!$A$2:$A$20000,$A50,데이터!$E$2:$E$20000,1)))</f>
        <v/>
      </c>
      <c r="C50" s="5">
        <f>IFERROR(IF(OR($B50="",COUNTIFS(데이터!$A$2:$A$20000,$A50,데이터!$E$2:$E$20000,설정!$B$2)=0),"",$B50/SUMIFS(데이터!$C$2:$C$20000,데이터!$A$2:$A$20000,$A50,데이터!$E$2:$E$20000,설정!$B$2)-1),"")</f>
        <v/>
      </c>
      <c r="D50" s="5">
        <f>IFERROR(IF(OR($B50="",COUNTIFS(데이터!$A$2:$A$20000,$A50,데이터!$E$2:$E$20000,설정!$B$3)=0),"",$B50/SUMIFS(데이터!$C$2:$C$20000,데이터!$A$2:$A$20000,$A50,데이터!$E$2:$E$20000,설정!$B$3)-1),"")</f>
        <v/>
      </c>
      <c r="E50" s="5">
        <f>IFERROR(IF(OR($B50="",COUNTIFS(데이터!$A$2:$A$20000,$A50,데이터!$E$2:$E$20000,설정!$B$4)=0),"",$B50/SUMIFS(데이터!$C$2:$C$20000,데이터!$A$2:$A$20000,$A50,데이터!$E$2:$E$20000,설정!$B$4)-1),"")</f>
        <v/>
      </c>
      <c r="F50" s="5">
        <f>IFERROR(IF(OR($B50="",COUNTIFS(데이터!$A$2:$A$20000,$A50,데이터!$E$2:$E$20000,설정!$B$5)=0),"",$B50/SUMIFS(데이터!$C$2:$C$20000,데이터!$A$2:$A$20000,$A50,데이터!$E$2:$E$20000,설정!$B$5)-1),"")</f>
        <v/>
      </c>
      <c r="G50" s="5">
        <f>IFERROR(IF(OR($B50="",COUNTIFS(데이터!$A$2:$A$20000,$A50,데이터!$E$2:$E$20000,설정!$B$6)=0),"",$B50/SUMIFS(데이터!$C$2:$C$20000,데이터!$A$2:$A$20000,$A50,데이터!$E$2:$E$20000,설정!$B$6)-1),"")</f>
        <v/>
      </c>
      <c r="H50" s="5">
        <f>IFERROR(IF(OR($B50="",COUNTIFS(데이터!$A$2:$A$20000,$A50,데이터!$E$2:$E$20000,설정!$B$7)=0),"",$B50/SUMIFS(데이터!$C$2:$C$20000,데이터!$A$2:$A$20000,$A50,데이터!$E$2:$E$20000,설정!$B$7)-1),"")</f>
        <v/>
      </c>
      <c r="J50">
        <f>IF(C50="","",C50+ROW()*0.000000001)</f>
        <v/>
      </c>
      <c r="K50">
        <f>IF(D50="","",D50+ROW()*0.000000001)</f>
        <v/>
      </c>
      <c r="L50">
        <f>IF(E50="","",E50+ROW()*0.000000001)</f>
        <v/>
      </c>
      <c r="M50">
        <f>IF(F50="","",F50+ROW()*0.000000001)</f>
        <v/>
      </c>
      <c r="N50">
        <f>IF(G50="","",G50+ROW()*0.000000001)</f>
        <v/>
      </c>
      <c r="O50">
        <f>IF(H50="","",H50+ROW()*0.000000001)</f>
        <v/>
      </c>
    </row>
    <row r="51">
      <c r="B51" s="4">
        <f>IF($A51="","",IF(COUNTIFS(데이터!$A$2:$A$20000,$A51,데이터!$E$2:$E$20000,1)=0,"",SUMIFS(데이터!$C$2:$C$20000,데이터!$A$2:$A$20000,$A51,데이터!$E$2:$E$20000,1)))</f>
        <v/>
      </c>
      <c r="C51" s="5">
        <f>IFERROR(IF(OR($B51="",COUNTIFS(데이터!$A$2:$A$20000,$A51,데이터!$E$2:$E$20000,설정!$B$2)=0),"",$B51/SUMIFS(데이터!$C$2:$C$20000,데이터!$A$2:$A$20000,$A51,데이터!$E$2:$E$20000,설정!$B$2)-1),"")</f>
        <v/>
      </c>
      <c r="D51" s="5">
        <f>IFERROR(IF(OR($B51="",COUNTIFS(데이터!$A$2:$A$20000,$A51,데이터!$E$2:$E$20000,설정!$B$3)=0),"",$B51/SUMIFS(데이터!$C$2:$C$20000,데이터!$A$2:$A$20000,$A51,데이터!$E$2:$E$20000,설정!$B$3)-1),"")</f>
        <v/>
      </c>
      <c r="E51" s="5">
        <f>IFERROR(IF(OR($B51="",COUNTIFS(데이터!$A$2:$A$20000,$A51,데이터!$E$2:$E$20000,설정!$B$4)=0),"",$B51/SUMIFS(데이터!$C$2:$C$20000,데이터!$A$2:$A$20000,$A51,데이터!$E$2:$E$20000,설정!$B$4)-1),"")</f>
        <v/>
      </c>
      <c r="F51" s="5">
        <f>IFERROR(IF(OR($B51="",COUNTIFS(데이터!$A$2:$A$20000,$A51,데이터!$E$2:$E$20000,설정!$B$5)=0),"",$B51/SUMIFS(데이터!$C$2:$C$20000,데이터!$A$2:$A$20000,$A51,데이터!$E$2:$E$20000,설정!$B$5)-1),"")</f>
        <v/>
      </c>
      <c r="G51" s="5">
        <f>IFERROR(IF(OR($B51="",COUNTIFS(데이터!$A$2:$A$20000,$A51,데이터!$E$2:$E$20000,설정!$B$6)=0),"",$B51/SUMIFS(데이터!$C$2:$C$20000,데이터!$A$2:$A$20000,$A51,데이터!$E$2:$E$20000,설정!$B$6)-1),"")</f>
        <v/>
      </c>
      <c r="H51" s="5">
        <f>IFERROR(IF(OR($B51="",COUNTIFS(데이터!$A$2:$A$20000,$A51,데이터!$E$2:$E$20000,설정!$B$7)=0),"",$B51/SUMIFS(데이터!$C$2:$C$20000,데이터!$A$2:$A$20000,$A51,데이터!$E$2:$E$20000,설정!$B$7)-1),"")</f>
        <v/>
      </c>
      <c r="J51">
        <f>IF(C51="","",C51+ROW()*0.000000001)</f>
        <v/>
      </c>
      <c r="K51">
        <f>IF(D51="","",D51+ROW()*0.000000001)</f>
        <v/>
      </c>
      <c r="L51">
        <f>IF(E51="","",E51+ROW()*0.000000001)</f>
        <v/>
      </c>
      <c r="M51">
        <f>IF(F51="","",F51+ROW()*0.000000001)</f>
        <v/>
      </c>
      <c r="N51">
        <f>IF(G51="","",G51+ROW()*0.000000001)</f>
        <v/>
      </c>
      <c r="O51">
        <f>IF(H51="","",H51+ROW()*0.000000001)</f>
        <v/>
      </c>
    </row>
    <row r="52">
      <c r="B52" s="4">
        <f>IF($A52="","",IF(COUNTIFS(데이터!$A$2:$A$20000,$A52,데이터!$E$2:$E$20000,1)=0,"",SUMIFS(데이터!$C$2:$C$20000,데이터!$A$2:$A$20000,$A52,데이터!$E$2:$E$20000,1)))</f>
        <v/>
      </c>
      <c r="C52" s="5">
        <f>IFERROR(IF(OR($B52="",COUNTIFS(데이터!$A$2:$A$20000,$A52,데이터!$E$2:$E$20000,설정!$B$2)=0),"",$B52/SUMIFS(데이터!$C$2:$C$20000,데이터!$A$2:$A$20000,$A52,데이터!$E$2:$E$20000,설정!$B$2)-1),"")</f>
        <v/>
      </c>
      <c r="D52" s="5">
        <f>IFERROR(IF(OR($B52="",COUNTIFS(데이터!$A$2:$A$20000,$A52,데이터!$E$2:$E$20000,설정!$B$3)=0),"",$B52/SUMIFS(데이터!$C$2:$C$20000,데이터!$A$2:$A$20000,$A52,데이터!$E$2:$E$20000,설정!$B$3)-1),"")</f>
        <v/>
      </c>
      <c r="E52" s="5">
        <f>IFERROR(IF(OR($B52="",COUNTIFS(데이터!$A$2:$A$20000,$A52,데이터!$E$2:$E$20000,설정!$B$4)=0),"",$B52/SUMIFS(데이터!$C$2:$C$20000,데이터!$A$2:$A$20000,$A52,데이터!$E$2:$E$20000,설정!$B$4)-1),"")</f>
        <v/>
      </c>
      <c r="F52" s="5">
        <f>IFERROR(IF(OR($B52="",COUNTIFS(데이터!$A$2:$A$20000,$A52,데이터!$E$2:$E$20000,설정!$B$5)=0),"",$B52/SUMIFS(데이터!$C$2:$C$20000,데이터!$A$2:$A$20000,$A52,데이터!$E$2:$E$20000,설정!$B$5)-1),"")</f>
        <v/>
      </c>
      <c r="G52" s="5">
        <f>IFERROR(IF(OR($B52="",COUNTIFS(데이터!$A$2:$A$20000,$A52,데이터!$E$2:$E$20000,설정!$B$6)=0),"",$B52/SUMIFS(데이터!$C$2:$C$20000,데이터!$A$2:$A$20000,$A52,데이터!$E$2:$E$20000,설정!$B$6)-1),"")</f>
        <v/>
      </c>
      <c r="H52" s="5">
        <f>IFERROR(IF(OR($B52="",COUNTIFS(데이터!$A$2:$A$20000,$A52,데이터!$E$2:$E$20000,설정!$B$7)=0),"",$B52/SUMIFS(데이터!$C$2:$C$20000,데이터!$A$2:$A$20000,$A52,데이터!$E$2:$E$20000,설정!$B$7)-1),"")</f>
        <v/>
      </c>
      <c r="J52">
        <f>IF(C52="","",C52+ROW()*0.000000001)</f>
        <v/>
      </c>
      <c r="K52">
        <f>IF(D52="","",D52+ROW()*0.000000001)</f>
        <v/>
      </c>
      <c r="L52">
        <f>IF(E52="","",E52+ROW()*0.000000001)</f>
        <v/>
      </c>
      <c r="M52">
        <f>IF(F52="","",F52+ROW()*0.000000001)</f>
        <v/>
      </c>
      <c r="N52">
        <f>IF(G52="","",G52+ROW()*0.000000001)</f>
        <v/>
      </c>
      <c r="O52">
        <f>IF(H52="","",H52+ROW()*0.000000001)</f>
        <v/>
      </c>
    </row>
    <row r="53">
      <c r="B53" s="4">
        <f>IF($A53="","",IF(COUNTIFS(데이터!$A$2:$A$20000,$A53,데이터!$E$2:$E$20000,1)=0,"",SUMIFS(데이터!$C$2:$C$20000,데이터!$A$2:$A$20000,$A53,데이터!$E$2:$E$20000,1)))</f>
        <v/>
      </c>
      <c r="C53" s="5">
        <f>IFERROR(IF(OR($B53="",COUNTIFS(데이터!$A$2:$A$20000,$A53,데이터!$E$2:$E$20000,설정!$B$2)=0),"",$B53/SUMIFS(데이터!$C$2:$C$20000,데이터!$A$2:$A$20000,$A53,데이터!$E$2:$E$20000,설정!$B$2)-1),"")</f>
        <v/>
      </c>
      <c r="D53" s="5">
        <f>IFERROR(IF(OR($B53="",COUNTIFS(데이터!$A$2:$A$20000,$A53,데이터!$E$2:$E$20000,설정!$B$3)=0),"",$B53/SUMIFS(데이터!$C$2:$C$20000,데이터!$A$2:$A$20000,$A53,데이터!$E$2:$E$20000,설정!$B$3)-1),"")</f>
        <v/>
      </c>
      <c r="E53" s="5">
        <f>IFERROR(IF(OR($B53="",COUNTIFS(데이터!$A$2:$A$20000,$A53,데이터!$E$2:$E$20000,설정!$B$4)=0),"",$B53/SUMIFS(데이터!$C$2:$C$20000,데이터!$A$2:$A$20000,$A53,데이터!$E$2:$E$20000,설정!$B$4)-1),"")</f>
        <v/>
      </c>
      <c r="F53" s="5">
        <f>IFERROR(IF(OR($B53="",COUNTIFS(데이터!$A$2:$A$20000,$A53,데이터!$E$2:$E$20000,설정!$B$5)=0),"",$B53/SUMIFS(데이터!$C$2:$C$20000,데이터!$A$2:$A$20000,$A53,데이터!$E$2:$E$20000,설정!$B$5)-1),"")</f>
        <v/>
      </c>
      <c r="G53" s="5">
        <f>IFERROR(IF(OR($B53="",COUNTIFS(데이터!$A$2:$A$20000,$A53,데이터!$E$2:$E$20000,설정!$B$6)=0),"",$B53/SUMIFS(데이터!$C$2:$C$20000,데이터!$A$2:$A$20000,$A53,데이터!$E$2:$E$20000,설정!$B$6)-1),"")</f>
        <v/>
      </c>
      <c r="H53" s="5">
        <f>IFERROR(IF(OR($B53="",COUNTIFS(데이터!$A$2:$A$20000,$A53,데이터!$E$2:$E$20000,설정!$B$7)=0),"",$B53/SUMIFS(데이터!$C$2:$C$20000,데이터!$A$2:$A$20000,$A53,데이터!$E$2:$E$20000,설정!$B$7)-1),"")</f>
        <v/>
      </c>
      <c r="J53">
        <f>IF(C53="","",C53+ROW()*0.000000001)</f>
        <v/>
      </c>
      <c r="K53">
        <f>IF(D53="","",D53+ROW()*0.000000001)</f>
        <v/>
      </c>
      <c r="L53">
        <f>IF(E53="","",E53+ROW()*0.000000001)</f>
        <v/>
      </c>
      <c r="M53">
        <f>IF(F53="","",F53+ROW()*0.000000001)</f>
        <v/>
      </c>
      <c r="N53">
        <f>IF(G53="","",G53+ROW()*0.000000001)</f>
        <v/>
      </c>
      <c r="O53">
        <f>IF(H53="","",H53+ROW()*0.000000001)</f>
        <v/>
      </c>
    </row>
    <row r="54">
      <c r="B54" s="4">
        <f>IF($A54="","",IF(COUNTIFS(데이터!$A$2:$A$20000,$A54,데이터!$E$2:$E$20000,1)=0,"",SUMIFS(데이터!$C$2:$C$20000,데이터!$A$2:$A$20000,$A54,데이터!$E$2:$E$20000,1)))</f>
        <v/>
      </c>
      <c r="C54" s="5">
        <f>IFERROR(IF(OR($B54="",COUNTIFS(데이터!$A$2:$A$20000,$A54,데이터!$E$2:$E$20000,설정!$B$2)=0),"",$B54/SUMIFS(데이터!$C$2:$C$20000,데이터!$A$2:$A$20000,$A54,데이터!$E$2:$E$20000,설정!$B$2)-1),"")</f>
        <v/>
      </c>
      <c r="D54" s="5">
        <f>IFERROR(IF(OR($B54="",COUNTIFS(데이터!$A$2:$A$20000,$A54,데이터!$E$2:$E$20000,설정!$B$3)=0),"",$B54/SUMIFS(데이터!$C$2:$C$20000,데이터!$A$2:$A$20000,$A54,데이터!$E$2:$E$20000,설정!$B$3)-1),"")</f>
        <v/>
      </c>
      <c r="E54" s="5">
        <f>IFERROR(IF(OR($B54="",COUNTIFS(데이터!$A$2:$A$20000,$A54,데이터!$E$2:$E$20000,설정!$B$4)=0),"",$B54/SUMIFS(데이터!$C$2:$C$20000,데이터!$A$2:$A$20000,$A54,데이터!$E$2:$E$20000,설정!$B$4)-1),"")</f>
        <v/>
      </c>
      <c r="F54" s="5">
        <f>IFERROR(IF(OR($B54="",COUNTIFS(데이터!$A$2:$A$20000,$A54,데이터!$E$2:$E$20000,설정!$B$5)=0),"",$B54/SUMIFS(데이터!$C$2:$C$20000,데이터!$A$2:$A$20000,$A54,데이터!$E$2:$E$20000,설정!$B$5)-1),"")</f>
        <v/>
      </c>
      <c r="G54" s="5">
        <f>IFERROR(IF(OR($B54="",COUNTIFS(데이터!$A$2:$A$20000,$A54,데이터!$E$2:$E$20000,설정!$B$6)=0),"",$B54/SUMIFS(데이터!$C$2:$C$20000,데이터!$A$2:$A$20000,$A54,데이터!$E$2:$E$20000,설정!$B$6)-1),"")</f>
        <v/>
      </c>
      <c r="H54" s="5">
        <f>IFERROR(IF(OR($B54="",COUNTIFS(데이터!$A$2:$A$20000,$A54,데이터!$E$2:$E$20000,설정!$B$7)=0),"",$B54/SUMIFS(데이터!$C$2:$C$20000,데이터!$A$2:$A$20000,$A54,데이터!$E$2:$E$20000,설정!$B$7)-1),"")</f>
        <v/>
      </c>
      <c r="J54">
        <f>IF(C54="","",C54+ROW()*0.000000001)</f>
        <v/>
      </c>
      <c r="K54">
        <f>IF(D54="","",D54+ROW()*0.000000001)</f>
        <v/>
      </c>
      <c r="L54">
        <f>IF(E54="","",E54+ROW()*0.000000001)</f>
        <v/>
      </c>
      <c r="M54">
        <f>IF(F54="","",F54+ROW()*0.000000001)</f>
        <v/>
      </c>
      <c r="N54">
        <f>IF(G54="","",G54+ROW()*0.000000001)</f>
        <v/>
      </c>
      <c r="O54">
        <f>IF(H54="","",H54+ROW()*0.000000001)</f>
        <v/>
      </c>
    </row>
    <row r="55">
      <c r="B55" s="4">
        <f>IF($A55="","",IF(COUNTIFS(데이터!$A$2:$A$20000,$A55,데이터!$E$2:$E$20000,1)=0,"",SUMIFS(데이터!$C$2:$C$20000,데이터!$A$2:$A$20000,$A55,데이터!$E$2:$E$20000,1)))</f>
        <v/>
      </c>
      <c r="C55" s="5">
        <f>IFERROR(IF(OR($B55="",COUNTIFS(데이터!$A$2:$A$20000,$A55,데이터!$E$2:$E$20000,설정!$B$2)=0),"",$B55/SUMIFS(데이터!$C$2:$C$20000,데이터!$A$2:$A$20000,$A55,데이터!$E$2:$E$20000,설정!$B$2)-1),"")</f>
        <v/>
      </c>
      <c r="D55" s="5">
        <f>IFERROR(IF(OR($B55="",COUNTIFS(데이터!$A$2:$A$20000,$A55,데이터!$E$2:$E$20000,설정!$B$3)=0),"",$B55/SUMIFS(데이터!$C$2:$C$20000,데이터!$A$2:$A$20000,$A55,데이터!$E$2:$E$20000,설정!$B$3)-1),"")</f>
        <v/>
      </c>
      <c r="E55" s="5">
        <f>IFERROR(IF(OR($B55="",COUNTIFS(데이터!$A$2:$A$20000,$A55,데이터!$E$2:$E$20000,설정!$B$4)=0),"",$B55/SUMIFS(데이터!$C$2:$C$20000,데이터!$A$2:$A$20000,$A55,데이터!$E$2:$E$20000,설정!$B$4)-1),"")</f>
        <v/>
      </c>
      <c r="F55" s="5">
        <f>IFERROR(IF(OR($B55="",COUNTIFS(데이터!$A$2:$A$20000,$A55,데이터!$E$2:$E$20000,설정!$B$5)=0),"",$B55/SUMIFS(데이터!$C$2:$C$20000,데이터!$A$2:$A$20000,$A55,데이터!$E$2:$E$20000,설정!$B$5)-1),"")</f>
        <v/>
      </c>
      <c r="G55" s="5">
        <f>IFERROR(IF(OR($B55="",COUNTIFS(데이터!$A$2:$A$20000,$A55,데이터!$E$2:$E$20000,설정!$B$6)=0),"",$B55/SUMIFS(데이터!$C$2:$C$20000,데이터!$A$2:$A$20000,$A55,데이터!$E$2:$E$20000,설정!$B$6)-1),"")</f>
        <v/>
      </c>
      <c r="H55" s="5">
        <f>IFERROR(IF(OR($B55="",COUNTIFS(데이터!$A$2:$A$20000,$A55,데이터!$E$2:$E$20000,설정!$B$7)=0),"",$B55/SUMIFS(데이터!$C$2:$C$20000,데이터!$A$2:$A$20000,$A55,데이터!$E$2:$E$20000,설정!$B$7)-1),"")</f>
        <v/>
      </c>
      <c r="J55">
        <f>IF(C55="","",C55+ROW()*0.000000001)</f>
        <v/>
      </c>
      <c r="K55">
        <f>IF(D55="","",D55+ROW()*0.000000001)</f>
        <v/>
      </c>
      <c r="L55">
        <f>IF(E55="","",E55+ROW()*0.000000001)</f>
        <v/>
      </c>
      <c r="M55">
        <f>IF(F55="","",F55+ROW()*0.000000001)</f>
        <v/>
      </c>
      <c r="N55">
        <f>IF(G55="","",G55+ROW()*0.000000001)</f>
        <v/>
      </c>
      <c r="O55">
        <f>IF(H55="","",H55+ROW()*0.000000001)</f>
        <v/>
      </c>
    </row>
    <row r="56">
      <c r="B56" s="4">
        <f>IF($A56="","",IF(COUNTIFS(데이터!$A$2:$A$20000,$A56,데이터!$E$2:$E$20000,1)=0,"",SUMIFS(데이터!$C$2:$C$20000,데이터!$A$2:$A$20000,$A56,데이터!$E$2:$E$20000,1)))</f>
        <v/>
      </c>
      <c r="C56" s="5">
        <f>IFERROR(IF(OR($B56="",COUNTIFS(데이터!$A$2:$A$20000,$A56,데이터!$E$2:$E$20000,설정!$B$2)=0),"",$B56/SUMIFS(데이터!$C$2:$C$20000,데이터!$A$2:$A$20000,$A56,데이터!$E$2:$E$20000,설정!$B$2)-1),"")</f>
        <v/>
      </c>
      <c r="D56" s="5">
        <f>IFERROR(IF(OR($B56="",COUNTIFS(데이터!$A$2:$A$20000,$A56,데이터!$E$2:$E$20000,설정!$B$3)=0),"",$B56/SUMIFS(데이터!$C$2:$C$20000,데이터!$A$2:$A$20000,$A56,데이터!$E$2:$E$20000,설정!$B$3)-1),"")</f>
        <v/>
      </c>
      <c r="E56" s="5">
        <f>IFERROR(IF(OR($B56="",COUNTIFS(데이터!$A$2:$A$20000,$A56,데이터!$E$2:$E$20000,설정!$B$4)=0),"",$B56/SUMIFS(데이터!$C$2:$C$20000,데이터!$A$2:$A$20000,$A56,데이터!$E$2:$E$20000,설정!$B$4)-1),"")</f>
        <v/>
      </c>
      <c r="F56" s="5">
        <f>IFERROR(IF(OR($B56="",COUNTIFS(데이터!$A$2:$A$20000,$A56,데이터!$E$2:$E$20000,설정!$B$5)=0),"",$B56/SUMIFS(데이터!$C$2:$C$20000,데이터!$A$2:$A$20000,$A56,데이터!$E$2:$E$20000,설정!$B$5)-1),"")</f>
        <v/>
      </c>
      <c r="G56" s="5">
        <f>IFERROR(IF(OR($B56="",COUNTIFS(데이터!$A$2:$A$20000,$A56,데이터!$E$2:$E$20000,설정!$B$6)=0),"",$B56/SUMIFS(데이터!$C$2:$C$20000,데이터!$A$2:$A$20000,$A56,데이터!$E$2:$E$20000,설정!$B$6)-1),"")</f>
        <v/>
      </c>
      <c r="H56" s="5">
        <f>IFERROR(IF(OR($B56="",COUNTIFS(데이터!$A$2:$A$20000,$A56,데이터!$E$2:$E$20000,설정!$B$7)=0),"",$B56/SUMIFS(데이터!$C$2:$C$20000,데이터!$A$2:$A$20000,$A56,데이터!$E$2:$E$20000,설정!$B$7)-1),"")</f>
        <v/>
      </c>
      <c r="J56">
        <f>IF(C56="","",C56+ROW()*0.000000001)</f>
        <v/>
      </c>
      <c r="K56">
        <f>IF(D56="","",D56+ROW()*0.000000001)</f>
        <v/>
      </c>
      <c r="L56">
        <f>IF(E56="","",E56+ROW()*0.000000001)</f>
        <v/>
      </c>
      <c r="M56">
        <f>IF(F56="","",F56+ROW()*0.000000001)</f>
        <v/>
      </c>
      <c r="N56">
        <f>IF(G56="","",G56+ROW()*0.000000001)</f>
        <v/>
      </c>
      <c r="O56">
        <f>IF(H56="","",H56+ROW()*0.000000001)</f>
        <v/>
      </c>
    </row>
    <row r="57">
      <c r="B57" s="4">
        <f>IF($A57="","",IF(COUNTIFS(데이터!$A$2:$A$20000,$A57,데이터!$E$2:$E$20000,1)=0,"",SUMIFS(데이터!$C$2:$C$20000,데이터!$A$2:$A$20000,$A57,데이터!$E$2:$E$20000,1)))</f>
        <v/>
      </c>
      <c r="C57" s="5">
        <f>IFERROR(IF(OR($B57="",COUNTIFS(데이터!$A$2:$A$20000,$A57,데이터!$E$2:$E$20000,설정!$B$2)=0),"",$B57/SUMIFS(데이터!$C$2:$C$20000,데이터!$A$2:$A$20000,$A57,데이터!$E$2:$E$20000,설정!$B$2)-1),"")</f>
        <v/>
      </c>
      <c r="D57" s="5">
        <f>IFERROR(IF(OR($B57="",COUNTIFS(데이터!$A$2:$A$20000,$A57,데이터!$E$2:$E$20000,설정!$B$3)=0),"",$B57/SUMIFS(데이터!$C$2:$C$20000,데이터!$A$2:$A$20000,$A57,데이터!$E$2:$E$20000,설정!$B$3)-1),"")</f>
        <v/>
      </c>
      <c r="E57" s="5">
        <f>IFERROR(IF(OR($B57="",COUNTIFS(데이터!$A$2:$A$20000,$A57,데이터!$E$2:$E$20000,설정!$B$4)=0),"",$B57/SUMIFS(데이터!$C$2:$C$20000,데이터!$A$2:$A$20000,$A57,데이터!$E$2:$E$20000,설정!$B$4)-1),"")</f>
        <v/>
      </c>
      <c r="F57" s="5">
        <f>IFERROR(IF(OR($B57="",COUNTIFS(데이터!$A$2:$A$20000,$A57,데이터!$E$2:$E$20000,설정!$B$5)=0),"",$B57/SUMIFS(데이터!$C$2:$C$20000,데이터!$A$2:$A$20000,$A57,데이터!$E$2:$E$20000,설정!$B$5)-1),"")</f>
        <v/>
      </c>
      <c r="G57" s="5">
        <f>IFERROR(IF(OR($B57="",COUNTIFS(데이터!$A$2:$A$20000,$A57,데이터!$E$2:$E$20000,설정!$B$6)=0),"",$B57/SUMIFS(데이터!$C$2:$C$20000,데이터!$A$2:$A$20000,$A57,데이터!$E$2:$E$20000,설정!$B$6)-1),"")</f>
        <v/>
      </c>
      <c r="H57" s="5">
        <f>IFERROR(IF(OR($B57="",COUNTIFS(데이터!$A$2:$A$20000,$A57,데이터!$E$2:$E$20000,설정!$B$7)=0),"",$B57/SUMIFS(데이터!$C$2:$C$20000,데이터!$A$2:$A$20000,$A57,데이터!$E$2:$E$20000,설정!$B$7)-1),"")</f>
        <v/>
      </c>
      <c r="J57">
        <f>IF(C57="","",C57+ROW()*0.000000001)</f>
        <v/>
      </c>
      <c r="K57">
        <f>IF(D57="","",D57+ROW()*0.000000001)</f>
        <v/>
      </c>
      <c r="L57">
        <f>IF(E57="","",E57+ROW()*0.000000001)</f>
        <v/>
      </c>
      <c r="M57">
        <f>IF(F57="","",F57+ROW()*0.000000001)</f>
        <v/>
      </c>
      <c r="N57">
        <f>IF(G57="","",G57+ROW()*0.000000001)</f>
        <v/>
      </c>
      <c r="O57">
        <f>IF(H57="","",H57+ROW()*0.000000001)</f>
        <v/>
      </c>
    </row>
    <row r="58">
      <c r="B58" s="4">
        <f>IF($A58="","",IF(COUNTIFS(데이터!$A$2:$A$20000,$A58,데이터!$E$2:$E$20000,1)=0,"",SUMIFS(데이터!$C$2:$C$20000,데이터!$A$2:$A$20000,$A58,데이터!$E$2:$E$20000,1)))</f>
        <v/>
      </c>
      <c r="C58" s="5">
        <f>IFERROR(IF(OR($B58="",COUNTIFS(데이터!$A$2:$A$20000,$A58,데이터!$E$2:$E$20000,설정!$B$2)=0),"",$B58/SUMIFS(데이터!$C$2:$C$20000,데이터!$A$2:$A$20000,$A58,데이터!$E$2:$E$20000,설정!$B$2)-1),"")</f>
        <v/>
      </c>
      <c r="D58" s="5">
        <f>IFERROR(IF(OR($B58="",COUNTIFS(데이터!$A$2:$A$20000,$A58,데이터!$E$2:$E$20000,설정!$B$3)=0),"",$B58/SUMIFS(데이터!$C$2:$C$20000,데이터!$A$2:$A$20000,$A58,데이터!$E$2:$E$20000,설정!$B$3)-1),"")</f>
        <v/>
      </c>
      <c r="E58" s="5">
        <f>IFERROR(IF(OR($B58="",COUNTIFS(데이터!$A$2:$A$20000,$A58,데이터!$E$2:$E$20000,설정!$B$4)=0),"",$B58/SUMIFS(데이터!$C$2:$C$20000,데이터!$A$2:$A$20000,$A58,데이터!$E$2:$E$20000,설정!$B$4)-1),"")</f>
        <v/>
      </c>
      <c r="F58" s="5">
        <f>IFERROR(IF(OR($B58="",COUNTIFS(데이터!$A$2:$A$20000,$A58,데이터!$E$2:$E$20000,설정!$B$5)=0),"",$B58/SUMIFS(데이터!$C$2:$C$20000,데이터!$A$2:$A$20000,$A58,데이터!$E$2:$E$20000,설정!$B$5)-1),"")</f>
        <v/>
      </c>
      <c r="G58" s="5">
        <f>IFERROR(IF(OR($B58="",COUNTIFS(데이터!$A$2:$A$20000,$A58,데이터!$E$2:$E$20000,설정!$B$6)=0),"",$B58/SUMIFS(데이터!$C$2:$C$20000,데이터!$A$2:$A$20000,$A58,데이터!$E$2:$E$20000,설정!$B$6)-1),"")</f>
        <v/>
      </c>
      <c r="H58" s="5">
        <f>IFERROR(IF(OR($B58="",COUNTIFS(데이터!$A$2:$A$20000,$A58,데이터!$E$2:$E$20000,설정!$B$7)=0),"",$B58/SUMIFS(데이터!$C$2:$C$20000,데이터!$A$2:$A$20000,$A58,데이터!$E$2:$E$20000,설정!$B$7)-1),"")</f>
        <v/>
      </c>
      <c r="J58">
        <f>IF(C58="","",C58+ROW()*0.000000001)</f>
        <v/>
      </c>
      <c r="K58">
        <f>IF(D58="","",D58+ROW()*0.000000001)</f>
        <v/>
      </c>
      <c r="L58">
        <f>IF(E58="","",E58+ROW()*0.000000001)</f>
        <v/>
      </c>
      <c r="M58">
        <f>IF(F58="","",F58+ROW()*0.000000001)</f>
        <v/>
      </c>
      <c r="N58">
        <f>IF(G58="","",G58+ROW()*0.000000001)</f>
        <v/>
      </c>
      <c r="O58">
        <f>IF(H58="","",H58+ROW()*0.000000001)</f>
        <v/>
      </c>
    </row>
    <row r="59">
      <c r="B59" s="4">
        <f>IF($A59="","",IF(COUNTIFS(데이터!$A$2:$A$20000,$A59,데이터!$E$2:$E$20000,1)=0,"",SUMIFS(데이터!$C$2:$C$20000,데이터!$A$2:$A$20000,$A59,데이터!$E$2:$E$20000,1)))</f>
        <v/>
      </c>
      <c r="C59" s="5">
        <f>IFERROR(IF(OR($B59="",COUNTIFS(데이터!$A$2:$A$20000,$A59,데이터!$E$2:$E$20000,설정!$B$2)=0),"",$B59/SUMIFS(데이터!$C$2:$C$20000,데이터!$A$2:$A$20000,$A59,데이터!$E$2:$E$20000,설정!$B$2)-1),"")</f>
        <v/>
      </c>
      <c r="D59" s="5">
        <f>IFERROR(IF(OR($B59="",COUNTIFS(데이터!$A$2:$A$20000,$A59,데이터!$E$2:$E$20000,설정!$B$3)=0),"",$B59/SUMIFS(데이터!$C$2:$C$20000,데이터!$A$2:$A$20000,$A59,데이터!$E$2:$E$20000,설정!$B$3)-1),"")</f>
        <v/>
      </c>
      <c r="E59" s="5">
        <f>IFERROR(IF(OR($B59="",COUNTIFS(데이터!$A$2:$A$20000,$A59,데이터!$E$2:$E$20000,설정!$B$4)=0),"",$B59/SUMIFS(데이터!$C$2:$C$20000,데이터!$A$2:$A$20000,$A59,데이터!$E$2:$E$20000,설정!$B$4)-1),"")</f>
        <v/>
      </c>
      <c r="F59" s="5">
        <f>IFERROR(IF(OR($B59="",COUNTIFS(데이터!$A$2:$A$20000,$A59,데이터!$E$2:$E$20000,설정!$B$5)=0),"",$B59/SUMIFS(데이터!$C$2:$C$20000,데이터!$A$2:$A$20000,$A59,데이터!$E$2:$E$20000,설정!$B$5)-1),"")</f>
        <v/>
      </c>
      <c r="G59" s="5">
        <f>IFERROR(IF(OR($B59="",COUNTIFS(데이터!$A$2:$A$20000,$A59,데이터!$E$2:$E$20000,설정!$B$6)=0),"",$B59/SUMIFS(데이터!$C$2:$C$20000,데이터!$A$2:$A$20000,$A59,데이터!$E$2:$E$20000,설정!$B$6)-1),"")</f>
        <v/>
      </c>
      <c r="H59" s="5">
        <f>IFERROR(IF(OR($B59="",COUNTIFS(데이터!$A$2:$A$20000,$A59,데이터!$E$2:$E$20000,설정!$B$7)=0),"",$B59/SUMIFS(데이터!$C$2:$C$20000,데이터!$A$2:$A$20000,$A59,데이터!$E$2:$E$20000,설정!$B$7)-1),"")</f>
        <v/>
      </c>
      <c r="J59">
        <f>IF(C59="","",C59+ROW()*0.000000001)</f>
        <v/>
      </c>
      <c r="K59">
        <f>IF(D59="","",D59+ROW()*0.000000001)</f>
        <v/>
      </c>
      <c r="L59">
        <f>IF(E59="","",E59+ROW()*0.000000001)</f>
        <v/>
      </c>
      <c r="M59">
        <f>IF(F59="","",F59+ROW()*0.000000001)</f>
        <v/>
      </c>
      <c r="N59">
        <f>IF(G59="","",G59+ROW()*0.000000001)</f>
        <v/>
      </c>
      <c r="O59">
        <f>IF(H59="","",H59+ROW()*0.000000001)</f>
        <v/>
      </c>
    </row>
    <row r="60">
      <c r="B60" s="4">
        <f>IF($A60="","",IF(COUNTIFS(데이터!$A$2:$A$20000,$A60,데이터!$E$2:$E$20000,1)=0,"",SUMIFS(데이터!$C$2:$C$20000,데이터!$A$2:$A$20000,$A60,데이터!$E$2:$E$20000,1)))</f>
        <v/>
      </c>
      <c r="C60" s="5">
        <f>IFERROR(IF(OR($B60="",COUNTIFS(데이터!$A$2:$A$20000,$A60,데이터!$E$2:$E$20000,설정!$B$2)=0),"",$B60/SUMIFS(데이터!$C$2:$C$20000,데이터!$A$2:$A$20000,$A60,데이터!$E$2:$E$20000,설정!$B$2)-1),"")</f>
        <v/>
      </c>
      <c r="D60" s="5">
        <f>IFERROR(IF(OR($B60="",COUNTIFS(데이터!$A$2:$A$20000,$A60,데이터!$E$2:$E$20000,설정!$B$3)=0),"",$B60/SUMIFS(데이터!$C$2:$C$20000,데이터!$A$2:$A$20000,$A60,데이터!$E$2:$E$20000,설정!$B$3)-1),"")</f>
        <v/>
      </c>
      <c r="E60" s="5">
        <f>IFERROR(IF(OR($B60="",COUNTIFS(데이터!$A$2:$A$20000,$A60,데이터!$E$2:$E$20000,설정!$B$4)=0),"",$B60/SUMIFS(데이터!$C$2:$C$20000,데이터!$A$2:$A$20000,$A60,데이터!$E$2:$E$20000,설정!$B$4)-1),"")</f>
        <v/>
      </c>
      <c r="F60" s="5">
        <f>IFERROR(IF(OR($B60="",COUNTIFS(데이터!$A$2:$A$20000,$A60,데이터!$E$2:$E$20000,설정!$B$5)=0),"",$B60/SUMIFS(데이터!$C$2:$C$20000,데이터!$A$2:$A$20000,$A60,데이터!$E$2:$E$20000,설정!$B$5)-1),"")</f>
        <v/>
      </c>
      <c r="G60" s="5">
        <f>IFERROR(IF(OR($B60="",COUNTIFS(데이터!$A$2:$A$20000,$A60,데이터!$E$2:$E$20000,설정!$B$6)=0),"",$B60/SUMIFS(데이터!$C$2:$C$20000,데이터!$A$2:$A$20000,$A60,데이터!$E$2:$E$20000,설정!$B$6)-1),"")</f>
        <v/>
      </c>
      <c r="H60" s="5">
        <f>IFERROR(IF(OR($B60="",COUNTIFS(데이터!$A$2:$A$20000,$A60,데이터!$E$2:$E$20000,설정!$B$7)=0),"",$B60/SUMIFS(데이터!$C$2:$C$20000,데이터!$A$2:$A$20000,$A60,데이터!$E$2:$E$20000,설정!$B$7)-1),"")</f>
        <v/>
      </c>
      <c r="J60">
        <f>IF(C60="","",C60+ROW()*0.000000001)</f>
        <v/>
      </c>
      <c r="K60">
        <f>IF(D60="","",D60+ROW()*0.000000001)</f>
        <v/>
      </c>
      <c r="L60">
        <f>IF(E60="","",E60+ROW()*0.000000001)</f>
        <v/>
      </c>
      <c r="M60">
        <f>IF(F60="","",F60+ROW()*0.000000001)</f>
        <v/>
      </c>
      <c r="N60">
        <f>IF(G60="","",G60+ROW()*0.000000001)</f>
        <v/>
      </c>
      <c r="O60">
        <f>IF(H60="","",H60+ROW()*0.000000001)</f>
        <v/>
      </c>
    </row>
    <row r="61">
      <c r="B61" s="4">
        <f>IF($A61="","",IF(COUNTIFS(데이터!$A$2:$A$20000,$A61,데이터!$E$2:$E$20000,1)=0,"",SUMIFS(데이터!$C$2:$C$20000,데이터!$A$2:$A$20000,$A61,데이터!$E$2:$E$20000,1)))</f>
        <v/>
      </c>
      <c r="C61" s="5">
        <f>IFERROR(IF(OR($B61="",COUNTIFS(데이터!$A$2:$A$20000,$A61,데이터!$E$2:$E$20000,설정!$B$2)=0),"",$B61/SUMIFS(데이터!$C$2:$C$20000,데이터!$A$2:$A$20000,$A61,데이터!$E$2:$E$20000,설정!$B$2)-1),"")</f>
        <v/>
      </c>
      <c r="D61" s="5">
        <f>IFERROR(IF(OR($B61="",COUNTIFS(데이터!$A$2:$A$20000,$A61,데이터!$E$2:$E$20000,설정!$B$3)=0),"",$B61/SUMIFS(데이터!$C$2:$C$20000,데이터!$A$2:$A$20000,$A61,데이터!$E$2:$E$20000,설정!$B$3)-1),"")</f>
        <v/>
      </c>
      <c r="E61" s="5">
        <f>IFERROR(IF(OR($B61="",COUNTIFS(데이터!$A$2:$A$20000,$A61,데이터!$E$2:$E$20000,설정!$B$4)=0),"",$B61/SUMIFS(데이터!$C$2:$C$20000,데이터!$A$2:$A$20000,$A61,데이터!$E$2:$E$20000,설정!$B$4)-1),"")</f>
        <v/>
      </c>
      <c r="F61" s="5">
        <f>IFERROR(IF(OR($B61="",COUNTIFS(데이터!$A$2:$A$20000,$A61,데이터!$E$2:$E$20000,설정!$B$5)=0),"",$B61/SUMIFS(데이터!$C$2:$C$20000,데이터!$A$2:$A$20000,$A61,데이터!$E$2:$E$20000,설정!$B$5)-1),"")</f>
        <v/>
      </c>
      <c r="G61" s="5">
        <f>IFERROR(IF(OR($B61="",COUNTIFS(데이터!$A$2:$A$20000,$A61,데이터!$E$2:$E$20000,설정!$B$6)=0),"",$B61/SUMIFS(데이터!$C$2:$C$20000,데이터!$A$2:$A$20000,$A61,데이터!$E$2:$E$20000,설정!$B$6)-1),"")</f>
        <v/>
      </c>
      <c r="H61" s="5">
        <f>IFERROR(IF(OR($B61="",COUNTIFS(데이터!$A$2:$A$20000,$A61,데이터!$E$2:$E$20000,설정!$B$7)=0),"",$B61/SUMIFS(데이터!$C$2:$C$20000,데이터!$A$2:$A$20000,$A61,데이터!$E$2:$E$20000,설정!$B$7)-1),"")</f>
        <v/>
      </c>
      <c r="J61">
        <f>IF(C61="","",C61+ROW()*0.000000001)</f>
        <v/>
      </c>
      <c r="K61">
        <f>IF(D61="","",D61+ROW()*0.000000001)</f>
        <v/>
      </c>
      <c r="L61">
        <f>IF(E61="","",E61+ROW()*0.000000001)</f>
        <v/>
      </c>
      <c r="M61">
        <f>IF(F61="","",F61+ROW()*0.000000001)</f>
        <v/>
      </c>
      <c r="N61">
        <f>IF(G61="","",G61+ROW()*0.000000001)</f>
        <v/>
      </c>
      <c r="O61">
        <f>IF(H61="","",H61+ROW()*0.000000001)</f>
        <v/>
      </c>
    </row>
    <row r="62">
      <c r="B62" s="4">
        <f>IF($A62="","",IF(COUNTIFS(데이터!$A$2:$A$20000,$A62,데이터!$E$2:$E$20000,1)=0,"",SUMIFS(데이터!$C$2:$C$20000,데이터!$A$2:$A$20000,$A62,데이터!$E$2:$E$20000,1)))</f>
        <v/>
      </c>
      <c r="C62" s="5">
        <f>IFERROR(IF(OR($B62="",COUNTIFS(데이터!$A$2:$A$20000,$A62,데이터!$E$2:$E$20000,설정!$B$2)=0),"",$B62/SUMIFS(데이터!$C$2:$C$20000,데이터!$A$2:$A$20000,$A62,데이터!$E$2:$E$20000,설정!$B$2)-1),"")</f>
        <v/>
      </c>
      <c r="D62" s="5">
        <f>IFERROR(IF(OR($B62="",COUNTIFS(데이터!$A$2:$A$20000,$A62,데이터!$E$2:$E$20000,설정!$B$3)=0),"",$B62/SUMIFS(데이터!$C$2:$C$20000,데이터!$A$2:$A$20000,$A62,데이터!$E$2:$E$20000,설정!$B$3)-1),"")</f>
        <v/>
      </c>
      <c r="E62" s="5">
        <f>IFERROR(IF(OR($B62="",COUNTIFS(데이터!$A$2:$A$20000,$A62,데이터!$E$2:$E$20000,설정!$B$4)=0),"",$B62/SUMIFS(데이터!$C$2:$C$20000,데이터!$A$2:$A$20000,$A62,데이터!$E$2:$E$20000,설정!$B$4)-1),"")</f>
        <v/>
      </c>
      <c r="F62" s="5">
        <f>IFERROR(IF(OR($B62="",COUNTIFS(데이터!$A$2:$A$20000,$A62,데이터!$E$2:$E$20000,설정!$B$5)=0),"",$B62/SUMIFS(데이터!$C$2:$C$20000,데이터!$A$2:$A$20000,$A62,데이터!$E$2:$E$20000,설정!$B$5)-1),"")</f>
        <v/>
      </c>
      <c r="G62" s="5">
        <f>IFERROR(IF(OR($B62="",COUNTIFS(데이터!$A$2:$A$20000,$A62,데이터!$E$2:$E$20000,설정!$B$6)=0),"",$B62/SUMIFS(데이터!$C$2:$C$20000,데이터!$A$2:$A$20000,$A62,데이터!$E$2:$E$20000,설정!$B$6)-1),"")</f>
        <v/>
      </c>
      <c r="H62" s="5">
        <f>IFERROR(IF(OR($B62="",COUNTIFS(데이터!$A$2:$A$20000,$A62,데이터!$E$2:$E$20000,설정!$B$7)=0),"",$B62/SUMIFS(데이터!$C$2:$C$20000,데이터!$A$2:$A$20000,$A62,데이터!$E$2:$E$20000,설정!$B$7)-1),"")</f>
        <v/>
      </c>
      <c r="J62">
        <f>IF(C62="","",C62+ROW()*0.000000001)</f>
        <v/>
      </c>
      <c r="K62">
        <f>IF(D62="","",D62+ROW()*0.000000001)</f>
        <v/>
      </c>
      <c r="L62">
        <f>IF(E62="","",E62+ROW()*0.000000001)</f>
        <v/>
      </c>
      <c r="M62">
        <f>IF(F62="","",F62+ROW()*0.000000001)</f>
        <v/>
      </c>
      <c r="N62">
        <f>IF(G62="","",G62+ROW()*0.000000001)</f>
        <v/>
      </c>
      <c r="O62">
        <f>IF(H62="","",H62+ROW()*0.000000001)</f>
        <v/>
      </c>
    </row>
    <row r="63">
      <c r="B63" s="4">
        <f>IF($A63="","",IF(COUNTIFS(데이터!$A$2:$A$20000,$A63,데이터!$E$2:$E$20000,1)=0,"",SUMIFS(데이터!$C$2:$C$20000,데이터!$A$2:$A$20000,$A63,데이터!$E$2:$E$20000,1)))</f>
        <v/>
      </c>
      <c r="C63" s="5">
        <f>IFERROR(IF(OR($B63="",COUNTIFS(데이터!$A$2:$A$20000,$A63,데이터!$E$2:$E$20000,설정!$B$2)=0),"",$B63/SUMIFS(데이터!$C$2:$C$20000,데이터!$A$2:$A$20000,$A63,데이터!$E$2:$E$20000,설정!$B$2)-1),"")</f>
        <v/>
      </c>
      <c r="D63" s="5">
        <f>IFERROR(IF(OR($B63="",COUNTIFS(데이터!$A$2:$A$20000,$A63,데이터!$E$2:$E$20000,설정!$B$3)=0),"",$B63/SUMIFS(데이터!$C$2:$C$20000,데이터!$A$2:$A$20000,$A63,데이터!$E$2:$E$20000,설정!$B$3)-1),"")</f>
        <v/>
      </c>
      <c r="E63" s="5">
        <f>IFERROR(IF(OR($B63="",COUNTIFS(데이터!$A$2:$A$20000,$A63,데이터!$E$2:$E$20000,설정!$B$4)=0),"",$B63/SUMIFS(데이터!$C$2:$C$20000,데이터!$A$2:$A$20000,$A63,데이터!$E$2:$E$20000,설정!$B$4)-1),"")</f>
        <v/>
      </c>
      <c r="F63" s="5">
        <f>IFERROR(IF(OR($B63="",COUNTIFS(데이터!$A$2:$A$20000,$A63,데이터!$E$2:$E$20000,설정!$B$5)=0),"",$B63/SUMIFS(데이터!$C$2:$C$20000,데이터!$A$2:$A$20000,$A63,데이터!$E$2:$E$20000,설정!$B$5)-1),"")</f>
        <v/>
      </c>
      <c r="G63" s="5">
        <f>IFERROR(IF(OR($B63="",COUNTIFS(데이터!$A$2:$A$20000,$A63,데이터!$E$2:$E$20000,설정!$B$6)=0),"",$B63/SUMIFS(데이터!$C$2:$C$20000,데이터!$A$2:$A$20000,$A63,데이터!$E$2:$E$20000,설정!$B$6)-1),"")</f>
        <v/>
      </c>
      <c r="H63" s="5">
        <f>IFERROR(IF(OR($B63="",COUNTIFS(데이터!$A$2:$A$20000,$A63,데이터!$E$2:$E$20000,설정!$B$7)=0),"",$B63/SUMIFS(데이터!$C$2:$C$20000,데이터!$A$2:$A$20000,$A63,데이터!$E$2:$E$20000,설정!$B$7)-1),"")</f>
        <v/>
      </c>
      <c r="J63">
        <f>IF(C63="","",C63+ROW()*0.000000001)</f>
        <v/>
      </c>
      <c r="K63">
        <f>IF(D63="","",D63+ROW()*0.000000001)</f>
        <v/>
      </c>
      <c r="L63">
        <f>IF(E63="","",E63+ROW()*0.000000001)</f>
        <v/>
      </c>
      <c r="M63">
        <f>IF(F63="","",F63+ROW()*0.000000001)</f>
        <v/>
      </c>
      <c r="N63">
        <f>IF(G63="","",G63+ROW()*0.000000001)</f>
        <v/>
      </c>
      <c r="O63">
        <f>IF(H63="","",H63+ROW()*0.000000001)</f>
        <v/>
      </c>
    </row>
    <row r="64">
      <c r="B64" s="4">
        <f>IF($A64="","",IF(COUNTIFS(데이터!$A$2:$A$20000,$A64,데이터!$E$2:$E$20000,1)=0,"",SUMIFS(데이터!$C$2:$C$20000,데이터!$A$2:$A$20000,$A64,데이터!$E$2:$E$20000,1)))</f>
        <v/>
      </c>
      <c r="C64" s="5">
        <f>IFERROR(IF(OR($B64="",COUNTIFS(데이터!$A$2:$A$20000,$A64,데이터!$E$2:$E$20000,설정!$B$2)=0),"",$B64/SUMIFS(데이터!$C$2:$C$20000,데이터!$A$2:$A$20000,$A64,데이터!$E$2:$E$20000,설정!$B$2)-1),"")</f>
        <v/>
      </c>
      <c r="D64" s="5">
        <f>IFERROR(IF(OR($B64="",COUNTIFS(데이터!$A$2:$A$20000,$A64,데이터!$E$2:$E$20000,설정!$B$3)=0),"",$B64/SUMIFS(데이터!$C$2:$C$20000,데이터!$A$2:$A$20000,$A64,데이터!$E$2:$E$20000,설정!$B$3)-1),"")</f>
        <v/>
      </c>
      <c r="E64" s="5">
        <f>IFERROR(IF(OR($B64="",COUNTIFS(데이터!$A$2:$A$20000,$A64,데이터!$E$2:$E$20000,설정!$B$4)=0),"",$B64/SUMIFS(데이터!$C$2:$C$20000,데이터!$A$2:$A$20000,$A64,데이터!$E$2:$E$20000,설정!$B$4)-1),"")</f>
        <v/>
      </c>
      <c r="F64" s="5">
        <f>IFERROR(IF(OR($B64="",COUNTIFS(데이터!$A$2:$A$20000,$A64,데이터!$E$2:$E$20000,설정!$B$5)=0),"",$B64/SUMIFS(데이터!$C$2:$C$20000,데이터!$A$2:$A$20000,$A64,데이터!$E$2:$E$20000,설정!$B$5)-1),"")</f>
        <v/>
      </c>
      <c r="G64" s="5">
        <f>IFERROR(IF(OR($B64="",COUNTIFS(데이터!$A$2:$A$20000,$A64,데이터!$E$2:$E$20000,설정!$B$6)=0),"",$B64/SUMIFS(데이터!$C$2:$C$20000,데이터!$A$2:$A$20000,$A64,데이터!$E$2:$E$20000,설정!$B$6)-1),"")</f>
        <v/>
      </c>
      <c r="H64" s="5">
        <f>IFERROR(IF(OR($B64="",COUNTIFS(데이터!$A$2:$A$20000,$A64,데이터!$E$2:$E$20000,설정!$B$7)=0),"",$B64/SUMIFS(데이터!$C$2:$C$20000,데이터!$A$2:$A$20000,$A64,데이터!$E$2:$E$20000,설정!$B$7)-1),"")</f>
        <v/>
      </c>
      <c r="J64">
        <f>IF(C64="","",C64+ROW()*0.000000001)</f>
        <v/>
      </c>
      <c r="K64">
        <f>IF(D64="","",D64+ROW()*0.000000001)</f>
        <v/>
      </c>
      <c r="L64">
        <f>IF(E64="","",E64+ROW()*0.000000001)</f>
        <v/>
      </c>
      <c r="M64">
        <f>IF(F64="","",F64+ROW()*0.000000001)</f>
        <v/>
      </c>
      <c r="N64">
        <f>IF(G64="","",G64+ROW()*0.000000001)</f>
        <v/>
      </c>
      <c r="O64">
        <f>IF(H64="","",H64+ROW()*0.000000001)</f>
        <v/>
      </c>
    </row>
    <row r="65">
      <c r="B65" s="4">
        <f>IF($A65="","",IF(COUNTIFS(데이터!$A$2:$A$20000,$A65,데이터!$E$2:$E$20000,1)=0,"",SUMIFS(데이터!$C$2:$C$20000,데이터!$A$2:$A$20000,$A65,데이터!$E$2:$E$20000,1)))</f>
        <v/>
      </c>
      <c r="C65" s="5">
        <f>IFERROR(IF(OR($B65="",COUNTIFS(데이터!$A$2:$A$20000,$A65,데이터!$E$2:$E$20000,설정!$B$2)=0),"",$B65/SUMIFS(데이터!$C$2:$C$20000,데이터!$A$2:$A$20000,$A65,데이터!$E$2:$E$20000,설정!$B$2)-1),"")</f>
        <v/>
      </c>
      <c r="D65" s="5">
        <f>IFERROR(IF(OR($B65="",COUNTIFS(데이터!$A$2:$A$20000,$A65,데이터!$E$2:$E$20000,설정!$B$3)=0),"",$B65/SUMIFS(데이터!$C$2:$C$20000,데이터!$A$2:$A$20000,$A65,데이터!$E$2:$E$20000,설정!$B$3)-1),"")</f>
        <v/>
      </c>
      <c r="E65" s="5">
        <f>IFERROR(IF(OR($B65="",COUNTIFS(데이터!$A$2:$A$20000,$A65,데이터!$E$2:$E$20000,설정!$B$4)=0),"",$B65/SUMIFS(데이터!$C$2:$C$20000,데이터!$A$2:$A$20000,$A65,데이터!$E$2:$E$20000,설정!$B$4)-1),"")</f>
        <v/>
      </c>
      <c r="F65" s="5">
        <f>IFERROR(IF(OR($B65="",COUNTIFS(데이터!$A$2:$A$20000,$A65,데이터!$E$2:$E$20000,설정!$B$5)=0),"",$B65/SUMIFS(데이터!$C$2:$C$20000,데이터!$A$2:$A$20000,$A65,데이터!$E$2:$E$20000,설정!$B$5)-1),"")</f>
        <v/>
      </c>
      <c r="G65" s="5">
        <f>IFERROR(IF(OR($B65="",COUNTIFS(데이터!$A$2:$A$20000,$A65,데이터!$E$2:$E$20000,설정!$B$6)=0),"",$B65/SUMIFS(데이터!$C$2:$C$20000,데이터!$A$2:$A$20000,$A65,데이터!$E$2:$E$20000,설정!$B$6)-1),"")</f>
        <v/>
      </c>
      <c r="H65" s="5">
        <f>IFERROR(IF(OR($B65="",COUNTIFS(데이터!$A$2:$A$20000,$A65,데이터!$E$2:$E$20000,설정!$B$7)=0),"",$B65/SUMIFS(데이터!$C$2:$C$20000,데이터!$A$2:$A$20000,$A65,데이터!$E$2:$E$20000,설정!$B$7)-1),"")</f>
        <v/>
      </c>
      <c r="J65">
        <f>IF(C65="","",C65+ROW()*0.000000001)</f>
        <v/>
      </c>
      <c r="K65">
        <f>IF(D65="","",D65+ROW()*0.000000001)</f>
        <v/>
      </c>
      <c r="L65">
        <f>IF(E65="","",E65+ROW()*0.000000001)</f>
        <v/>
      </c>
      <c r="M65">
        <f>IF(F65="","",F65+ROW()*0.000000001)</f>
        <v/>
      </c>
      <c r="N65">
        <f>IF(G65="","",G65+ROW()*0.000000001)</f>
        <v/>
      </c>
      <c r="O65">
        <f>IF(H65="","",H65+ROW()*0.000000001)</f>
        <v/>
      </c>
    </row>
    <row r="66">
      <c r="B66" s="4">
        <f>IF($A66="","",IF(COUNTIFS(데이터!$A$2:$A$20000,$A66,데이터!$E$2:$E$20000,1)=0,"",SUMIFS(데이터!$C$2:$C$20000,데이터!$A$2:$A$20000,$A66,데이터!$E$2:$E$20000,1)))</f>
        <v/>
      </c>
      <c r="C66" s="5">
        <f>IFERROR(IF(OR($B66="",COUNTIFS(데이터!$A$2:$A$20000,$A66,데이터!$E$2:$E$20000,설정!$B$2)=0),"",$B66/SUMIFS(데이터!$C$2:$C$20000,데이터!$A$2:$A$20000,$A66,데이터!$E$2:$E$20000,설정!$B$2)-1),"")</f>
        <v/>
      </c>
      <c r="D66" s="5">
        <f>IFERROR(IF(OR($B66="",COUNTIFS(데이터!$A$2:$A$20000,$A66,데이터!$E$2:$E$20000,설정!$B$3)=0),"",$B66/SUMIFS(데이터!$C$2:$C$20000,데이터!$A$2:$A$20000,$A66,데이터!$E$2:$E$20000,설정!$B$3)-1),"")</f>
        <v/>
      </c>
      <c r="E66" s="5">
        <f>IFERROR(IF(OR($B66="",COUNTIFS(데이터!$A$2:$A$20000,$A66,데이터!$E$2:$E$20000,설정!$B$4)=0),"",$B66/SUMIFS(데이터!$C$2:$C$20000,데이터!$A$2:$A$20000,$A66,데이터!$E$2:$E$20000,설정!$B$4)-1),"")</f>
        <v/>
      </c>
      <c r="F66" s="5">
        <f>IFERROR(IF(OR($B66="",COUNTIFS(데이터!$A$2:$A$20000,$A66,데이터!$E$2:$E$20000,설정!$B$5)=0),"",$B66/SUMIFS(데이터!$C$2:$C$20000,데이터!$A$2:$A$20000,$A66,데이터!$E$2:$E$20000,설정!$B$5)-1),"")</f>
        <v/>
      </c>
      <c r="G66" s="5">
        <f>IFERROR(IF(OR($B66="",COUNTIFS(데이터!$A$2:$A$20000,$A66,데이터!$E$2:$E$20000,설정!$B$6)=0),"",$B66/SUMIFS(데이터!$C$2:$C$20000,데이터!$A$2:$A$20000,$A66,데이터!$E$2:$E$20000,설정!$B$6)-1),"")</f>
        <v/>
      </c>
      <c r="H66" s="5">
        <f>IFERROR(IF(OR($B66="",COUNTIFS(데이터!$A$2:$A$20000,$A66,데이터!$E$2:$E$20000,설정!$B$7)=0),"",$B66/SUMIFS(데이터!$C$2:$C$20000,데이터!$A$2:$A$20000,$A66,데이터!$E$2:$E$20000,설정!$B$7)-1),"")</f>
        <v/>
      </c>
      <c r="J66">
        <f>IF(C66="","",C66+ROW()*0.000000001)</f>
        <v/>
      </c>
      <c r="K66">
        <f>IF(D66="","",D66+ROW()*0.000000001)</f>
        <v/>
      </c>
      <c r="L66">
        <f>IF(E66="","",E66+ROW()*0.000000001)</f>
        <v/>
      </c>
      <c r="M66">
        <f>IF(F66="","",F66+ROW()*0.000000001)</f>
        <v/>
      </c>
      <c r="N66">
        <f>IF(G66="","",G66+ROW()*0.000000001)</f>
        <v/>
      </c>
      <c r="O66">
        <f>IF(H66="","",H66+ROW()*0.000000001)</f>
        <v/>
      </c>
    </row>
    <row r="67">
      <c r="B67" s="4">
        <f>IF($A67="","",IF(COUNTIFS(데이터!$A$2:$A$20000,$A67,데이터!$E$2:$E$20000,1)=0,"",SUMIFS(데이터!$C$2:$C$20000,데이터!$A$2:$A$20000,$A67,데이터!$E$2:$E$20000,1)))</f>
        <v/>
      </c>
      <c r="C67" s="5">
        <f>IFERROR(IF(OR($B67="",COUNTIFS(데이터!$A$2:$A$20000,$A67,데이터!$E$2:$E$20000,설정!$B$2)=0),"",$B67/SUMIFS(데이터!$C$2:$C$20000,데이터!$A$2:$A$20000,$A67,데이터!$E$2:$E$20000,설정!$B$2)-1),"")</f>
        <v/>
      </c>
      <c r="D67" s="5">
        <f>IFERROR(IF(OR($B67="",COUNTIFS(데이터!$A$2:$A$20000,$A67,데이터!$E$2:$E$20000,설정!$B$3)=0),"",$B67/SUMIFS(데이터!$C$2:$C$20000,데이터!$A$2:$A$20000,$A67,데이터!$E$2:$E$20000,설정!$B$3)-1),"")</f>
        <v/>
      </c>
      <c r="E67" s="5">
        <f>IFERROR(IF(OR($B67="",COUNTIFS(데이터!$A$2:$A$20000,$A67,데이터!$E$2:$E$20000,설정!$B$4)=0),"",$B67/SUMIFS(데이터!$C$2:$C$20000,데이터!$A$2:$A$20000,$A67,데이터!$E$2:$E$20000,설정!$B$4)-1),"")</f>
        <v/>
      </c>
      <c r="F67" s="5">
        <f>IFERROR(IF(OR($B67="",COUNTIFS(데이터!$A$2:$A$20000,$A67,데이터!$E$2:$E$20000,설정!$B$5)=0),"",$B67/SUMIFS(데이터!$C$2:$C$20000,데이터!$A$2:$A$20000,$A67,데이터!$E$2:$E$20000,설정!$B$5)-1),"")</f>
        <v/>
      </c>
      <c r="G67" s="5">
        <f>IFERROR(IF(OR($B67="",COUNTIFS(데이터!$A$2:$A$20000,$A67,데이터!$E$2:$E$20000,설정!$B$6)=0),"",$B67/SUMIFS(데이터!$C$2:$C$20000,데이터!$A$2:$A$20000,$A67,데이터!$E$2:$E$20000,설정!$B$6)-1),"")</f>
        <v/>
      </c>
      <c r="H67" s="5">
        <f>IFERROR(IF(OR($B67="",COUNTIFS(데이터!$A$2:$A$20000,$A67,데이터!$E$2:$E$20000,설정!$B$7)=0),"",$B67/SUMIFS(데이터!$C$2:$C$20000,데이터!$A$2:$A$20000,$A67,데이터!$E$2:$E$20000,설정!$B$7)-1),"")</f>
        <v/>
      </c>
      <c r="J67">
        <f>IF(C67="","",C67+ROW()*0.000000001)</f>
        <v/>
      </c>
      <c r="K67">
        <f>IF(D67="","",D67+ROW()*0.000000001)</f>
        <v/>
      </c>
      <c r="L67">
        <f>IF(E67="","",E67+ROW()*0.000000001)</f>
        <v/>
      </c>
      <c r="M67">
        <f>IF(F67="","",F67+ROW()*0.000000001)</f>
        <v/>
      </c>
      <c r="N67">
        <f>IF(G67="","",G67+ROW()*0.000000001)</f>
        <v/>
      </c>
      <c r="O67">
        <f>IF(H67="","",H67+ROW()*0.000000001)</f>
        <v/>
      </c>
    </row>
    <row r="68">
      <c r="B68" s="4">
        <f>IF($A68="","",IF(COUNTIFS(데이터!$A$2:$A$20000,$A68,데이터!$E$2:$E$20000,1)=0,"",SUMIFS(데이터!$C$2:$C$20000,데이터!$A$2:$A$20000,$A68,데이터!$E$2:$E$20000,1)))</f>
        <v/>
      </c>
      <c r="C68" s="5">
        <f>IFERROR(IF(OR($B68="",COUNTIFS(데이터!$A$2:$A$20000,$A68,데이터!$E$2:$E$20000,설정!$B$2)=0),"",$B68/SUMIFS(데이터!$C$2:$C$20000,데이터!$A$2:$A$20000,$A68,데이터!$E$2:$E$20000,설정!$B$2)-1),"")</f>
        <v/>
      </c>
      <c r="D68" s="5">
        <f>IFERROR(IF(OR($B68="",COUNTIFS(데이터!$A$2:$A$20000,$A68,데이터!$E$2:$E$20000,설정!$B$3)=0),"",$B68/SUMIFS(데이터!$C$2:$C$20000,데이터!$A$2:$A$20000,$A68,데이터!$E$2:$E$20000,설정!$B$3)-1),"")</f>
        <v/>
      </c>
      <c r="E68" s="5">
        <f>IFERROR(IF(OR($B68="",COUNTIFS(데이터!$A$2:$A$20000,$A68,데이터!$E$2:$E$20000,설정!$B$4)=0),"",$B68/SUMIFS(데이터!$C$2:$C$20000,데이터!$A$2:$A$20000,$A68,데이터!$E$2:$E$20000,설정!$B$4)-1),"")</f>
        <v/>
      </c>
      <c r="F68" s="5">
        <f>IFERROR(IF(OR($B68="",COUNTIFS(데이터!$A$2:$A$20000,$A68,데이터!$E$2:$E$20000,설정!$B$5)=0),"",$B68/SUMIFS(데이터!$C$2:$C$20000,데이터!$A$2:$A$20000,$A68,데이터!$E$2:$E$20000,설정!$B$5)-1),"")</f>
        <v/>
      </c>
      <c r="G68" s="5">
        <f>IFERROR(IF(OR($B68="",COUNTIFS(데이터!$A$2:$A$20000,$A68,데이터!$E$2:$E$20000,설정!$B$6)=0),"",$B68/SUMIFS(데이터!$C$2:$C$20000,데이터!$A$2:$A$20000,$A68,데이터!$E$2:$E$20000,설정!$B$6)-1),"")</f>
        <v/>
      </c>
      <c r="H68" s="5">
        <f>IFERROR(IF(OR($B68="",COUNTIFS(데이터!$A$2:$A$20000,$A68,데이터!$E$2:$E$20000,설정!$B$7)=0),"",$B68/SUMIFS(데이터!$C$2:$C$20000,데이터!$A$2:$A$20000,$A68,데이터!$E$2:$E$20000,설정!$B$7)-1),"")</f>
        <v/>
      </c>
      <c r="J68">
        <f>IF(C68="","",C68+ROW()*0.000000001)</f>
        <v/>
      </c>
      <c r="K68">
        <f>IF(D68="","",D68+ROW()*0.000000001)</f>
        <v/>
      </c>
      <c r="L68">
        <f>IF(E68="","",E68+ROW()*0.000000001)</f>
        <v/>
      </c>
      <c r="M68">
        <f>IF(F68="","",F68+ROW()*0.000000001)</f>
        <v/>
      </c>
      <c r="N68">
        <f>IF(G68="","",G68+ROW()*0.000000001)</f>
        <v/>
      </c>
      <c r="O68">
        <f>IF(H68="","",H68+ROW()*0.000000001)</f>
        <v/>
      </c>
    </row>
    <row r="69">
      <c r="B69" s="4">
        <f>IF($A69="","",IF(COUNTIFS(데이터!$A$2:$A$20000,$A69,데이터!$E$2:$E$20000,1)=0,"",SUMIFS(데이터!$C$2:$C$20000,데이터!$A$2:$A$20000,$A69,데이터!$E$2:$E$20000,1)))</f>
        <v/>
      </c>
      <c r="C69" s="5">
        <f>IFERROR(IF(OR($B69="",COUNTIFS(데이터!$A$2:$A$20000,$A69,데이터!$E$2:$E$20000,설정!$B$2)=0),"",$B69/SUMIFS(데이터!$C$2:$C$20000,데이터!$A$2:$A$20000,$A69,데이터!$E$2:$E$20000,설정!$B$2)-1),"")</f>
        <v/>
      </c>
      <c r="D69" s="5">
        <f>IFERROR(IF(OR($B69="",COUNTIFS(데이터!$A$2:$A$20000,$A69,데이터!$E$2:$E$20000,설정!$B$3)=0),"",$B69/SUMIFS(데이터!$C$2:$C$20000,데이터!$A$2:$A$20000,$A69,데이터!$E$2:$E$20000,설정!$B$3)-1),"")</f>
        <v/>
      </c>
      <c r="E69" s="5">
        <f>IFERROR(IF(OR($B69="",COUNTIFS(데이터!$A$2:$A$20000,$A69,데이터!$E$2:$E$20000,설정!$B$4)=0),"",$B69/SUMIFS(데이터!$C$2:$C$20000,데이터!$A$2:$A$20000,$A69,데이터!$E$2:$E$20000,설정!$B$4)-1),"")</f>
        <v/>
      </c>
      <c r="F69" s="5">
        <f>IFERROR(IF(OR($B69="",COUNTIFS(데이터!$A$2:$A$20000,$A69,데이터!$E$2:$E$20000,설정!$B$5)=0),"",$B69/SUMIFS(데이터!$C$2:$C$20000,데이터!$A$2:$A$20000,$A69,데이터!$E$2:$E$20000,설정!$B$5)-1),"")</f>
        <v/>
      </c>
      <c r="G69" s="5">
        <f>IFERROR(IF(OR($B69="",COUNTIFS(데이터!$A$2:$A$20000,$A69,데이터!$E$2:$E$20000,설정!$B$6)=0),"",$B69/SUMIFS(데이터!$C$2:$C$20000,데이터!$A$2:$A$20000,$A69,데이터!$E$2:$E$20000,설정!$B$6)-1),"")</f>
        <v/>
      </c>
      <c r="H69" s="5">
        <f>IFERROR(IF(OR($B69="",COUNTIFS(데이터!$A$2:$A$20000,$A69,데이터!$E$2:$E$20000,설정!$B$7)=0),"",$B69/SUMIFS(데이터!$C$2:$C$20000,데이터!$A$2:$A$20000,$A69,데이터!$E$2:$E$20000,설정!$B$7)-1),"")</f>
        <v/>
      </c>
      <c r="J69">
        <f>IF(C69="","",C69+ROW()*0.000000001)</f>
        <v/>
      </c>
      <c r="K69">
        <f>IF(D69="","",D69+ROW()*0.000000001)</f>
        <v/>
      </c>
      <c r="L69">
        <f>IF(E69="","",E69+ROW()*0.000000001)</f>
        <v/>
      </c>
      <c r="M69">
        <f>IF(F69="","",F69+ROW()*0.000000001)</f>
        <v/>
      </c>
      <c r="N69">
        <f>IF(G69="","",G69+ROW()*0.000000001)</f>
        <v/>
      </c>
      <c r="O69">
        <f>IF(H69="","",H69+ROW()*0.000000001)</f>
        <v/>
      </c>
    </row>
    <row r="70">
      <c r="B70" s="4">
        <f>IF($A70="","",IF(COUNTIFS(데이터!$A$2:$A$20000,$A70,데이터!$E$2:$E$20000,1)=0,"",SUMIFS(데이터!$C$2:$C$20000,데이터!$A$2:$A$20000,$A70,데이터!$E$2:$E$20000,1)))</f>
        <v/>
      </c>
      <c r="C70" s="5">
        <f>IFERROR(IF(OR($B70="",COUNTIFS(데이터!$A$2:$A$20000,$A70,데이터!$E$2:$E$20000,설정!$B$2)=0),"",$B70/SUMIFS(데이터!$C$2:$C$20000,데이터!$A$2:$A$20000,$A70,데이터!$E$2:$E$20000,설정!$B$2)-1),"")</f>
        <v/>
      </c>
      <c r="D70" s="5">
        <f>IFERROR(IF(OR($B70="",COUNTIFS(데이터!$A$2:$A$20000,$A70,데이터!$E$2:$E$20000,설정!$B$3)=0),"",$B70/SUMIFS(데이터!$C$2:$C$20000,데이터!$A$2:$A$20000,$A70,데이터!$E$2:$E$20000,설정!$B$3)-1),"")</f>
        <v/>
      </c>
      <c r="E70" s="5">
        <f>IFERROR(IF(OR($B70="",COUNTIFS(데이터!$A$2:$A$20000,$A70,데이터!$E$2:$E$20000,설정!$B$4)=0),"",$B70/SUMIFS(데이터!$C$2:$C$20000,데이터!$A$2:$A$20000,$A70,데이터!$E$2:$E$20000,설정!$B$4)-1),"")</f>
        <v/>
      </c>
      <c r="F70" s="5">
        <f>IFERROR(IF(OR($B70="",COUNTIFS(데이터!$A$2:$A$20000,$A70,데이터!$E$2:$E$20000,설정!$B$5)=0),"",$B70/SUMIFS(데이터!$C$2:$C$20000,데이터!$A$2:$A$20000,$A70,데이터!$E$2:$E$20000,설정!$B$5)-1),"")</f>
        <v/>
      </c>
      <c r="G70" s="5">
        <f>IFERROR(IF(OR($B70="",COUNTIFS(데이터!$A$2:$A$20000,$A70,데이터!$E$2:$E$20000,설정!$B$6)=0),"",$B70/SUMIFS(데이터!$C$2:$C$20000,데이터!$A$2:$A$20000,$A70,데이터!$E$2:$E$20000,설정!$B$6)-1),"")</f>
        <v/>
      </c>
      <c r="H70" s="5">
        <f>IFERROR(IF(OR($B70="",COUNTIFS(데이터!$A$2:$A$20000,$A70,데이터!$E$2:$E$20000,설정!$B$7)=0),"",$B70/SUMIFS(데이터!$C$2:$C$20000,데이터!$A$2:$A$20000,$A70,데이터!$E$2:$E$20000,설정!$B$7)-1),"")</f>
        <v/>
      </c>
      <c r="J70">
        <f>IF(C70="","",C70+ROW()*0.000000001)</f>
        <v/>
      </c>
      <c r="K70">
        <f>IF(D70="","",D70+ROW()*0.000000001)</f>
        <v/>
      </c>
      <c r="L70">
        <f>IF(E70="","",E70+ROW()*0.000000001)</f>
        <v/>
      </c>
      <c r="M70">
        <f>IF(F70="","",F70+ROW()*0.000000001)</f>
        <v/>
      </c>
      <c r="N70">
        <f>IF(G70="","",G70+ROW()*0.000000001)</f>
        <v/>
      </c>
      <c r="O70">
        <f>IF(H70="","",H70+ROW()*0.000000001)</f>
        <v/>
      </c>
    </row>
    <row r="71">
      <c r="B71" s="4">
        <f>IF($A71="","",IF(COUNTIFS(데이터!$A$2:$A$20000,$A71,데이터!$E$2:$E$20000,1)=0,"",SUMIFS(데이터!$C$2:$C$20000,데이터!$A$2:$A$20000,$A71,데이터!$E$2:$E$20000,1)))</f>
        <v/>
      </c>
      <c r="C71" s="5">
        <f>IFERROR(IF(OR($B71="",COUNTIFS(데이터!$A$2:$A$20000,$A71,데이터!$E$2:$E$20000,설정!$B$2)=0),"",$B71/SUMIFS(데이터!$C$2:$C$20000,데이터!$A$2:$A$20000,$A71,데이터!$E$2:$E$20000,설정!$B$2)-1),"")</f>
        <v/>
      </c>
      <c r="D71" s="5">
        <f>IFERROR(IF(OR($B71="",COUNTIFS(데이터!$A$2:$A$20000,$A71,데이터!$E$2:$E$20000,설정!$B$3)=0),"",$B71/SUMIFS(데이터!$C$2:$C$20000,데이터!$A$2:$A$20000,$A71,데이터!$E$2:$E$20000,설정!$B$3)-1),"")</f>
        <v/>
      </c>
      <c r="E71" s="5">
        <f>IFERROR(IF(OR($B71="",COUNTIFS(데이터!$A$2:$A$20000,$A71,데이터!$E$2:$E$20000,설정!$B$4)=0),"",$B71/SUMIFS(데이터!$C$2:$C$20000,데이터!$A$2:$A$20000,$A71,데이터!$E$2:$E$20000,설정!$B$4)-1),"")</f>
        <v/>
      </c>
      <c r="F71" s="5">
        <f>IFERROR(IF(OR($B71="",COUNTIFS(데이터!$A$2:$A$20000,$A71,데이터!$E$2:$E$20000,설정!$B$5)=0),"",$B71/SUMIFS(데이터!$C$2:$C$20000,데이터!$A$2:$A$20000,$A71,데이터!$E$2:$E$20000,설정!$B$5)-1),"")</f>
        <v/>
      </c>
      <c r="G71" s="5">
        <f>IFERROR(IF(OR($B71="",COUNTIFS(데이터!$A$2:$A$20000,$A71,데이터!$E$2:$E$20000,설정!$B$6)=0),"",$B71/SUMIFS(데이터!$C$2:$C$20000,데이터!$A$2:$A$20000,$A71,데이터!$E$2:$E$20000,설정!$B$6)-1),"")</f>
        <v/>
      </c>
      <c r="H71" s="5">
        <f>IFERROR(IF(OR($B71="",COUNTIFS(데이터!$A$2:$A$20000,$A71,데이터!$E$2:$E$20000,설정!$B$7)=0),"",$B71/SUMIFS(데이터!$C$2:$C$20000,데이터!$A$2:$A$20000,$A71,데이터!$E$2:$E$20000,설정!$B$7)-1),"")</f>
        <v/>
      </c>
      <c r="J71">
        <f>IF(C71="","",C71+ROW()*0.000000001)</f>
        <v/>
      </c>
      <c r="K71">
        <f>IF(D71="","",D71+ROW()*0.000000001)</f>
        <v/>
      </c>
      <c r="L71">
        <f>IF(E71="","",E71+ROW()*0.000000001)</f>
        <v/>
      </c>
      <c r="M71">
        <f>IF(F71="","",F71+ROW()*0.000000001)</f>
        <v/>
      </c>
      <c r="N71">
        <f>IF(G71="","",G71+ROW()*0.000000001)</f>
        <v/>
      </c>
      <c r="O71">
        <f>IF(H71="","",H71+ROW()*0.000000001)</f>
        <v/>
      </c>
    </row>
    <row r="72">
      <c r="B72" s="4">
        <f>IF($A72="","",IF(COUNTIFS(데이터!$A$2:$A$20000,$A72,데이터!$E$2:$E$20000,1)=0,"",SUMIFS(데이터!$C$2:$C$20000,데이터!$A$2:$A$20000,$A72,데이터!$E$2:$E$20000,1)))</f>
        <v/>
      </c>
      <c r="C72" s="5">
        <f>IFERROR(IF(OR($B72="",COUNTIFS(데이터!$A$2:$A$20000,$A72,데이터!$E$2:$E$20000,설정!$B$2)=0),"",$B72/SUMIFS(데이터!$C$2:$C$20000,데이터!$A$2:$A$20000,$A72,데이터!$E$2:$E$20000,설정!$B$2)-1),"")</f>
        <v/>
      </c>
      <c r="D72" s="5">
        <f>IFERROR(IF(OR($B72="",COUNTIFS(데이터!$A$2:$A$20000,$A72,데이터!$E$2:$E$20000,설정!$B$3)=0),"",$B72/SUMIFS(데이터!$C$2:$C$20000,데이터!$A$2:$A$20000,$A72,데이터!$E$2:$E$20000,설정!$B$3)-1),"")</f>
        <v/>
      </c>
      <c r="E72" s="5">
        <f>IFERROR(IF(OR($B72="",COUNTIFS(데이터!$A$2:$A$20000,$A72,데이터!$E$2:$E$20000,설정!$B$4)=0),"",$B72/SUMIFS(데이터!$C$2:$C$20000,데이터!$A$2:$A$20000,$A72,데이터!$E$2:$E$20000,설정!$B$4)-1),"")</f>
        <v/>
      </c>
      <c r="F72" s="5">
        <f>IFERROR(IF(OR($B72="",COUNTIFS(데이터!$A$2:$A$20000,$A72,데이터!$E$2:$E$20000,설정!$B$5)=0),"",$B72/SUMIFS(데이터!$C$2:$C$20000,데이터!$A$2:$A$20000,$A72,데이터!$E$2:$E$20000,설정!$B$5)-1),"")</f>
        <v/>
      </c>
      <c r="G72" s="5">
        <f>IFERROR(IF(OR($B72="",COUNTIFS(데이터!$A$2:$A$20000,$A72,데이터!$E$2:$E$20000,설정!$B$6)=0),"",$B72/SUMIFS(데이터!$C$2:$C$20000,데이터!$A$2:$A$20000,$A72,데이터!$E$2:$E$20000,설정!$B$6)-1),"")</f>
        <v/>
      </c>
      <c r="H72" s="5">
        <f>IFERROR(IF(OR($B72="",COUNTIFS(데이터!$A$2:$A$20000,$A72,데이터!$E$2:$E$20000,설정!$B$7)=0),"",$B72/SUMIFS(데이터!$C$2:$C$20000,데이터!$A$2:$A$20000,$A72,데이터!$E$2:$E$20000,설정!$B$7)-1),"")</f>
        <v/>
      </c>
      <c r="J72">
        <f>IF(C72="","",C72+ROW()*0.000000001)</f>
        <v/>
      </c>
      <c r="K72">
        <f>IF(D72="","",D72+ROW()*0.000000001)</f>
        <v/>
      </c>
      <c r="L72">
        <f>IF(E72="","",E72+ROW()*0.000000001)</f>
        <v/>
      </c>
      <c r="M72">
        <f>IF(F72="","",F72+ROW()*0.000000001)</f>
        <v/>
      </c>
      <c r="N72">
        <f>IF(G72="","",G72+ROW()*0.000000001)</f>
        <v/>
      </c>
      <c r="O72">
        <f>IF(H72="","",H72+ROW()*0.000000001)</f>
        <v/>
      </c>
    </row>
    <row r="73">
      <c r="B73" s="4">
        <f>IF($A73="","",IF(COUNTIFS(데이터!$A$2:$A$20000,$A73,데이터!$E$2:$E$20000,1)=0,"",SUMIFS(데이터!$C$2:$C$20000,데이터!$A$2:$A$20000,$A73,데이터!$E$2:$E$20000,1)))</f>
        <v/>
      </c>
      <c r="C73" s="5">
        <f>IFERROR(IF(OR($B73="",COUNTIFS(데이터!$A$2:$A$20000,$A73,데이터!$E$2:$E$20000,설정!$B$2)=0),"",$B73/SUMIFS(데이터!$C$2:$C$20000,데이터!$A$2:$A$20000,$A73,데이터!$E$2:$E$20000,설정!$B$2)-1),"")</f>
        <v/>
      </c>
      <c r="D73" s="5">
        <f>IFERROR(IF(OR($B73="",COUNTIFS(데이터!$A$2:$A$20000,$A73,데이터!$E$2:$E$20000,설정!$B$3)=0),"",$B73/SUMIFS(데이터!$C$2:$C$20000,데이터!$A$2:$A$20000,$A73,데이터!$E$2:$E$20000,설정!$B$3)-1),"")</f>
        <v/>
      </c>
      <c r="E73" s="5">
        <f>IFERROR(IF(OR($B73="",COUNTIFS(데이터!$A$2:$A$20000,$A73,데이터!$E$2:$E$20000,설정!$B$4)=0),"",$B73/SUMIFS(데이터!$C$2:$C$20000,데이터!$A$2:$A$20000,$A73,데이터!$E$2:$E$20000,설정!$B$4)-1),"")</f>
        <v/>
      </c>
      <c r="F73" s="5">
        <f>IFERROR(IF(OR($B73="",COUNTIFS(데이터!$A$2:$A$20000,$A73,데이터!$E$2:$E$20000,설정!$B$5)=0),"",$B73/SUMIFS(데이터!$C$2:$C$20000,데이터!$A$2:$A$20000,$A73,데이터!$E$2:$E$20000,설정!$B$5)-1),"")</f>
        <v/>
      </c>
      <c r="G73" s="5">
        <f>IFERROR(IF(OR($B73="",COUNTIFS(데이터!$A$2:$A$20000,$A73,데이터!$E$2:$E$20000,설정!$B$6)=0),"",$B73/SUMIFS(데이터!$C$2:$C$20000,데이터!$A$2:$A$20000,$A73,데이터!$E$2:$E$20000,설정!$B$6)-1),"")</f>
        <v/>
      </c>
      <c r="H73" s="5">
        <f>IFERROR(IF(OR($B73="",COUNTIFS(데이터!$A$2:$A$20000,$A73,데이터!$E$2:$E$20000,설정!$B$7)=0),"",$B73/SUMIFS(데이터!$C$2:$C$20000,데이터!$A$2:$A$20000,$A73,데이터!$E$2:$E$20000,설정!$B$7)-1),"")</f>
        <v/>
      </c>
      <c r="J73">
        <f>IF(C73="","",C73+ROW()*0.000000001)</f>
        <v/>
      </c>
      <c r="K73">
        <f>IF(D73="","",D73+ROW()*0.000000001)</f>
        <v/>
      </c>
      <c r="L73">
        <f>IF(E73="","",E73+ROW()*0.000000001)</f>
        <v/>
      </c>
      <c r="M73">
        <f>IF(F73="","",F73+ROW()*0.000000001)</f>
        <v/>
      </c>
      <c r="N73">
        <f>IF(G73="","",G73+ROW()*0.000000001)</f>
        <v/>
      </c>
      <c r="O73">
        <f>IF(H73="","",H73+ROW()*0.000000001)</f>
        <v/>
      </c>
    </row>
    <row r="74">
      <c r="B74" s="4">
        <f>IF($A74="","",IF(COUNTIFS(데이터!$A$2:$A$20000,$A74,데이터!$E$2:$E$20000,1)=0,"",SUMIFS(데이터!$C$2:$C$20000,데이터!$A$2:$A$20000,$A74,데이터!$E$2:$E$20000,1)))</f>
        <v/>
      </c>
      <c r="C74" s="5">
        <f>IFERROR(IF(OR($B74="",COUNTIFS(데이터!$A$2:$A$20000,$A74,데이터!$E$2:$E$20000,설정!$B$2)=0),"",$B74/SUMIFS(데이터!$C$2:$C$20000,데이터!$A$2:$A$20000,$A74,데이터!$E$2:$E$20000,설정!$B$2)-1),"")</f>
        <v/>
      </c>
      <c r="D74" s="5">
        <f>IFERROR(IF(OR($B74="",COUNTIFS(데이터!$A$2:$A$20000,$A74,데이터!$E$2:$E$20000,설정!$B$3)=0),"",$B74/SUMIFS(데이터!$C$2:$C$20000,데이터!$A$2:$A$20000,$A74,데이터!$E$2:$E$20000,설정!$B$3)-1),"")</f>
        <v/>
      </c>
      <c r="E74" s="5">
        <f>IFERROR(IF(OR($B74="",COUNTIFS(데이터!$A$2:$A$20000,$A74,데이터!$E$2:$E$20000,설정!$B$4)=0),"",$B74/SUMIFS(데이터!$C$2:$C$20000,데이터!$A$2:$A$20000,$A74,데이터!$E$2:$E$20000,설정!$B$4)-1),"")</f>
        <v/>
      </c>
      <c r="F74" s="5">
        <f>IFERROR(IF(OR($B74="",COUNTIFS(데이터!$A$2:$A$20000,$A74,데이터!$E$2:$E$20000,설정!$B$5)=0),"",$B74/SUMIFS(데이터!$C$2:$C$20000,데이터!$A$2:$A$20000,$A74,데이터!$E$2:$E$20000,설정!$B$5)-1),"")</f>
        <v/>
      </c>
      <c r="G74" s="5">
        <f>IFERROR(IF(OR($B74="",COUNTIFS(데이터!$A$2:$A$20000,$A74,데이터!$E$2:$E$20000,설정!$B$6)=0),"",$B74/SUMIFS(데이터!$C$2:$C$20000,데이터!$A$2:$A$20000,$A74,데이터!$E$2:$E$20000,설정!$B$6)-1),"")</f>
        <v/>
      </c>
      <c r="H74" s="5">
        <f>IFERROR(IF(OR($B74="",COUNTIFS(데이터!$A$2:$A$20000,$A74,데이터!$E$2:$E$20000,설정!$B$7)=0),"",$B74/SUMIFS(데이터!$C$2:$C$20000,데이터!$A$2:$A$20000,$A74,데이터!$E$2:$E$20000,설정!$B$7)-1),"")</f>
        <v/>
      </c>
      <c r="J74">
        <f>IF(C74="","",C74+ROW()*0.000000001)</f>
        <v/>
      </c>
      <c r="K74">
        <f>IF(D74="","",D74+ROW()*0.000000001)</f>
        <v/>
      </c>
      <c r="L74">
        <f>IF(E74="","",E74+ROW()*0.000000001)</f>
        <v/>
      </c>
      <c r="M74">
        <f>IF(F74="","",F74+ROW()*0.000000001)</f>
        <v/>
      </c>
      <c r="N74">
        <f>IF(G74="","",G74+ROW()*0.000000001)</f>
        <v/>
      </c>
      <c r="O74">
        <f>IF(H74="","",H74+ROW()*0.000000001)</f>
        <v/>
      </c>
    </row>
    <row r="75">
      <c r="B75" s="4">
        <f>IF($A75="","",IF(COUNTIFS(데이터!$A$2:$A$20000,$A75,데이터!$E$2:$E$20000,1)=0,"",SUMIFS(데이터!$C$2:$C$20000,데이터!$A$2:$A$20000,$A75,데이터!$E$2:$E$20000,1)))</f>
        <v/>
      </c>
      <c r="C75" s="5">
        <f>IFERROR(IF(OR($B75="",COUNTIFS(데이터!$A$2:$A$20000,$A75,데이터!$E$2:$E$20000,설정!$B$2)=0),"",$B75/SUMIFS(데이터!$C$2:$C$20000,데이터!$A$2:$A$20000,$A75,데이터!$E$2:$E$20000,설정!$B$2)-1),"")</f>
        <v/>
      </c>
      <c r="D75" s="5">
        <f>IFERROR(IF(OR($B75="",COUNTIFS(데이터!$A$2:$A$20000,$A75,데이터!$E$2:$E$20000,설정!$B$3)=0),"",$B75/SUMIFS(데이터!$C$2:$C$20000,데이터!$A$2:$A$20000,$A75,데이터!$E$2:$E$20000,설정!$B$3)-1),"")</f>
        <v/>
      </c>
      <c r="E75" s="5">
        <f>IFERROR(IF(OR($B75="",COUNTIFS(데이터!$A$2:$A$20000,$A75,데이터!$E$2:$E$20000,설정!$B$4)=0),"",$B75/SUMIFS(데이터!$C$2:$C$20000,데이터!$A$2:$A$20000,$A75,데이터!$E$2:$E$20000,설정!$B$4)-1),"")</f>
        <v/>
      </c>
      <c r="F75" s="5">
        <f>IFERROR(IF(OR($B75="",COUNTIFS(데이터!$A$2:$A$20000,$A75,데이터!$E$2:$E$20000,설정!$B$5)=0),"",$B75/SUMIFS(데이터!$C$2:$C$20000,데이터!$A$2:$A$20000,$A75,데이터!$E$2:$E$20000,설정!$B$5)-1),"")</f>
        <v/>
      </c>
      <c r="G75" s="5">
        <f>IFERROR(IF(OR($B75="",COUNTIFS(데이터!$A$2:$A$20000,$A75,데이터!$E$2:$E$20000,설정!$B$6)=0),"",$B75/SUMIFS(데이터!$C$2:$C$20000,데이터!$A$2:$A$20000,$A75,데이터!$E$2:$E$20000,설정!$B$6)-1),"")</f>
        <v/>
      </c>
      <c r="H75" s="5">
        <f>IFERROR(IF(OR($B75="",COUNTIFS(데이터!$A$2:$A$20000,$A75,데이터!$E$2:$E$20000,설정!$B$7)=0),"",$B75/SUMIFS(데이터!$C$2:$C$20000,데이터!$A$2:$A$20000,$A75,데이터!$E$2:$E$20000,설정!$B$7)-1),"")</f>
        <v/>
      </c>
      <c r="J75">
        <f>IF(C75="","",C75+ROW()*0.000000001)</f>
        <v/>
      </c>
      <c r="K75">
        <f>IF(D75="","",D75+ROW()*0.000000001)</f>
        <v/>
      </c>
      <c r="L75">
        <f>IF(E75="","",E75+ROW()*0.000000001)</f>
        <v/>
      </c>
      <c r="M75">
        <f>IF(F75="","",F75+ROW()*0.000000001)</f>
        <v/>
      </c>
      <c r="N75">
        <f>IF(G75="","",G75+ROW()*0.000000001)</f>
        <v/>
      </c>
      <c r="O75">
        <f>IF(H75="","",H75+ROW()*0.000000001)</f>
        <v/>
      </c>
    </row>
    <row r="76">
      <c r="B76" s="4">
        <f>IF($A76="","",IF(COUNTIFS(데이터!$A$2:$A$20000,$A76,데이터!$E$2:$E$20000,1)=0,"",SUMIFS(데이터!$C$2:$C$20000,데이터!$A$2:$A$20000,$A76,데이터!$E$2:$E$20000,1)))</f>
        <v/>
      </c>
      <c r="C76" s="5">
        <f>IFERROR(IF(OR($B76="",COUNTIFS(데이터!$A$2:$A$20000,$A76,데이터!$E$2:$E$20000,설정!$B$2)=0),"",$B76/SUMIFS(데이터!$C$2:$C$20000,데이터!$A$2:$A$20000,$A76,데이터!$E$2:$E$20000,설정!$B$2)-1),"")</f>
        <v/>
      </c>
      <c r="D76" s="5">
        <f>IFERROR(IF(OR($B76="",COUNTIFS(데이터!$A$2:$A$20000,$A76,데이터!$E$2:$E$20000,설정!$B$3)=0),"",$B76/SUMIFS(데이터!$C$2:$C$20000,데이터!$A$2:$A$20000,$A76,데이터!$E$2:$E$20000,설정!$B$3)-1),"")</f>
        <v/>
      </c>
      <c r="E76" s="5">
        <f>IFERROR(IF(OR($B76="",COUNTIFS(데이터!$A$2:$A$20000,$A76,데이터!$E$2:$E$20000,설정!$B$4)=0),"",$B76/SUMIFS(데이터!$C$2:$C$20000,데이터!$A$2:$A$20000,$A76,데이터!$E$2:$E$20000,설정!$B$4)-1),"")</f>
        <v/>
      </c>
      <c r="F76" s="5">
        <f>IFERROR(IF(OR($B76="",COUNTIFS(데이터!$A$2:$A$20000,$A76,데이터!$E$2:$E$20000,설정!$B$5)=0),"",$B76/SUMIFS(데이터!$C$2:$C$20000,데이터!$A$2:$A$20000,$A76,데이터!$E$2:$E$20000,설정!$B$5)-1),"")</f>
        <v/>
      </c>
      <c r="G76" s="5">
        <f>IFERROR(IF(OR($B76="",COUNTIFS(데이터!$A$2:$A$20000,$A76,데이터!$E$2:$E$20000,설정!$B$6)=0),"",$B76/SUMIFS(데이터!$C$2:$C$20000,데이터!$A$2:$A$20000,$A76,데이터!$E$2:$E$20000,설정!$B$6)-1),"")</f>
        <v/>
      </c>
      <c r="H76" s="5">
        <f>IFERROR(IF(OR($B76="",COUNTIFS(데이터!$A$2:$A$20000,$A76,데이터!$E$2:$E$20000,설정!$B$7)=0),"",$B76/SUMIFS(데이터!$C$2:$C$20000,데이터!$A$2:$A$20000,$A76,데이터!$E$2:$E$20000,설정!$B$7)-1),"")</f>
        <v/>
      </c>
      <c r="J76">
        <f>IF(C76="","",C76+ROW()*0.000000001)</f>
        <v/>
      </c>
      <c r="K76">
        <f>IF(D76="","",D76+ROW()*0.000000001)</f>
        <v/>
      </c>
      <c r="L76">
        <f>IF(E76="","",E76+ROW()*0.000000001)</f>
        <v/>
      </c>
      <c r="M76">
        <f>IF(F76="","",F76+ROW()*0.000000001)</f>
        <v/>
      </c>
      <c r="N76">
        <f>IF(G76="","",G76+ROW()*0.000000001)</f>
        <v/>
      </c>
      <c r="O76">
        <f>IF(H76="","",H76+ROW()*0.000000001)</f>
        <v/>
      </c>
    </row>
    <row r="77">
      <c r="B77" s="4">
        <f>IF($A77="","",IF(COUNTIFS(데이터!$A$2:$A$20000,$A77,데이터!$E$2:$E$20000,1)=0,"",SUMIFS(데이터!$C$2:$C$20000,데이터!$A$2:$A$20000,$A77,데이터!$E$2:$E$20000,1)))</f>
        <v/>
      </c>
      <c r="C77" s="5">
        <f>IFERROR(IF(OR($B77="",COUNTIFS(데이터!$A$2:$A$20000,$A77,데이터!$E$2:$E$20000,설정!$B$2)=0),"",$B77/SUMIFS(데이터!$C$2:$C$20000,데이터!$A$2:$A$20000,$A77,데이터!$E$2:$E$20000,설정!$B$2)-1),"")</f>
        <v/>
      </c>
      <c r="D77" s="5">
        <f>IFERROR(IF(OR($B77="",COUNTIFS(데이터!$A$2:$A$20000,$A77,데이터!$E$2:$E$20000,설정!$B$3)=0),"",$B77/SUMIFS(데이터!$C$2:$C$20000,데이터!$A$2:$A$20000,$A77,데이터!$E$2:$E$20000,설정!$B$3)-1),"")</f>
        <v/>
      </c>
      <c r="E77" s="5">
        <f>IFERROR(IF(OR($B77="",COUNTIFS(데이터!$A$2:$A$20000,$A77,데이터!$E$2:$E$20000,설정!$B$4)=0),"",$B77/SUMIFS(데이터!$C$2:$C$20000,데이터!$A$2:$A$20000,$A77,데이터!$E$2:$E$20000,설정!$B$4)-1),"")</f>
        <v/>
      </c>
      <c r="F77" s="5">
        <f>IFERROR(IF(OR($B77="",COUNTIFS(데이터!$A$2:$A$20000,$A77,데이터!$E$2:$E$20000,설정!$B$5)=0),"",$B77/SUMIFS(데이터!$C$2:$C$20000,데이터!$A$2:$A$20000,$A77,데이터!$E$2:$E$20000,설정!$B$5)-1),"")</f>
        <v/>
      </c>
      <c r="G77" s="5">
        <f>IFERROR(IF(OR($B77="",COUNTIFS(데이터!$A$2:$A$20000,$A77,데이터!$E$2:$E$20000,설정!$B$6)=0),"",$B77/SUMIFS(데이터!$C$2:$C$20000,데이터!$A$2:$A$20000,$A77,데이터!$E$2:$E$20000,설정!$B$6)-1),"")</f>
        <v/>
      </c>
      <c r="H77" s="5">
        <f>IFERROR(IF(OR($B77="",COUNTIFS(데이터!$A$2:$A$20000,$A77,데이터!$E$2:$E$20000,설정!$B$7)=0),"",$B77/SUMIFS(데이터!$C$2:$C$20000,데이터!$A$2:$A$20000,$A77,데이터!$E$2:$E$20000,설정!$B$7)-1),"")</f>
        <v/>
      </c>
      <c r="J77">
        <f>IF(C77="","",C77+ROW()*0.000000001)</f>
        <v/>
      </c>
      <c r="K77">
        <f>IF(D77="","",D77+ROW()*0.000000001)</f>
        <v/>
      </c>
      <c r="L77">
        <f>IF(E77="","",E77+ROW()*0.000000001)</f>
        <v/>
      </c>
      <c r="M77">
        <f>IF(F77="","",F77+ROW()*0.000000001)</f>
        <v/>
      </c>
      <c r="N77">
        <f>IF(G77="","",G77+ROW()*0.000000001)</f>
        <v/>
      </c>
      <c r="O77">
        <f>IF(H77="","",H77+ROW()*0.000000001)</f>
        <v/>
      </c>
    </row>
    <row r="78">
      <c r="B78" s="4">
        <f>IF($A78="","",IF(COUNTIFS(데이터!$A$2:$A$20000,$A78,데이터!$E$2:$E$20000,1)=0,"",SUMIFS(데이터!$C$2:$C$20000,데이터!$A$2:$A$20000,$A78,데이터!$E$2:$E$20000,1)))</f>
        <v/>
      </c>
      <c r="C78" s="5">
        <f>IFERROR(IF(OR($B78="",COUNTIFS(데이터!$A$2:$A$20000,$A78,데이터!$E$2:$E$20000,설정!$B$2)=0),"",$B78/SUMIFS(데이터!$C$2:$C$20000,데이터!$A$2:$A$20000,$A78,데이터!$E$2:$E$20000,설정!$B$2)-1),"")</f>
        <v/>
      </c>
      <c r="D78" s="5">
        <f>IFERROR(IF(OR($B78="",COUNTIFS(데이터!$A$2:$A$20000,$A78,데이터!$E$2:$E$20000,설정!$B$3)=0),"",$B78/SUMIFS(데이터!$C$2:$C$20000,데이터!$A$2:$A$20000,$A78,데이터!$E$2:$E$20000,설정!$B$3)-1),"")</f>
        <v/>
      </c>
      <c r="E78" s="5">
        <f>IFERROR(IF(OR($B78="",COUNTIFS(데이터!$A$2:$A$20000,$A78,데이터!$E$2:$E$20000,설정!$B$4)=0),"",$B78/SUMIFS(데이터!$C$2:$C$20000,데이터!$A$2:$A$20000,$A78,데이터!$E$2:$E$20000,설정!$B$4)-1),"")</f>
        <v/>
      </c>
      <c r="F78" s="5">
        <f>IFERROR(IF(OR($B78="",COUNTIFS(데이터!$A$2:$A$20000,$A78,데이터!$E$2:$E$20000,설정!$B$5)=0),"",$B78/SUMIFS(데이터!$C$2:$C$20000,데이터!$A$2:$A$20000,$A78,데이터!$E$2:$E$20000,설정!$B$5)-1),"")</f>
        <v/>
      </c>
      <c r="G78" s="5">
        <f>IFERROR(IF(OR($B78="",COUNTIFS(데이터!$A$2:$A$20000,$A78,데이터!$E$2:$E$20000,설정!$B$6)=0),"",$B78/SUMIFS(데이터!$C$2:$C$20000,데이터!$A$2:$A$20000,$A78,데이터!$E$2:$E$20000,설정!$B$6)-1),"")</f>
        <v/>
      </c>
      <c r="H78" s="5">
        <f>IFERROR(IF(OR($B78="",COUNTIFS(데이터!$A$2:$A$20000,$A78,데이터!$E$2:$E$20000,설정!$B$7)=0),"",$B78/SUMIFS(데이터!$C$2:$C$20000,데이터!$A$2:$A$20000,$A78,데이터!$E$2:$E$20000,설정!$B$7)-1),"")</f>
        <v/>
      </c>
      <c r="J78">
        <f>IF(C78="","",C78+ROW()*0.000000001)</f>
        <v/>
      </c>
      <c r="K78">
        <f>IF(D78="","",D78+ROW()*0.000000001)</f>
        <v/>
      </c>
      <c r="L78">
        <f>IF(E78="","",E78+ROW()*0.000000001)</f>
        <v/>
      </c>
      <c r="M78">
        <f>IF(F78="","",F78+ROW()*0.000000001)</f>
        <v/>
      </c>
      <c r="N78">
        <f>IF(G78="","",G78+ROW()*0.000000001)</f>
        <v/>
      </c>
      <c r="O78">
        <f>IF(H78="","",H78+ROW()*0.000000001)</f>
        <v/>
      </c>
    </row>
    <row r="79">
      <c r="B79" s="4">
        <f>IF($A79="","",IF(COUNTIFS(데이터!$A$2:$A$20000,$A79,데이터!$E$2:$E$20000,1)=0,"",SUMIFS(데이터!$C$2:$C$20000,데이터!$A$2:$A$20000,$A79,데이터!$E$2:$E$20000,1)))</f>
        <v/>
      </c>
      <c r="C79" s="5">
        <f>IFERROR(IF(OR($B79="",COUNTIFS(데이터!$A$2:$A$20000,$A79,데이터!$E$2:$E$20000,설정!$B$2)=0),"",$B79/SUMIFS(데이터!$C$2:$C$20000,데이터!$A$2:$A$20000,$A79,데이터!$E$2:$E$20000,설정!$B$2)-1),"")</f>
        <v/>
      </c>
      <c r="D79" s="5">
        <f>IFERROR(IF(OR($B79="",COUNTIFS(데이터!$A$2:$A$20000,$A79,데이터!$E$2:$E$20000,설정!$B$3)=0),"",$B79/SUMIFS(데이터!$C$2:$C$20000,데이터!$A$2:$A$20000,$A79,데이터!$E$2:$E$20000,설정!$B$3)-1),"")</f>
        <v/>
      </c>
      <c r="E79" s="5">
        <f>IFERROR(IF(OR($B79="",COUNTIFS(데이터!$A$2:$A$20000,$A79,데이터!$E$2:$E$20000,설정!$B$4)=0),"",$B79/SUMIFS(데이터!$C$2:$C$20000,데이터!$A$2:$A$20000,$A79,데이터!$E$2:$E$20000,설정!$B$4)-1),"")</f>
        <v/>
      </c>
      <c r="F79" s="5">
        <f>IFERROR(IF(OR($B79="",COUNTIFS(데이터!$A$2:$A$20000,$A79,데이터!$E$2:$E$20000,설정!$B$5)=0),"",$B79/SUMIFS(데이터!$C$2:$C$20000,데이터!$A$2:$A$20000,$A79,데이터!$E$2:$E$20000,설정!$B$5)-1),"")</f>
        <v/>
      </c>
      <c r="G79" s="5">
        <f>IFERROR(IF(OR($B79="",COUNTIFS(데이터!$A$2:$A$20000,$A79,데이터!$E$2:$E$20000,설정!$B$6)=0),"",$B79/SUMIFS(데이터!$C$2:$C$20000,데이터!$A$2:$A$20000,$A79,데이터!$E$2:$E$20000,설정!$B$6)-1),"")</f>
        <v/>
      </c>
      <c r="H79" s="5">
        <f>IFERROR(IF(OR($B79="",COUNTIFS(데이터!$A$2:$A$20000,$A79,데이터!$E$2:$E$20000,설정!$B$7)=0),"",$B79/SUMIFS(데이터!$C$2:$C$20000,데이터!$A$2:$A$20000,$A79,데이터!$E$2:$E$20000,설정!$B$7)-1),"")</f>
        <v/>
      </c>
      <c r="J79">
        <f>IF(C79="","",C79+ROW()*0.000000001)</f>
        <v/>
      </c>
      <c r="K79">
        <f>IF(D79="","",D79+ROW()*0.000000001)</f>
        <v/>
      </c>
      <c r="L79">
        <f>IF(E79="","",E79+ROW()*0.000000001)</f>
        <v/>
      </c>
      <c r="M79">
        <f>IF(F79="","",F79+ROW()*0.000000001)</f>
        <v/>
      </c>
      <c r="N79">
        <f>IF(G79="","",G79+ROW()*0.000000001)</f>
        <v/>
      </c>
      <c r="O79">
        <f>IF(H79="","",H79+ROW()*0.000000001)</f>
        <v/>
      </c>
    </row>
    <row r="80">
      <c r="B80" s="4">
        <f>IF($A80="","",IF(COUNTIFS(데이터!$A$2:$A$20000,$A80,데이터!$E$2:$E$20000,1)=0,"",SUMIFS(데이터!$C$2:$C$20000,데이터!$A$2:$A$20000,$A80,데이터!$E$2:$E$20000,1)))</f>
        <v/>
      </c>
      <c r="C80" s="5">
        <f>IFERROR(IF(OR($B80="",COUNTIFS(데이터!$A$2:$A$20000,$A80,데이터!$E$2:$E$20000,설정!$B$2)=0),"",$B80/SUMIFS(데이터!$C$2:$C$20000,데이터!$A$2:$A$20000,$A80,데이터!$E$2:$E$20000,설정!$B$2)-1),"")</f>
        <v/>
      </c>
      <c r="D80" s="5">
        <f>IFERROR(IF(OR($B80="",COUNTIFS(데이터!$A$2:$A$20000,$A80,데이터!$E$2:$E$20000,설정!$B$3)=0),"",$B80/SUMIFS(데이터!$C$2:$C$20000,데이터!$A$2:$A$20000,$A80,데이터!$E$2:$E$20000,설정!$B$3)-1),"")</f>
        <v/>
      </c>
      <c r="E80" s="5">
        <f>IFERROR(IF(OR($B80="",COUNTIFS(데이터!$A$2:$A$20000,$A80,데이터!$E$2:$E$20000,설정!$B$4)=0),"",$B80/SUMIFS(데이터!$C$2:$C$20000,데이터!$A$2:$A$20000,$A80,데이터!$E$2:$E$20000,설정!$B$4)-1),"")</f>
        <v/>
      </c>
      <c r="F80" s="5">
        <f>IFERROR(IF(OR($B80="",COUNTIFS(데이터!$A$2:$A$20000,$A80,데이터!$E$2:$E$20000,설정!$B$5)=0),"",$B80/SUMIFS(데이터!$C$2:$C$20000,데이터!$A$2:$A$20000,$A80,데이터!$E$2:$E$20000,설정!$B$5)-1),"")</f>
        <v/>
      </c>
      <c r="G80" s="5">
        <f>IFERROR(IF(OR($B80="",COUNTIFS(데이터!$A$2:$A$20000,$A80,데이터!$E$2:$E$20000,설정!$B$6)=0),"",$B80/SUMIFS(데이터!$C$2:$C$20000,데이터!$A$2:$A$20000,$A80,데이터!$E$2:$E$20000,설정!$B$6)-1),"")</f>
        <v/>
      </c>
      <c r="H80" s="5">
        <f>IFERROR(IF(OR($B80="",COUNTIFS(데이터!$A$2:$A$20000,$A80,데이터!$E$2:$E$20000,설정!$B$7)=0),"",$B80/SUMIFS(데이터!$C$2:$C$20000,데이터!$A$2:$A$20000,$A80,데이터!$E$2:$E$20000,설정!$B$7)-1),"")</f>
        <v/>
      </c>
      <c r="J80">
        <f>IF(C80="","",C80+ROW()*0.000000001)</f>
        <v/>
      </c>
      <c r="K80">
        <f>IF(D80="","",D80+ROW()*0.000000001)</f>
        <v/>
      </c>
      <c r="L80">
        <f>IF(E80="","",E80+ROW()*0.000000001)</f>
        <v/>
      </c>
      <c r="M80">
        <f>IF(F80="","",F80+ROW()*0.000000001)</f>
        <v/>
      </c>
      <c r="N80">
        <f>IF(G80="","",G80+ROW()*0.000000001)</f>
        <v/>
      </c>
      <c r="O80">
        <f>IF(H80="","",H80+ROW()*0.000000001)</f>
        <v/>
      </c>
    </row>
    <row r="81">
      <c r="B81" s="4">
        <f>IF($A81="","",IF(COUNTIFS(데이터!$A$2:$A$20000,$A81,데이터!$E$2:$E$20000,1)=0,"",SUMIFS(데이터!$C$2:$C$20000,데이터!$A$2:$A$20000,$A81,데이터!$E$2:$E$20000,1)))</f>
        <v/>
      </c>
      <c r="C81" s="5">
        <f>IFERROR(IF(OR($B81="",COUNTIFS(데이터!$A$2:$A$20000,$A81,데이터!$E$2:$E$20000,설정!$B$2)=0),"",$B81/SUMIFS(데이터!$C$2:$C$20000,데이터!$A$2:$A$20000,$A81,데이터!$E$2:$E$20000,설정!$B$2)-1),"")</f>
        <v/>
      </c>
      <c r="D81" s="5">
        <f>IFERROR(IF(OR($B81="",COUNTIFS(데이터!$A$2:$A$20000,$A81,데이터!$E$2:$E$20000,설정!$B$3)=0),"",$B81/SUMIFS(데이터!$C$2:$C$20000,데이터!$A$2:$A$20000,$A81,데이터!$E$2:$E$20000,설정!$B$3)-1),"")</f>
        <v/>
      </c>
      <c r="E81" s="5">
        <f>IFERROR(IF(OR($B81="",COUNTIFS(데이터!$A$2:$A$20000,$A81,데이터!$E$2:$E$20000,설정!$B$4)=0),"",$B81/SUMIFS(데이터!$C$2:$C$20000,데이터!$A$2:$A$20000,$A81,데이터!$E$2:$E$20000,설정!$B$4)-1),"")</f>
        <v/>
      </c>
      <c r="F81" s="5">
        <f>IFERROR(IF(OR($B81="",COUNTIFS(데이터!$A$2:$A$20000,$A81,데이터!$E$2:$E$20000,설정!$B$5)=0),"",$B81/SUMIFS(데이터!$C$2:$C$20000,데이터!$A$2:$A$20000,$A81,데이터!$E$2:$E$20000,설정!$B$5)-1),"")</f>
        <v/>
      </c>
      <c r="G81" s="5">
        <f>IFERROR(IF(OR($B81="",COUNTIFS(데이터!$A$2:$A$20000,$A81,데이터!$E$2:$E$20000,설정!$B$6)=0),"",$B81/SUMIFS(데이터!$C$2:$C$20000,데이터!$A$2:$A$20000,$A81,데이터!$E$2:$E$20000,설정!$B$6)-1),"")</f>
        <v/>
      </c>
      <c r="H81" s="5">
        <f>IFERROR(IF(OR($B81="",COUNTIFS(데이터!$A$2:$A$20000,$A81,데이터!$E$2:$E$20000,설정!$B$7)=0),"",$B81/SUMIFS(데이터!$C$2:$C$20000,데이터!$A$2:$A$20000,$A81,데이터!$E$2:$E$20000,설정!$B$7)-1),"")</f>
        <v/>
      </c>
      <c r="J81">
        <f>IF(C81="","",C81+ROW()*0.000000001)</f>
        <v/>
      </c>
      <c r="K81">
        <f>IF(D81="","",D81+ROW()*0.000000001)</f>
        <v/>
      </c>
      <c r="L81">
        <f>IF(E81="","",E81+ROW()*0.000000001)</f>
        <v/>
      </c>
      <c r="M81">
        <f>IF(F81="","",F81+ROW()*0.000000001)</f>
        <v/>
      </c>
      <c r="N81">
        <f>IF(G81="","",G81+ROW()*0.000000001)</f>
        <v/>
      </c>
      <c r="O81">
        <f>IF(H81="","",H81+ROW()*0.000000001)</f>
        <v/>
      </c>
    </row>
    <row r="82">
      <c r="B82" s="4">
        <f>IF($A82="","",IF(COUNTIFS(데이터!$A$2:$A$20000,$A82,데이터!$E$2:$E$20000,1)=0,"",SUMIFS(데이터!$C$2:$C$20000,데이터!$A$2:$A$20000,$A82,데이터!$E$2:$E$20000,1)))</f>
        <v/>
      </c>
      <c r="C82" s="5">
        <f>IFERROR(IF(OR($B82="",COUNTIFS(데이터!$A$2:$A$20000,$A82,데이터!$E$2:$E$20000,설정!$B$2)=0),"",$B82/SUMIFS(데이터!$C$2:$C$20000,데이터!$A$2:$A$20000,$A82,데이터!$E$2:$E$20000,설정!$B$2)-1),"")</f>
        <v/>
      </c>
      <c r="D82" s="5">
        <f>IFERROR(IF(OR($B82="",COUNTIFS(데이터!$A$2:$A$20000,$A82,데이터!$E$2:$E$20000,설정!$B$3)=0),"",$B82/SUMIFS(데이터!$C$2:$C$20000,데이터!$A$2:$A$20000,$A82,데이터!$E$2:$E$20000,설정!$B$3)-1),"")</f>
        <v/>
      </c>
      <c r="E82" s="5">
        <f>IFERROR(IF(OR($B82="",COUNTIFS(데이터!$A$2:$A$20000,$A82,데이터!$E$2:$E$20000,설정!$B$4)=0),"",$B82/SUMIFS(데이터!$C$2:$C$20000,데이터!$A$2:$A$20000,$A82,데이터!$E$2:$E$20000,설정!$B$4)-1),"")</f>
        <v/>
      </c>
      <c r="F82" s="5">
        <f>IFERROR(IF(OR($B82="",COUNTIFS(데이터!$A$2:$A$20000,$A82,데이터!$E$2:$E$20000,설정!$B$5)=0),"",$B82/SUMIFS(데이터!$C$2:$C$20000,데이터!$A$2:$A$20000,$A82,데이터!$E$2:$E$20000,설정!$B$5)-1),"")</f>
        <v/>
      </c>
      <c r="G82" s="5">
        <f>IFERROR(IF(OR($B82="",COUNTIFS(데이터!$A$2:$A$20000,$A82,데이터!$E$2:$E$20000,설정!$B$6)=0),"",$B82/SUMIFS(데이터!$C$2:$C$20000,데이터!$A$2:$A$20000,$A82,데이터!$E$2:$E$20000,설정!$B$6)-1),"")</f>
        <v/>
      </c>
      <c r="H82" s="5">
        <f>IFERROR(IF(OR($B82="",COUNTIFS(데이터!$A$2:$A$20000,$A82,데이터!$E$2:$E$20000,설정!$B$7)=0),"",$B82/SUMIFS(데이터!$C$2:$C$20000,데이터!$A$2:$A$20000,$A82,데이터!$E$2:$E$20000,설정!$B$7)-1),"")</f>
        <v/>
      </c>
      <c r="J82">
        <f>IF(C82="","",C82+ROW()*0.000000001)</f>
        <v/>
      </c>
      <c r="K82">
        <f>IF(D82="","",D82+ROW()*0.000000001)</f>
        <v/>
      </c>
      <c r="L82">
        <f>IF(E82="","",E82+ROW()*0.000000001)</f>
        <v/>
      </c>
      <c r="M82">
        <f>IF(F82="","",F82+ROW()*0.000000001)</f>
        <v/>
      </c>
      <c r="N82">
        <f>IF(G82="","",G82+ROW()*0.000000001)</f>
        <v/>
      </c>
      <c r="O82">
        <f>IF(H82="","",H82+ROW()*0.000000001)</f>
        <v/>
      </c>
    </row>
    <row r="83">
      <c r="B83" s="4">
        <f>IF($A83="","",IF(COUNTIFS(데이터!$A$2:$A$20000,$A83,데이터!$E$2:$E$20000,1)=0,"",SUMIFS(데이터!$C$2:$C$20000,데이터!$A$2:$A$20000,$A83,데이터!$E$2:$E$20000,1)))</f>
        <v/>
      </c>
      <c r="C83" s="5">
        <f>IFERROR(IF(OR($B83="",COUNTIFS(데이터!$A$2:$A$20000,$A83,데이터!$E$2:$E$20000,설정!$B$2)=0),"",$B83/SUMIFS(데이터!$C$2:$C$20000,데이터!$A$2:$A$20000,$A83,데이터!$E$2:$E$20000,설정!$B$2)-1),"")</f>
        <v/>
      </c>
      <c r="D83" s="5">
        <f>IFERROR(IF(OR($B83="",COUNTIFS(데이터!$A$2:$A$20000,$A83,데이터!$E$2:$E$20000,설정!$B$3)=0),"",$B83/SUMIFS(데이터!$C$2:$C$20000,데이터!$A$2:$A$20000,$A83,데이터!$E$2:$E$20000,설정!$B$3)-1),"")</f>
        <v/>
      </c>
      <c r="E83" s="5">
        <f>IFERROR(IF(OR($B83="",COUNTIFS(데이터!$A$2:$A$20000,$A83,데이터!$E$2:$E$20000,설정!$B$4)=0),"",$B83/SUMIFS(데이터!$C$2:$C$20000,데이터!$A$2:$A$20000,$A83,데이터!$E$2:$E$20000,설정!$B$4)-1),"")</f>
        <v/>
      </c>
      <c r="F83" s="5">
        <f>IFERROR(IF(OR($B83="",COUNTIFS(데이터!$A$2:$A$20000,$A83,데이터!$E$2:$E$20000,설정!$B$5)=0),"",$B83/SUMIFS(데이터!$C$2:$C$20000,데이터!$A$2:$A$20000,$A83,데이터!$E$2:$E$20000,설정!$B$5)-1),"")</f>
        <v/>
      </c>
      <c r="G83" s="5">
        <f>IFERROR(IF(OR($B83="",COUNTIFS(데이터!$A$2:$A$20000,$A83,데이터!$E$2:$E$20000,설정!$B$6)=0),"",$B83/SUMIFS(데이터!$C$2:$C$20000,데이터!$A$2:$A$20000,$A83,데이터!$E$2:$E$20000,설정!$B$6)-1),"")</f>
        <v/>
      </c>
      <c r="H83" s="5">
        <f>IFERROR(IF(OR($B83="",COUNTIFS(데이터!$A$2:$A$20000,$A83,데이터!$E$2:$E$20000,설정!$B$7)=0),"",$B83/SUMIFS(데이터!$C$2:$C$20000,데이터!$A$2:$A$20000,$A83,데이터!$E$2:$E$20000,설정!$B$7)-1),"")</f>
        <v/>
      </c>
      <c r="J83">
        <f>IF(C83="","",C83+ROW()*0.000000001)</f>
        <v/>
      </c>
      <c r="K83">
        <f>IF(D83="","",D83+ROW()*0.000000001)</f>
        <v/>
      </c>
      <c r="L83">
        <f>IF(E83="","",E83+ROW()*0.000000001)</f>
        <v/>
      </c>
      <c r="M83">
        <f>IF(F83="","",F83+ROW()*0.000000001)</f>
        <v/>
      </c>
      <c r="N83">
        <f>IF(G83="","",G83+ROW()*0.000000001)</f>
        <v/>
      </c>
      <c r="O83">
        <f>IF(H83="","",H83+ROW()*0.000000001)</f>
        <v/>
      </c>
    </row>
    <row r="84">
      <c r="B84" s="4">
        <f>IF($A84="","",IF(COUNTIFS(데이터!$A$2:$A$20000,$A84,데이터!$E$2:$E$20000,1)=0,"",SUMIFS(데이터!$C$2:$C$20000,데이터!$A$2:$A$20000,$A84,데이터!$E$2:$E$20000,1)))</f>
        <v/>
      </c>
      <c r="C84" s="5">
        <f>IFERROR(IF(OR($B84="",COUNTIFS(데이터!$A$2:$A$20000,$A84,데이터!$E$2:$E$20000,설정!$B$2)=0),"",$B84/SUMIFS(데이터!$C$2:$C$20000,데이터!$A$2:$A$20000,$A84,데이터!$E$2:$E$20000,설정!$B$2)-1),"")</f>
        <v/>
      </c>
      <c r="D84" s="5">
        <f>IFERROR(IF(OR($B84="",COUNTIFS(데이터!$A$2:$A$20000,$A84,데이터!$E$2:$E$20000,설정!$B$3)=0),"",$B84/SUMIFS(데이터!$C$2:$C$20000,데이터!$A$2:$A$20000,$A84,데이터!$E$2:$E$20000,설정!$B$3)-1),"")</f>
        <v/>
      </c>
      <c r="E84" s="5">
        <f>IFERROR(IF(OR($B84="",COUNTIFS(데이터!$A$2:$A$20000,$A84,데이터!$E$2:$E$20000,설정!$B$4)=0),"",$B84/SUMIFS(데이터!$C$2:$C$20000,데이터!$A$2:$A$20000,$A84,데이터!$E$2:$E$20000,설정!$B$4)-1),"")</f>
        <v/>
      </c>
      <c r="F84" s="5">
        <f>IFERROR(IF(OR($B84="",COUNTIFS(데이터!$A$2:$A$20000,$A84,데이터!$E$2:$E$20000,설정!$B$5)=0),"",$B84/SUMIFS(데이터!$C$2:$C$20000,데이터!$A$2:$A$20000,$A84,데이터!$E$2:$E$20000,설정!$B$5)-1),"")</f>
        <v/>
      </c>
      <c r="G84" s="5">
        <f>IFERROR(IF(OR($B84="",COUNTIFS(데이터!$A$2:$A$20000,$A84,데이터!$E$2:$E$20000,설정!$B$6)=0),"",$B84/SUMIFS(데이터!$C$2:$C$20000,데이터!$A$2:$A$20000,$A84,데이터!$E$2:$E$20000,설정!$B$6)-1),"")</f>
        <v/>
      </c>
      <c r="H84" s="5">
        <f>IFERROR(IF(OR($B84="",COUNTIFS(데이터!$A$2:$A$20000,$A84,데이터!$E$2:$E$20000,설정!$B$7)=0),"",$B84/SUMIFS(데이터!$C$2:$C$20000,데이터!$A$2:$A$20000,$A84,데이터!$E$2:$E$20000,설정!$B$7)-1),"")</f>
        <v/>
      </c>
      <c r="J84">
        <f>IF(C84="","",C84+ROW()*0.000000001)</f>
        <v/>
      </c>
      <c r="K84">
        <f>IF(D84="","",D84+ROW()*0.000000001)</f>
        <v/>
      </c>
      <c r="L84">
        <f>IF(E84="","",E84+ROW()*0.000000001)</f>
        <v/>
      </c>
      <c r="M84">
        <f>IF(F84="","",F84+ROW()*0.000000001)</f>
        <v/>
      </c>
      <c r="N84">
        <f>IF(G84="","",G84+ROW()*0.000000001)</f>
        <v/>
      </c>
      <c r="O84">
        <f>IF(H84="","",H84+ROW()*0.000000001)</f>
        <v/>
      </c>
    </row>
    <row r="85">
      <c r="B85" s="4">
        <f>IF($A85="","",IF(COUNTIFS(데이터!$A$2:$A$20000,$A85,데이터!$E$2:$E$20000,1)=0,"",SUMIFS(데이터!$C$2:$C$20000,데이터!$A$2:$A$20000,$A85,데이터!$E$2:$E$20000,1)))</f>
        <v/>
      </c>
      <c r="C85" s="5">
        <f>IFERROR(IF(OR($B85="",COUNTIFS(데이터!$A$2:$A$20000,$A85,데이터!$E$2:$E$20000,설정!$B$2)=0),"",$B85/SUMIFS(데이터!$C$2:$C$20000,데이터!$A$2:$A$20000,$A85,데이터!$E$2:$E$20000,설정!$B$2)-1),"")</f>
        <v/>
      </c>
      <c r="D85" s="5">
        <f>IFERROR(IF(OR($B85="",COUNTIFS(데이터!$A$2:$A$20000,$A85,데이터!$E$2:$E$20000,설정!$B$3)=0),"",$B85/SUMIFS(데이터!$C$2:$C$20000,데이터!$A$2:$A$20000,$A85,데이터!$E$2:$E$20000,설정!$B$3)-1),"")</f>
        <v/>
      </c>
      <c r="E85" s="5">
        <f>IFERROR(IF(OR($B85="",COUNTIFS(데이터!$A$2:$A$20000,$A85,데이터!$E$2:$E$20000,설정!$B$4)=0),"",$B85/SUMIFS(데이터!$C$2:$C$20000,데이터!$A$2:$A$20000,$A85,데이터!$E$2:$E$20000,설정!$B$4)-1),"")</f>
        <v/>
      </c>
      <c r="F85" s="5">
        <f>IFERROR(IF(OR($B85="",COUNTIFS(데이터!$A$2:$A$20000,$A85,데이터!$E$2:$E$20000,설정!$B$5)=0),"",$B85/SUMIFS(데이터!$C$2:$C$20000,데이터!$A$2:$A$20000,$A85,데이터!$E$2:$E$20000,설정!$B$5)-1),"")</f>
        <v/>
      </c>
      <c r="G85" s="5">
        <f>IFERROR(IF(OR($B85="",COUNTIFS(데이터!$A$2:$A$20000,$A85,데이터!$E$2:$E$20000,설정!$B$6)=0),"",$B85/SUMIFS(데이터!$C$2:$C$20000,데이터!$A$2:$A$20000,$A85,데이터!$E$2:$E$20000,설정!$B$6)-1),"")</f>
        <v/>
      </c>
      <c r="H85" s="5">
        <f>IFERROR(IF(OR($B85="",COUNTIFS(데이터!$A$2:$A$20000,$A85,데이터!$E$2:$E$20000,설정!$B$7)=0),"",$B85/SUMIFS(데이터!$C$2:$C$20000,데이터!$A$2:$A$20000,$A85,데이터!$E$2:$E$20000,설정!$B$7)-1),"")</f>
        <v/>
      </c>
      <c r="J85">
        <f>IF(C85="","",C85+ROW()*0.000000001)</f>
        <v/>
      </c>
      <c r="K85">
        <f>IF(D85="","",D85+ROW()*0.000000001)</f>
        <v/>
      </c>
      <c r="L85">
        <f>IF(E85="","",E85+ROW()*0.000000001)</f>
        <v/>
      </c>
      <c r="M85">
        <f>IF(F85="","",F85+ROW()*0.000000001)</f>
        <v/>
      </c>
      <c r="N85">
        <f>IF(G85="","",G85+ROW()*0.000000001)</f>
        <v/>
      </c>
      <c r="O85">
        <f>IF(H85="","",H85+ROW()*0.000000001)</f>
        <v/>
      </c>
    </row>
    <row r="86">
      <c r="B86" s="4">
        <f>IF($A86="","",IF(COUNTIFS(데이터!$A$2:$A$20000,$A86,데이터!$E$2:$E$20000,1)=0,"",SUMIFS(데이터!$C$2:$C$20000,데이터!$A$2:$A$20000,$A86,데이터!$E$2:$E$20000,1)))</f>
        <v/>
      </c>
      <c r="C86" s="5">
        <f>IFERROR(IF(OR($B86="",COUNTIFS(데이터!$A$2:$A$20000,$A86,데이터!$E$2:$E$20000,설정!$B$2)=0),"",$B86/SUMIFS(데이터!$C$2:$C$20000,데이터!$A$2:$A$20000,$A86,데이터!$E$2:$E$20000,설정!$B$2)-1),"")</f>
        <v/>
      </c>
      <c r="D86" s="5">
        <f>IFERROR(IF(OR($B86="",COUNTIFS(데이터!$A$2:$A$20000,$A86,데이터!$E$2:$E$20000,설정!$B$3)=0),"",$B86/SUMIFS(데이터!$C$2:$C$20000,데이터!$A$2:$A$20000,$A86,데이터!$E$2:$E$20000,설정!$B$3)-1),"")</f>
        <v/>
      </c>
      <c r="E86" s="5">
        <f>IFERROR(IF(OR($B86="",COUNTIFS(데이터!$A$2:$A$20000,$A86,데이터!$E$2:$E$20000,설정!$B$4)=0),"",$B86/SUMIFS(데이터!$C$2:$C$20000,데이터!$A$2:$A$20000,$A86,데이터!$E$2:$E$20000,설정!$B$4)-1),"")</f>
        <v/>
      </c>
      <c r="F86" s="5">
        <f>IFERROR(IF(OR($B86="",COUNTIFS(데이터!$A$2:$A$20000,$A86,데이터!$E$2:$E$20000,설정!$B$5)=0),"",$B86/SUMIFS(데이터!$C$2:$C$20000,데이터!$A$2:$A$20000,$A86,데이터!$E$2:$E$20000,설정!$B$5)-1),"")</f>
        <v/>
      </c>
      <c r="G86" s="5">
        <f>IFERROR(IF(OR($B86="",COUNTIFS(데이터!$A$2:$A$20000,$A86,데이터!$E$2:$E$20000,설정!$B$6)=0),"",$B86/SUMIFS(데이터!$C$2:$C$20000,데이터!$A$2:$A$20000,$A86,데이터!$E$2:$E$20000,설정!$B$6)-1),"")</f>
        <v/>
      </c>
      <c r="H86" s="5">
        <f>IFERROR(IF(OR($B86="",COUNTIFS(데이터!$A$2:$A$20000,$A86,데이터!$E$2:$E$20000,설정!$B$7)=0),"",$B86/SUMIFS(데이터!$C$2:$C$20000,데이터!$A$2:$A$20000,$A86,데이터!$E$2:$E$20000,설정!$B$7)-1),"")</f>
        <v/>
      </c>
      <c r="J86">
        <f>IF(C86="","",C86+ROW()*0.000000001)</f>
        <v/>
      </c>
      <c r="K86">
        <f>IF(D86="","",D86+ROW()*0.000000001)</f>
        <v/>
      </c>
      <c r="L86">
        <f>IF(E86="","",E86+ROW()*0.000000001)</f>
        <v/>
      </c>
      <c r="M86">
        <f>IF(F86="","",F86+ROW()*0.000000001)</f>
        <v/>
      </c>
      <c r="N86">
        <f>IF(G86="","",G86+ROW()*0.000000001)</f>
        <v/>
      </c>
      <c r="O86">
        <f>IF(H86="","",H86+ROW()*0.000000001)</f>
        <v/>
      </c>
    </row>
    <row r="87">
      <c r="B87" s="4">
        <f>IF($A87="","",IF(COUNTIFS(데이터!$A$2:$A$20000,$A87,데이터!$E$2:$E$20000,1)=0,"",SUMIFS(데이터!$C$2:$C$20000,데이터!$A$2:$A$20000,$A87,데이터!$E$2:$E$20000,1)))</f>
        <v/>
      </c>
      <c r="C87" s="5">
        <f>IFERROR(IF(OR($B87="",COUNTIFS(데이터!$A$2:$A$20000,$A87,데이터!$E$2:$E$20000,설정!$B$2)=0),"",$B87/SUMIFS(데이터!$C$2:$C$20000,데이터!$A$2:$A$20000,$A87,데이터!$E$2:$E$20000,설정!$B$2)-1),"")</f>
        <v/>
      </c>
      <c r="D87" s="5">
        <f>IFERROR(IF(OR($B87="",COUNTIFS(데이터!$A$2:$A$20000,$A87,데이터!$E$2:$E$20000,설정!$B$3)=0),"",$B87/SUMIFS(데이터!$C$2:$C$20000,데이터!$A$2:$A$20000,$A87,데이터!$E$2:$E$20000,설정!$B$3)-1),"")</f>
        <v/>
      </c>
      <c r="E87" s="5">
        <f>IFERROR(IF(OR($B87="",COUNTIFS(데이터!$A$2:$A$20000,$A87,데이터!$E$2:$E$20000,설정!$B$4)=0),"",$B87/SUMIFS(데이터!$C$2:$C$20000,데이터!$A$2:$A$20000,$A87,데이터!$E$2:$E$20000,설정!$B$4)-1),"")</f>
        <v/>
      </c>
      <c r="F87" s="5">
        <f>IFERROR(IF(OR($B87="",COUNTIFS(데이터!$A$2:$A$20000,$A87,데이터!$E$2:$E$20000,설정!$B$5)=0),"",$B87/SUMIFS(데이터!$C$2:$C$20000,데이터!$A$2:$A$20000,$A87,데이터!$E$2:$E$20000,설정!$B$5)-1),"")</f>
        <v/>
      </c>
      <c r="G87" s="5">
        <f>IFERROR(IF(OR($B87="",COUNTIFS(데이터!$A$2:$A$20000,$A87,데이터!$E$2:$E$20000,설정!$B$6)=0),"",$B87/SUMIFS(데이터!$C$2:$C$20000,데이터!$A$2:$A$20000,$A87,데이터!$E$2:$E$20000,설정!$B$6)-1),"")</f>
        <v/>
      </c>
      <c r="H87" s="5">
        <f>IFERROR(IF(OR($B87="",COUNTIFS(데이터!$A$2:$A$20000,$A87,데이터!$E$2:$E$20000,설정!$B$7)=0),"",$B87/SUMIFS(데이터!$C$2:$C$20000,데이터!$A$2:$A$20000,$A87,데이터!$E$2:$E$20000,설정!$B$7)-1),"")</f>
        <v/>
      </c>
      <c r="J87">
        <f>IF(C87="","",C87+ROW()*0.000000001)</f>
        <v/>
      </c>
      <c r="K87">
        <f>IF(D87="","",D87+ROW()*0.000000001)</f>
        <v/>
      </c>
      <c r="L87">
        <f>IF(E87="","",E87+ROW()*0.000000001)</f>
        <v/>
      </c>
      <c r="M87">
        <f>IF(F87="","",F87+ROW()*0.000000001)</f>
        <v/>
      </c>
      <c r="N87">
        <f>IF(G87="","",G87+ROW()*0.000000001)</f>
        <v/>
      </c>
      <c r="O87">
        <f>IF(H87="","",H87+ROW()*0.000000001)</f>
        <v/>
      </c>
    </row>
    <row r="88">
      <c r="B88" s="4">
        <f>IF($A88="","",IF(COUNTIFS(데이터!$A$2:$A$20000,$A88,데이터!$E$2:$E$20000,1)=0,"",SUMIFS(데이터!$C$2:$C$20000,데이터!$A$2:$A$20000,$A88,데이터!$E$2:$E$20000,1)))</f>
        <v/>
      </c>
      <c r="C88" s="5">
        <f>IFERROR(IF(OR($B88="",COUNTIFS(데이터!$A$2:$A$20000,$A88,데이터!$E$2:$E$20000,설정!$B$2)=0),"",$B88/SUMIFS(데이터!$C$2:$C$20000,데이터!$A$2:$A$20000,$A88,데이터!$E$2:$E$20000,설정!$B$2)-1),"")</f>
        <v/>
      </c>
      <c r="D88" s="5">
        <f>IFERROR(IF(OR($B88="",COUNTIFS(데이터!$A$2:$A$20000,$A88,데이터!$E$2:$E$20000,설정!$B$3)=0),"",$B88/SUMIFS(데이터!$C$2:$C$20000,데이터!$A$2:$A$20000,$A88,데이터!$E$2:$E$20000,설정!$B$3)-1),"")</f>
        <v/>
      </c>
      <c r="E88" s="5">
        <f>IFERROR(IF(OR($B88="",COUNTIFS(데이터!$A$2:$A$20000,$A88,데이터!$E$2:$E$20000,설정!$B$4)=0),"",$B88/SUMIFS(데이터!$C$2:$C$20000,데이터!$A$2:$A$20000,$A88,데이터!$E$2:$E$20000,설정!$B$4)-1),"")</f>
        <v/>
      </c>
      <c r="F88" s="5">
        <f>IFERROR(IF(OR($B88="",COUNTIFS(데이터!$A$2:$A$20000,$A88,데이터!$E$2:$E$20000,설정!$B$5)=0),"",$B88/SUMIFS(데이터!$C$2:$C$20000,데이터!$A$2:$A$20000,$A88,데이터!$E$2:$E$20000,설정!$B$5)-1),"")</f>
        <v/>
      </c>
      <c r="G88" s="5">
        <f>IFERROR(IF(OR($B88="",COUNTIFS(데이터!$A$2:$A$20000,$A88,데이터!$E$2:$E$20000,설정!$B$6)=0),"",$B88/SUMIFS(데이터!$C$2:$C$20000,데이터!$A$2:$A$20000,$A88,데이터!$E$2:$E$20000,설정!$B$6)-1),"")</f>
        <v/>
      </c>
      <c r="H88" s="5">
        <f>IFERROR(IF(OR($B88="",COUNTIFS(데이터!$A$2:$A$20000,$A88,데이터!$E$2:$E$20000,설정!$B$7)=0),"",$B88/SUMIFS(데이터!$C$2:$C$20000,데이터!$A$2:$A$20000,$A88,데이터!$E$2:$E$20000,설정!$B$7)-1),"")</f>
        <v/>
      </c>
      <c r="J88">
        <f>IF(C88="","",C88+ROW()*0.000000001)</f>
        <v/>
      </c>
      <c r="K88">
        <f>IF(D88="","",D88+ROW()*0.000000001)</f>
        <v/>
      </c>
      <c r="L88">
        <f>IF(E88="","",E88+ROW()*0.000000001)</f>
        <v/>
      </c>
      <c r="M88">
        <f>IF(F88="","",F88+ROW()*0.000000001)</f>
        <v/>
      </c>
      <c r="N88">
        <f>IF(G88="","",G88+ROW()*0.000000001)</f>
        <v/>
      </c>
      <c r="O88">
        <f>IF(H88="","",H88+ROW()*0.000000001)</f>
        <v/>
      </c>
    </row>
    <row r="89">
      <c r="B89" s="4">
        <f>IF($A89="","",IF(COUNTIFS(데이터!$A$2:$A$20000,$A89,데이터!$E$2:$E$20000,1)=0,"",SUMIFS(데이터!$C$2:$C$20000,데이터!$A$2:$A$20000,$A89,데이터!$E$2:$E$20000,1)))</f>
        <v/>
      </c>
      <c r="C89" s="5">
        <f>IFERROR(IF(OR($B89="",COUNTIFS(데이터!$A$2:$A$20000,$A89,데이터!$E$2:$E$20000,설정!$B$2)=0),"",$B89/SUMIFS(데이터!$C$2:$C$20000,데이터!$A$2:$A$20000,$A89,데이터!$E$2:$E$20000,설정!$B$2)-1),"")</f>
        <v/>
      </c>
      <c r="D89" s="5">
        <f>IFERROR(IF(OR($B89="",COUNTIFS(데이터!$A$2:$A$20000,$A89,데이터!$E$2:$E$20000,설정!$B$3)=0),"",$B89/SUMIFS(데이터!$C$2:$C$20000,데이터!$A$2:$A$20000,$A89,데이터!$E$2:$E$20000,설정!$B$3)-1),"")</f>
        <v/>
      </c>
      <c r="E89" s="5">
        <f>IFERROR(IF(OR($B89="",COUNTIFS(데이터!$A$2:$A$20000,$A89,데이터!$E$2:$E$20000,설정!$B$4)=0),"",$B89/SUMIFS(데이터!$C$2:$C$20000,데이터!$A$2:$A$20000,$A89,데이터!$E$2:$E$20000,설정!$B$4)-1),"")</f>
        <v/>
      </c>
      <c r="F89" s="5">
        <f>IFERROR(IF(OR($B89="",COUNTIFS(데이터!$A$2:$A$20000,$A89,데이터!$E$2:$E$20000,설정!$B$5)=0),"",$B89/SUMIFS(데이터!$C$2:$C$20000,데이터!$A$2:$A$20000,$A89,데이터!$E$2:$E$20000,설정!$B$5)-1),"")</f>
        <v/>
      </c>
      <c r="G89" s="5">
        <f>IFERROR(IF(OR($B89="",COUNTIFS(데이터!$A$2:$A$20000,$A89,데이터!$E$2:$E$20000,설정!$B$6)=0),"",$B89/SUMIFS(데이터!$C$2:$C$20000,데이터!$A$2:$A$20000,$A89,데이터!$E$2:$E$20000,설정!$B$6)-1),"")</f>
        <v/>
      </c>
      <c r="H89" s="5">
        <f>IFERROR(IF(OR($B89="",COUNTIFS(데이터!$A$2:$A$20000,$A89,데이터!$E$2:$E$20000,설정!$B$7)=0),"",$B89/SUMIFS(데이터!$C$2:$C$20000,데이터!$A$2:$A$20000,$A89,데이터!$E$2:$E$20000,설정!$B$7)-1),"")</f>
        <v/>
      </c>
      <c r="J89">
        <f>IF(C89="","",C89+ROW()*0.000000001)</f>
        <v/>
      </c>
      <c r="K89">
        <f>IF(D89="","",D89+ROW()*0.000000001)</f>
        <v/>
      </c>
      <c r="L89">
        <f>IF(E89="","",E89+ROW()*0.000000001)</f>
        <v/>
      </c>
      <c r="M89">
        <f>IF(F89="","",F89+ROW()*0.000000001)</f>
        <v/>
      </c>
      <c r="N89">
        <f>IF(G89="","",G89+ROW()*0.000000001)</f>
        <v/>
      </c>
      <c r="O89">
        <f>IF(H89="","",H89+ROW()*0.000000001)</f>
        <v/>
      </c>
    </row>
    <row r="90">
      <c r="B90" s="4">
        <f>IF($A90="","",IF(COUNTIFS(데이터!$A$2:$A$20000,$A90,데이터!$E$2:$E$20000,1)=0,"",SUMIFS(데이터!$C$2:$C$20000,데이터!$A$2:$A$20000,$A90,데이터!$E$2:$E$20000,1)))</f>
        <v/>
      </c>
      <c r="C90" s="5">
        <f>IFERROR(IF(OR($B90="",COUNTIFS(데이터!$A$2:$A$20000,$A90,데이터!$E$2:$E$20000,설정!$B$2)=0),"",$B90/SUMIFS(데이터!$C$2:$C$20000,데이터!$A$2:$A$20000,$A90,데이터!$E$2:$E$20000,설정!$B$2)-1),"")</f>
        <v/>
      </c>
      <c r="D90" s="5">
        <f>IFERROR(IF(OR($B90="",COUNTIFS(데이터!$A$2:$A$20000,$A90,데이터!$E$2:$E$20000,설정!$B$3)=0),"",$B90/SUMIFS(데이터!$C$2:$C$20000,데이터!$A$2:$A$20000,$A90,데이터!$E$2:$E$20000,설정!$B$3)-1),"")</f>
        <v/>
      </c>
      <c r="E90" s="5">
        <f>IFERROR(IF(OR($B90="",COUNTIFS(데이터!$A$2:$A$20000,$A90,데이터!$E$2:$E$20000,설정!$B$4)=0),"",$B90/SUMIFS(데이터!$C$2:$C$20000,데이터!$A$2:$A$20000,$A90,데이터!$E$2:$E$20000,설정!$B$4)-1),"")</f>
        <v/>
      </c>
      <c r="F90" s="5">
        <f>IFERROR(IF(OR($B90="",COUNTIFS(데이터!$A$2:$A$20000,$A90,데이터!$E$2:$E$20000,설정!$B$5)=0),"",$B90/SUMIFS(데이터!$C$2:$C$20000,데이터!$A$2:$A$20000,$A90,데이터!$E$2:$E$20000,설정!$B$5)-1),"")</f>
        <v/>
      </c>
      <c r="G90" s="5">
        <f>IFERROR(IF(OR($B90="",COUNTIFS(데이터!$A$2:$A$20000,$A90,데이터!$E$2:$E$20000,설정!$B$6)=0),"",$B90/SUMIFS(데이터!$C$2:$C$20000,데이터!$A$2:$A$20000,$A90,데이터!$E$2:$E$20000,설정!$B$6)-1),"")</f>
        <v/>
      </c>
      <c r="H90" s="5">
        <f>IFERROR(IF(OR($B90="",COUNTIFS(데이터!$A$2:$A$20000,$A90,데이터!$E$2:$E$20000,설정!$B$7)=0),"",$B90/SUMIFS(데이터!$C$2:$C$20000,데이터!$A$2:$A$20000,$A90,데이터!$E$2:$E$20000,설정!$B$7)-1),"")</f>
        <v/>
      </c>
      <c r="J90">
        <f>IF(C90="","",C90+ROW()*0.000000001)</f>
        <v/>
      </c>
      <c r="K90">
        <f>IF(D90="","",D90+ROW()*0.000000001)</f>
        <v/>
      </c>
      <c r="L90">
        <f>IF(E90="","",E90+ROW()*0.000000001)</f>
        <v/>
      </c>
      <c r="M90">
        <f>IF(F90="","",F90+ROW()*0.000000001)</f>
        <v/>
      </c>
      <c r="N90">
        <f>IF(G90="","",G90+ROW()*0.000000001)</f>
        <v/>
      </c>
      <c r="O90">
        <f>IF(H90="","",H90+ROW()*0.000000001)</f>
        <v/>
      </c>
    </row>
    <row r="91">
      <c r="B91" s="4">
        <f>IF($A91="","",IF(COUNTIFS(데이터!$A$2:$A$20000,$A91,데이터!$E$2:$E$20000,1)=0,"",SUMIFS(데이터!$C$2:$C$20000,데이터!$A$2:$A$20000,$A91,데이터!$E$2:$E$20000,1)))</f>
        <v/>
      </c>
      <c r="C91" s="5">
        <f>IFERROR(IF(OR($B91="",COUNTIFS(데이터!$A$2:$A$20000,$A91,데이터!$E$2:$E$20000,설정!$B$2)=0),"",$B91/SUMIFS(데이터!$C$2:$C$20000,데이터!$A$2:$A$20000,$A91,데이터!$E$2:$E$20000,설정!$B$2)-1),"")</f>
        <v/>
      </c>
      <c r="D91" s="5">
        <f>IFERROR(IF(OR($B91="",COUNTIFS(데이터!$A$2:$A$20000,$A91,데이터!$E$2:$E$20000,설정!$B$3)=0),"",$B91/SUMIFS(데이터!$C$2:$C$20000,데이터!$A$2:$A$20000,$A91,데이터!$E$2:$E$20000,설정!$B$3)-1),"")</f>
        <v/>
      </c>
      <c r="E91" s="5">
        <f>IFERROR(IF(OR($B91="",COUNTIFS(데이터!$A$2:$A$20000,$A91,데이터!$E$2:$E$20000,설정!$B$4)=0),"",$B91/SUMIFS(데이터!$C$2:$C$20000,데이터!$A$2:$A$20000,$A91,데이터!$E$2:$E$20000,설정!$B$4)-1),"")</f>
        <v/>
      </c>
      <c r="F91" s="5">
        <f>IFERROR(IF(OR($B91="",COUNTIFS(데이터!$A$2:$A$20000,$A91,데이터!$E$2:$E$20000,설정!$B$5)=0),"",$B91/SUMIFS(데이터!$C$2:$C$20000,데이터!$A$2:$A$20000,$A91,데이터!$E$2:$E$20000,설정!$B$5)-1),"")</f>
        <v/>
      </c>
      <c r="G91" s="5">
        <f>IFERROR(IF(OR($B91="",COUNTIFS(데이터!$A$2:$A$20000,$A91,데이터!$E$2:$E$20000,설정!$B$6)=0),"",$B91/SUMIFS(데이터!$C$2:$C$20000,데이터!$A$2:$A$20000,$A91,데이터!$E$2:$E$20000,설정!$B$6)-1),"")</f>
        <v/>
      </c>
      <c r="H91" s="5">
        <f>IFERROR(IF(OR($B91="",COUNTIFS(데이터!$A$2:$A$20000,$A91,데이터!$E$2:$E$20000,설정!$B$7)=0),"",$B91/SUMIFS(데이터!$C$2:$C$20000,데이터!$A$2:$A$20000,$A91,데이터!$E$2:$E$20000,설정!$B$7)-1),"")</f>
        <v/>
      </c>
      <c r="J91">
        <f>IF(C91="","",C91+ROW()*0.000000001)</f>
        <v/>
      </c>
      <c r="K91">
        <f>IF(D91="","",D91+ROW()*0.000000001)</f>
        <v/>
      </c>
      <c r="L91">
        <f>IF(E91="","",E91+ROW()*0.000000001)</f>
        <v/>
      </c>
      <c r="M91">
        <f>IF(F91="","",F91+ROW()*0.000000001)</f>
        <v/>
      </c>
      <c r="N91">
        <f>IF(G91="","",G91+ROW()*0.000000001)</f>
        <v/>
      </c>
      <c r="O91">
        <f>IF(H91="","",H91+ROW()*0.000000001)</f>
        <v/>
      </c>
    </row>
    <row r="92">
      <c r="B92" s="4">
        <f>IF($A92="","",IF(COUNTIFS(데이터!$A$2:$A$20000,$A92,데이터!$E$2:$E$20000,1)=0,"",SUMIFS(데이터!$C$2:$C$20000,데이터!$A$2:$A$20000,$A92,데이터!$E$2:$E$20000,1)))</f>
        <v/>
      </c>
      <c r="C92" s="5">
        <f>IFERROR(IF(OR($B92="",COUNTIFS(데이터!$A$2:$A$20000,$A92,데이터!$E$2:$E$20000,설정!$B$2)=0),"",$B92/SUMIFS(데이터!$C$2:$C$20000,데이터!$A$2:$A$20000,$A92,데이터!$E$2:$E$20000,설정!$B$2)-1),"")</f>
        <v/>
      </c>
      <c r="D92" s="5">
        <f>IFERROR(IF(OR($B92="",COUNTIFS(데이터!$A$2:$A$20000,$A92,데이터!$E$2:$E$20000,설정!$B$3)=0),"",$B92/SUMIFS(데이터!$C$2:$C$20000,데이터!$A$2:$A$20000,$A92,데이터!$E$2:$E$20000,설정!$B$3)-1),"")</f>
        <v/>
      </c>
      <c r="E92" s="5">
        <f>IFERROR(IF(OR($B92="",COUNTIFS(데이터!$A$2:$A$20000,$A92,데이터!$E$2:$E$20000,설정!$B$4)=0),"",$B92/SUMIFS(데이터!$C$2:$C$20000,데이터!$A$2:$A$20000,$A92,데이터!$E$2:$E$20000,설정!$B$4)-1),"")</f>
        <v/>
      </c>
      <c r="F92" s="5">
        <f>IFERROR(IF(OR($B92="",COUNTIFS(데이터!$A$2:$A$20000,$A92,데이터!$E$2:$E$20000,설정!$B$5)=0),"",$B92/SUMIFS(데이터!$C$2:$C$20000,데이터!$A$2:$A$20000,$A92,데이터!$E$2:$E$20000,설정!$B$5)-1),"")</f>
        <v/>
      </c>
      <c r="G92" s="5">
        <f>IFERROR(IF(OR($B92="",COUNTIFS(데이터!$A$2:$A$20000,$A92,데이터!$E$2:$E$20000,설정!$B$6)=0),"",$B92/SUMIFS(데이터!$C$2:$C$20000,데이터!$A$2:$A$20000,$A92,데이터!$E$2:$E$20000,설정!$B$6)-1),"")</f>
        <v/>
      </c>
      <c r="H92" s="5">
        <f>IFERROR(IF(OR($B92="",COUNTIFS(데이터!$A$2:$A$20000,$A92,데이터!$E$2:$E$20000,설정!$B$7)=0),"",$B92/SUMIFS(데이터!$C$2:$C$20000,데이터!$A$2:$A$20000,$A92,데이터!$E$2:$E$20000,설정!$B$7)-1),"")</f>
        <v/>
      </c>
      <c r="J92">
        <f>IF(C92="","",C92+ROW()*0.000000001)</f>
        <v/>
      </c>
      <c r="K92">
        <f>IF(D92="","",D92+ROW()*0.000000001)</f>
        <v/>
      </c>
      <c r="L92">
        <f>IF(E92="","",E92+ROW()*0.000000001)</f>
        <v/>
      </c>
      <c r="M92">
        <f>IF(F92="","",F92+ROW()*0.000000001)</f>
        <v/>
      </c>
      <c r="N92">
        <f>IF(G92="","",G92+ROW()*0.000000001)</f>
        <v/>
      </c>
      <c r="O92">
        <f>IF(H92="","",H92+ROW()*0.000000001)</f>
        <v/>
      </c>
    </row>
    <row r="93">
      <c r="B93" s="4">
        <f>IF($A93="","",IF(COUNTIFS(데이터!$A$2:$A$20000,$A93,데이터!$E$2:$E$20000,1)=0,"",SUMIFS(데이터!$C$2:$C$20000,데이터!$A$2:$A$20000,$A93,데이터!$E$2:$E$20000,1)))</f>
        <v/>
      </c>
      <c r="C93" s="5">
        <f>IFERROR(IF(OR($B93="",COUNTIFS(데이터!$A$2:$A$20000,$A93,데이터!$E$2:$E$20000,설정!$B$2)=0),"",$B93/SUMIFS(데이터!$C$2:$C$20000,데이터!$A$2:$A$20000,$A93,데이터!$E$2:$E$20000,설정!$B$2)-1),"")</f>
        <v/>
      </c>
      <c r="D93" s="5">
        <f>IFERROR(IF(OR($B93="",COUNTIFS(데이터!$A$2:$A$20000,$A93,데이터!$E$2:$E$20000,설정!$B$3)=0),"",$B93/SUMIFS(데이터!$C$2:$C$20000,데이터!$A$2:$A$20000,$A93,데이터!$E$2:$E$20000,설정!$B$3)-1),"")</f>
        <v/>
      </c>
      <c r="E93" s="5">
        <f>IFERROR(IF(OR($B93="",COUNTIFS(데이터!$A$2:$A$20000,$A93,데이터!$E$2:$E$20000,설정!$B$4)=0),"",$B93/SUMIFS(데이터!$C$2:$C$20000,데이터!$A$2:$A$20000,$A93,데이터!$E$2:$E$20000,설정!$B$4)-1),"")</f>
        <v/>
      </c>
      <c r="F93" s="5">
        <f>IFERROR(IF(OR($B93="",COUNTIFS(데이터!$A$2:$A$20000,$A93,데이터!$E$2:$E$20000,설정!$B$5)=0),"",$B93/SUMIFS(데이터!$C$2:$C$20000,데이터!$A$2:$A$20000,$A93,데이터!$E$2:$E$20000,설정!$B$5)-1),"")</f>
        <v/>
      </c>
      <c r="G93" s="5">
        <f>IFERROR(IF(OR($B93="",COUNTIFS(데이터!$A$2:$A$20000,$A93,데이터!$E$2:$E$20000,설정!$B$6)=0),"",$B93/SUMIFS(데이터!$C$2:$C$20000,데이터!$A$2:$A$20000,$A93,데이터!$E$2:$E$20000,설정!$B$6)-1),"")</f>
        <v/>
      </c>
      <c r="H93" s="5">
        <f>IFERROR(IF(OR($B93="",COUNTIFS(데이터!$A$2:$A$20000,$A93,데이터!$E$2:$E$20000,설정!$B$7)=0),"",$B93/SUMIFS(데이터!$C$2:$C$20000,데이터!$A$2:$A$20000,$A93,데이터!$E$2:$E$20000,설정!$B$7)-1),"")</f>
        <v/>
      </c>
      <c r="J93">
        <f>IF(C93="","",C93+ROW()*0.000000001)</f>
        <v/>
      </c>
      <c r="K93">
        <f>IF(D93="","",D93+ROW()*0.000000001)</f>
        <v/>
      </c>
      <c r="L93">
        <f>IF(E93="","",E93+ROW()*0.000000001)</f>
        <v/>
      </c>
      <c r="M93">
        <f>IF(F93="","",F93+ROW()*0.000000001)</f>
        <v/>
      </c>
      <c r="N93">
        <f>IF(G93="","",G93+ROW()*0.000000001)</f>
        <v/>
      </c>
      <c r="O93">
        <f>IF(H93="","",H93+ROW()*0.000000001)</f>
        <v/>
      </c>
    </row>
    <row r="94">
      <c r="B94" s="4">
        <f>IF($A94="","",IF(COUNTIFS(데이터!$A$2:$A$20000,$A94,데이터!$E$2:$E$20000,1)=0,"",SUMIFS(데이터!$C$2:$C$20000,데이터!$A$2:$A$20000,$A94,데이터!$E$2:$E$20000,1)))</f>
        <v/>
      </c>
      <c r="C94" s="5">
        <f>IFERROR(IF(OR($B94="",COUNTIFS(데이터!$A$2:$A$20000,$A94,데이터!$E$2:$E$20000,설정!$B$2)=0),"",$B94/SUMIFS(데이터!$C$2:$C$20000,데이터!$A$2:$A$20000,$A94,데이터!$E$2:$E$20000,설정!$B$2)-1),"")</f>
        <v/>
      </c>
      <c r="D94" s="5">
        <f>IFERROR(IF(OR($B94="",COUNTIFS(데이터!$A$2:$A$20000,$A94,데이터!$E$2:$E$20000,설정!$B$3)=0),"",$B94/SUMIFS(데이터!$C$2:$C$20000,데이터!$A$2:$A$20000,$A94,데이터!$E$2:$E$20000,설정!$B$3)-1),"")</f>
        <v/>
      </c>
      <c r="E94" s="5">
        <f>IFERROR(IF(OR($B94="",COUNTIFS(데이터!$A$2:$A$20000,$A94,데이터!$E$2:$E$20000,설정!$B$4)=0),"",$B94/SUMIFS(데이터!$C$2:$C$20000,데이터!$A$2:$A$20000,$A94,데이터!$E$2:$E$20000,설정!$B$4)-1),"")</f>
        <v/>
      </c>
      <c r="F94" s="5">
        <f>IFERROR(IF(OR($B94="",COUNTIFS(데이터!$A$2:$A$20000,$A94,데이터!$E$2:$E$20000,설정!$B$5)=0),"",$B94/SUMIFS(데이터!$C$2:$C$20000,데이터!$A$2:$A$20000,$A94,데이터!$E$2:$E$20000,설정!$B$5)-1),"")</f>
        <v/>
      </c>
      <c r="G94" s="5">
        <f>IFERROR(IF(OR($B94="",COUNTIFS(데이터!$A$2:$A$20000,$A94,데이터!$E$2:$E$20000,설정!$B$6)=0),"",$B94/SUMIFS(데이터!$C$2:$C$20000,데이터!$A$2:$A$20000,$A94,데이터!$E$2:$E$20000,설정!$B$6)-1),"")</f>
        <v/>
      </c>
      <c r="H94" s="5">
        <f>IFERROR(IF(OR($B94="",COUNTIFS(데이터!$A$2:$A$20000,$A94,데이터!$E$2:$E$20000,설정!$B$7)=0),"",$B94/SUMIFS(데이터!$C$2:$C$20000,데이터!$A$2:$A$20000,$A94,데이터!$E$2:$E$20000,설정!$B$7)-1),"")</f>
        <v/>
      </c>
      <c r="J94">
        <f>IF(C94="","",C94+ROW()*0.000000001)</f>
        <v/>
      </c>
      <c r="K94">
        <f>IF(D94="","",D94+ROW()*0.000000001)</f>
        <v/>
      </c>
      <c r="L94">
        <f>IF(E94="","",E94+ROW()*0.000000001)</f>
        <v/>
      </c>
      <c r="M94">
        <f>IF(F94="","",F94+ROW()*0.000000001)</f>
        <v/>
      </c>
      <c r="N94">
        <f>IF(G94="","",G94+ROW()*0.000000001)</f>
        <v/>
      </c>
      <c r="O94">
        <f>IF(H94="","",H94+ROW()*0.000000001)</f>
        <v/>
      </c>
    </row>
    <row r="95">
      <c r="B95" s="4">
        <f>IF($A95="","",IF(COUNTIFS(데이터!$A$2:$A$20000,$A95,데이터!$E$2:$E$20000,1)=0,"",SUMIFS(데이터!$C$2:$C$20000,데이터!$A$2:$A$20000,$A95,데이터!$E$2:$E$20000,1)))</f>
        <v/>
      </c>
      <c r="C95" s="5">
        <f>IFERROR(IF(OR($B95="",COUNTIFS(데이터!$A$2:$A$20000,$A95,데이터!$E$2:$E$20000,설정!$B$2)=0),"",$B95/SUMIFS(데이터!$C$2:$C$20000,데이터!$A$2:$A$20000,$A95,데이터!$E$2:$E$20000,설정!$B$2)-1),"")</f>
        <v/>
      </c>
      <c r="D95" s="5">
        <f>IFERROR(IF(OR($B95="",COUNTIFS(데이터!$A$2:$A$20000,$A95,데이터!$E$2:$E$20000,설정!$B$3)=0),"",$B95/SUMIFS(데이터!$C$2:$C$20000,데이터!$A$2:$A$20000,$A95,데이터!$E$2:$E$20000,설정!$B$3)-1),"")</f>
        <v/>
      </c>
      <c r="E95" s="5">
        <f>IFERROR(IF(OR($B95="",COUNTIFS(데이터!$A$2:$A$20000,$A95,데이터!$E$2:$E$20000,설정!$B$4)=0),"",$B95/SUMIFS(데이터!$C$2:$C$20000,데이터!$A$2:$A$20000,$A95,데이터!$E$2:$E$20000,설정!$B$4)-1),"")</f>
        <v/>
      </c>
      <c r="F95" s="5">
        <f>IFERROR(IF(OR($B95="",COUNTIFS(데이터!$A$2:$A$20000,$A95,데이터!$E$2:$E$20000,설정!$B$5)=0),"",$B95/SUMIFS(데이터!$C$2:$C$20000,데이터!$A$2:$A$20000,$A95,데이터!$E$2:$E$20000,설정!$B$5)-1),"")</f>
        <v/>
      </c>
      <c r="G95" s="5">
        <f>IFERROR(IF(OR($B95="",COUNTIFS(데이터!$A$2:$A$20000,$A95,데이터!$E$2:$E$20000,설정!$B$6)=0),"",$B95/SUMIFS(데이터!$C$2:$C$20000,데이터!$A$2:$A$20000,$A95,데이터!$E$2:$E$20000,설정!$B$6)-1),"")</f>
        <v/>
      </c>
      <c r="H95" s="5">
        <f>IFERROR(IF(OR($B95="",COUNTIFS(데이터!$A$2:$A$20000,$A95,데이터!$E$2:$E$20000,설정!$B$7)=0),"",$B95/SUMIFS(데이터!$C$2:$C$20000,데이터!$A$2:$A$20000,$A95,데이터!$E$2:$E$20000,설정!$B$7)-1),"")</f>
        <v/>
      </c>
      <c r="J95">
        <f>IF(C95="","",C95+ROW()*0.000000001)</f>
        <v/>
      </c>
      <c r="K95">
        <f>IF(D95="","",D95+ROW()*0.000000001)</f>
        <v/>
      </c>
      <c r="L95">
        <f>IF(E95="","",E95+ROW()*0.000000001)</f>
        <v/>
      </c>
      <c r="M95">
        <f>IF(F95="","",F95+ROW()*0.000000001)</f>
        <v/>
      </c>
      <c r="N95">
        <f>IF(G95="","",G95+ROW()*0.000000001)</f>
        <v/>
      </c>
      <c r="O95">
        <f>IF(H95="","",H95+ROW()*0.000000001)</f>
        <v/>
      </c>
    </row>
    <row r="96">
      <c r="B96" s="4">
        <f>IF($A96="","",IF(COUNTIFS(데이터!$A$2:$A$20000,$A96,데이터!$E$2:$E$20000,1)=0,"",SUMIFS(데이터!$C$2:$C$20000,데이터!$A$2:$A$20000,$A96,데이터!$E$2:$E$20000,1)))</f>
        <v/>
      </c>
      <c r="C96" s="5">
        <f>IFERROR(IF(OR($B96="",COUNTIFS(데이터!$A$2:$A$20000,$A96,데이터!$E$2:$E$20000,설정!$B$2)=0),"",$B96/SUMIFS(데이터!$C$2:$C$20000,데이터!$A$2:$A$20000,$A96,데이터!$E$2:$E$20000,설정!$B$2)-1),"")</f>
        <v/>
      </c>
      <c r="D96" s="5">
        <f>IFERROR(IF(OR($B96="",COUNTIFS(데이터!$A$2:$A$20000,$A96,데이터!$E$2:$E$20000,설정!$B$3)=0),"",$B96/SUMIFS(데이터!$C$2:$C$20000,데이터!$A$2:$A$20000,$A96,데이터!$E$2:$E$20000,설정!$B$3)-1),"")</f>
        <v/>
      </c>
      <c r="E96" s="5">
        <f>IFERROR(IF(OR($B96="",COUNTIFS(데이터!$A$2:$A$20000,$A96,데이터!$E$2:$E$20000,설정!$B$4)=0),"",$B96/SUMIFS(데이터!$C$2:$C$20000,데이터!$A$2:$A$20000,$A96,데이터!$E$2:$E$20000,설정!$B$4)-1),"")</f>
        <v/>
      </c>
      <c r="F96" s="5">
        <f>IFERROR(IF(OR($B96="",COUNTIFS(데이터!$A$2:$A$20000,$A96,데이터!$E$2:$E$20000,설정!$B$5)=0),"",$B96/SUMIFS(데이터!$C$2:$C$20000,데이터!$A$2:$A$20000,$A96,데이터!$E$2:$E$20000,설정!$B$5)-1),"")</f>
        <v/>
      </c>
      <c r="G96" s="5">
        <f>IFERROR(IF(OR($B96="",COUNTIFS(데이터!$A$2:$A$20000,$A96,데이터!$E$2:$E$20000,설정!$B$6)=0),"",$B96/SUMIFS(데이터!$C$2:$C$20000,데이터!$A$2:$A$20000,$A96,데이터!$E$2:$E$20000,설정!$B$6)-1),"")</f>
        <v/>
      </c>
      <c r="H96" s="5">
        <f>IFERROR(IF(OR($B96="",COUNTIFS(데이터!$A$2:$A$20000,$A96,데이터!$E$2:$E$20000,설정!$B$7)=0),"",$B96/SUMIFS(데이터!$C$2:$C$20000,데이터!$A$2:$A$20000,$A96,데이터!$E$2:$E$20000,설정!$B$7)-1),"")</f>
        <v/>
      </c>
      <c r="J96">
        <f>IF(C96="","",C96+ROW()*0.000000001)</f>
        <v/>
      </c>
      <c r="K96">
        <f>IF(D96="","",D96+ROW()*0.000000001)</f>
        <v/>
      </c>
      <c r="L96">
        <f>IF(E96="","",E96+ROW()*0.000000001)</f>
        <v/>
      </c>
      <c r="M96">
        <f>IF(F96="","",F96+ROW()*0.000000001)</f>
        <v/>
      </c>
      <c r="N96">
        <f>IF(G96="","",G96+ROW()*0.000000001)</f>
        <v/>
      </c>
      <c r="O96">
        <f>IF(H96="","",H96+ROW()*0.000000001)</f>
        <v/>
      </c>
    </row>
    <row r="97">
      <c r="B97" s="4">
        <f>IF($A97="","",IF(COUNTIFS(데이터!$A$2:$A$20000,$A97,데이터!$E$2:$E$20000,1)=0,"",SUMIFS(데이터!$C$2:$C$20000,데이터!$A$2:$A$20000,$A97,데이터!$E$2:$E$20000,1)))</f>
        <v/>
      </c>
      <c r="C97" s="5">
        <f>IFERROR(IF(OR($B97="",COUNTIFS(데이터!$A$2:$A$20000,$A97,데이터!$E$2:$E$20000,설정!$B$2)=0),"",$B97/SUMIFS(데이터!$C$2:$C$20000,데이터!$A$2:$A$20000,$A97,데이터!$E$2:$E$20000,설정!$B$2)-1),"")</f>
        <v/>
      </c>
      <c r="D97" s="5">
        <f>IFERROR(IF(OR($B97="",COUNTIFS(데이터!$A$2:$A$20000,$A97,데이터!$E$2:$E$20000,설정!$B$3)=0),"",$B97/SUMIFS(데이터!$C$2:$C$20000,데이터!$A$2:$A$20000,$A97,데이터!$E$2:$E$20000,설정!$B$3)-1),"")</f>
        <v/>
      </c>
      <c r="E97" s="5">
        <f>IFERROR(IF(OR($B97="",COUNTIFS(데이터!$A$2:$A$20000,$A97,데이터!$E$2:$E$20000,설정!$B$4)=0),"",$B97/SUMIFS(데이터!$C$2:$C$20000,데이터!$A$2:$A$20000,$A97,데이터!$E$2:$E$20000,설정!$B$4)-1),"")</f>
        <v/>
      </c>
      <c r="F97" s="5">
        <f>IFERROR(IF(OR($B97="",COUNTIFS(데이터!$A$2:$A$20000,$A97,데이터!$E$2:$E$20000,설정!$B$5)=0),"",$B97/SUMIFS(데이터!$C$2:$C$20000,데이터!$A$2:$A$20000,$A97,데이터!$E$2:$E$20000,설정!$B$5)-1),"")</f>
        <v/>
      </c>
      <c r="G97" s="5">
        <f>IFERROR(IF(OR($B97="",COUNTIFS(데이터!$A$2:$A$20000,$A97,데이터!$E$2:$E$20000,설정!$B$6)=0),"",$B97/SUMIFS(데이터!$C$2:$C$20000,데이터!$A$2:$A$20000,$A97,데이터!$E$2:$E$20000,설정!$B$6)-1),"")</f>
        <v/>
      </c>
      <c r="H97" s="5">
        <f>IFERROR(IF(OR($B97="",COUNTIFS(데이터!$A$2:$A$20000,$A97,데이터!$E$2:$E$20000,설정!$B$7)=0),"",$B97/SUMIFS(데이터!$C$2:$C$20000,데이터!$A$2:$A$20000,$A97,데이터!$E$2:$E$20000,설정!$B$7)-1),"")</f>
        <v/>
      </c>
      <c r="J97">
        <f>IF(C97="","",C97+ROW()*0.000000001)</f>
        <v/>
      </c>
      <c r="K97">
        <f>IF(D97="","",D97+ROW()*0.000000001)</f>
        <v/>
      </c>
      <c r="L97">
        <f>IF(E97="","",E97+ROW()*0.000000001)</f>
        <v/>
      </c>
      <c r="M97">
        <f>IF(F97="","",F97+ROW()*0.000000001)</f>
        <v/>
      </c>
      <c r="N97">
        <f>IF(G97="","",G97+ROW()*0.000000001)</f>
        <v/>
      </c>
      <c r="O97">
        <f>IF(H97="","",H97+ROW()*0.000000001)</f>
        <v/>
      </c>
    </row>
    <row r="98">
      <c r="B98" s="4">
        <f>IF($A98="","",IF(COUNTIFS(데이터!$A$2:$A$20000,$A98,데이터!$E$2:$E$20000,1)=0,"",SUMIFS(데이터!$C$2:$C$20000,데이터!$A$2:$A$20000,$A98,데이터!$E$2:$E$20000,1)))</f>
        <v/>
      </c>
      <c r="C98" s="5">
        <f>IFERROR(IF(OR($B98="",COUNTIFS(데이터!$A$2:$A$20000,$A98,데이터!$E$2:$E$20000,설정!$B$2)=0),"",$B98/SUMIFS(데이터!$C$2:$C$20000,데이터!$A$2:$A$20000,$A98,데이터!$E$2:$E$20000,설정!$B$2)-1),"")</f>
        <v/>
      </c>
      <c r="D98" s="5">
        <f>IFERROR(IF(OR($B98="",COUNTIFS(데이터!$A$2:$A$20000,$A98,데이터!$E$2:$E$20000,설정!$B$3)=0),"",$B98/SUMIFS(데이터!$C$2:$C$20000,데이터!$A$2:$A$20000,$A98,데이터!$E$2:$E$20000,설정!$B$3)-1),"")</f>
        <v/>
      </c>
      <c r="E98" s="5">
        <f>IFERROR(IF(OR($B98="",COUNTIFS(데이터!$A$2:$A$20000,$A98,데이터!$E$2:$E$20000,설정!$B$4)=0),"",$B98/SUMIFS(데이터!$C$2:$C$20000,데이터!$A$2:$A$20000,$A98,데이터!$E$2:$E$20000,설정!$B$4)-1),"")</f>
        <v/>
      </c>
      <c r="F98" s="5">
        <f>IFERROR(IF(OR($B98="",COUNTIFS(데이터!$A$2:$A$20000,$A98,데이터!$E$2:$E$20000,설정!$B$5)=0),"",$B98/SUMIFS(데이터!$C$2:$C$20000,데이터!$A$2:$A$20000,$A98,데이터!$E$2:$E$20000,설정!$B$5)-1),"")</f>
        <v/>
      </c>
      <c r="G98" s="5">
        <f>IFERROR(IF(OR($B98="",COUNTIFS(데이터!$A$2:$A$20000,$A98,데이터!$E$2:$E$20000,설정!$B$6)=0),"",$B98/SUMIFS(데이터!$C$2:$C$20000,데이터!$A$2:$A$20000,$A98,데이터!$E$2:$E$20000,설정!$B$6)-1),"")</f>
        <v/>
      </c>
      <c r="H98" s="5">
        <f>IFERROR(IF(OR($B98="",COUNTIFS(데이터!$A$2:$A$20000,$A98,데이터!$E$2:$E$20000,설정!$B$7)=0),"",$B98/SUMIFS(데이터!$C$2:$C$20000,데이터!$A$2:$A$20000,$A98,데이터!$E$2:$E$20000,설정!$B$7)-1),"")</f>
        <v/>
      </c>
      <c r="J98">
        <f>IF(C98="","",C98+ROW()*0.000000001)</f>
        <v/>
      </c>
      <c r="K98">
        <f>IF(D98="","",D98+ROW()*0.000000001)</f>
        <v/>
      </c>
      <c r="L98">
        <f>IF(E98="","",E98+ROW()*0.000000001)</f>
        <v/>
      </c>
      <c r="M98">
        <f>IF(F98="","",F98+ROW()*0.000000001)</f>
        <v/>
      </c>
      <c r="N98">
        <f>IF(G98="","",G98+ROW()*0.000000001)</f>
        <v/>
      </c>
      <c r="O98">
        <f>IF(H98="","",H98+ROW()*0.000000001)</f>
        <v/>
      </c>
    </row>
    <row r="99">
      <c r="B99" s="4">
        <f>IF($A99="","",IF(COUNTIFS(데이터!$A$2:$A$20000,$A99,데이터!$E$2:$E$20000,1)=0,"",SUMIFS(데이터!$C$2:$C$20000,데이터!$A$2:$A$20000,$A99,데이터!$E$2:$E$20000,1)))</f>
        <v/>
      </c>
      <c r="C99" s="5">
        <f>IFERROR(IF(OR($B99="",COUNTIFS(데이터!$A$2:$A$20000,$A99,데이터!$E$2:$E$20000,설정!$B$2)=0),"",$B99/SUMIFS(데이터!$C$2:$C$20000,데이터!$A$2:$A$20000,$A99,데이터!$E$2:$E$20000,설정!$B$2)-1),"")</f>
        <v/>
      </c>
      <c r="D99" s="5">
        <f>IFERROR(IF(OR($B99="",COUNTIFS(데이터!$A$2:$A$20000,$A99,데이터!$E$2:$E$20000,설정!$B$3)=0),"",$B99/SUMIFS(데이터!$C$2:$C$20000,데이터!$A$2:$A$20000,$A99,데이터!$E$2:$E$20000,설정!$B$3)-1),"")</f>
        <v/>
      </c>
      <c r="E99" s="5">
        <f>IFERROR(IF(OR($B99="",COUNTIFS(데이터!$A$2:$A$20000,$A99,데이터!$E$2:$E$20000,설정!$B$4)=0),"",$B99/SUMIFS(데이터!$C$2:$C$20000,데이터!$A$2:$A$20000,$A99,데이터!$E$2:$E$20000,설정!$B$4)-1),"")</f>
        <v/>
      </c>
      <c r="F99" s="5">
        <f>IFERROR(IF(OR($B99="",COUNTIFS(데이터!$A$2:$A$20000,$A99,데이터!$E$2:$E$20000,설정!$B$5)=0),"",$B99/SUMIFS(데이터!$C$2:$C$20000,데이터!$A$2:$A$20000,$A99,데이터!$E$2:$E$20000,설정!$B$5)-1),"")</f>
        <v/>
      </c>
      <c r="G99" s="5">
        <f>IFERROR(IF(OR($B99="",COUNTIFS(데이터!$A$2:$A$20000,$A99,데이터!$E$2:$E$20000,설정!$B$6)=0),"",$B99/SUMIFS(데이터!$C$2:$C$20000,데이터!$A$2:$A$20000,$A99,데이터!$E$2:$E$20000,설정!$B$6)-1),"")</f>
        <v/>
      </c>
      <c r="H99" s="5">
        <f>IFERROR(IF(OR($B99="",COUNTIFS(데이터!$A$2:$A$20000,$A99,데이터!$E$2:$E$20000,설정!$B$7)=0),"",$B99/SUMIFS(데이터!$C$2:$C$20000,데이터!$A$2:$A$20000,$A99,데이터!$E$2:$E$20000,설정!$B$7)-1),"")</f>
        <v/>
      </c>
      <c r="J99">
        <f>IF(C99="","",C99+ROW()*0.000000001)</f>
        <v/>
      </c>
      <c r="K99">
        <f>IF(D99="","",D99+ROW()*0.000000001)</f>
        <v/>
      </c>
      <c r="L99">
        <f>IF(E99="","",E99+ROW()*0.000000001)</f>
        <v/>
      </c>
      <c r="M99">
        <f>IF(F99="","",F99+ROW()*0.000000001)</f>
        <v/>
      </c>
      <c r="N99">
        <f>IF(G99="","",G99+ROW()*0.000000001)</f>
        <v/>
      </c>
      <c r="O99">
        <f>IF(H99="","",H99+ROW()*0.000000001)</f>
        <v/>
      </c>
    </row>
    <row r="100">
      <c r="B100" s="4">
        <f>IF($A100="","",IF(COUNTIFS(데이터!$A$2:$A$20000,$A100,데이터!$E$2:$E$20000,1)=0,"",SUMIFS(데이터!$C$2:$C$20000,데이터!$A$2:$A$20000,$A100,데이터!$E$2:$E$20000,1)))</f>
        <v/>
      </c>
      <c r="C100" s="5">
        <f>IFERROR(IF(OR($B100="",COUNTIFS(데이터!$A$2:$A$20000,$A100,데이터!$E$2:$E$20000,설정!$B$2)=0),"",$B100/SUMIFS(데이터!$C$2:$C$20000,데이터!$A$2:$A$20000,$A100,데이터!$E$2:$E$20000,설정!$B$2)-1),"")</f>
        <v/>
      </c>
      <c r="D100" s="5">
        <f>IFERROR(IF(OR($B100="",COUNTIFS(데이터!$A$2:$A$20000,$A100,데이터!$E$2:$E$20000,설정!$B$3)=0),"",$B100/SUMIFS(데이터!$C$2:$C$20000,데이터!$A$2:$A$20000,$A100,데이터!$E$2:$E$20000,설정!$B$3)-1),"")</f>
        <v/>
      </c>
      <c r="E100" s="5">
        <f>IFERROR(IF(OR($B100="",COUNTIFS(데이터!$A$2:$A$20000,$A100,데이터!$E$2:$E$20000,설정!$B$4)=0),"",$B100/SUMIFS(데이터!$C$2:$C$20000,데이터!$A$2:$A$20000,$A100,데이터!$E$2:$E$20000,설정!$B$4)-1),"")</f>
        <v/>
      </c>
      <c r="F100" s="5">
        <f>IFERROR(IF(OR($B100="",COUNTIFS(데이터!$A$2:$A$20000,$A100,데이터!$E$2:$E$20000,설정!$B$5)=0),"",$B100/SUMIFS(데이터!$C$2:$C$20000,데이터!$A$2:$A$20000,$A100,데이터!$E$2:$E$20000,설정!$B$5)-1),"")</f>
        <v/>
      </c>
      <c r="G100" s="5">
        <f>IFERROR(IF(OR($B100="",COUNTIFS(데이터!$A$2:$A$20000,$A100,데이터!$E$2:$E$20000,설정!$B$6)=0),"",$B100/SUMIFS(데이터!$C$2:$C$20000,데이터!$A$2:$A$20000,$A100,데이터!$E$2:$E$20000,설정!$B$6)-1),"")</f>
        <v/>
      </c>
      <c r="H100" s="5">
        <f>IFERROR(IF(OR($B100="",COUNTIFS(데이터!$A$2:$A$20000,$A100,데이터!$E$2:$E$20000,설정!$B$7)=0),"",$B100/SUMIFS(데이터!$C$2:$C$20000,데이터!$A$2:$A$20000,$A100,데이터!$E$2:$E$20000,설정!$B$7)-1),"")</f>
        <v/>
      </c>
      <c r="J100">
        <f>IF(C100="","",C100+ROW()*0.000000001)</f>
        <v/>
      </c>
      <c r="K100">
        <f>IF(D100="","",D100+ROW()*0.000000001)</f>
        <v/>
      </c>
      <c r="L100">
        <f>IF(E100="","",E100+ROW()*0.000000001)</f>
        <v/>
      </c>
      <c r="M100">
        <f>IF(F100="","",F100+ROW()*0.000000001)</f>
        <v/>
      </c>
      <c r="N100">
        <f>IF(G100="","",G100+ROW()*0.000000001)</f>
        <v/>
      </c>
      <c r="O100">
        <f>IF(H100="","",H100+ROW()*0.000000001)</f>
        <v/>
      </c>
    </row>
    <row r="101">
      <c r="B101" s="4">
        <f>IF($A101="","",IF(COUNTIFS(데이터!$A$2:$A$20000,$A101,데이터!$E$2:$E$20000,1)=0,"",SUMIFS(데이터!$C$2:$C$20000,데이터!$A$2:$A$20000,$A101,데이터!$E$2:$E$20000,1)))</f>
        <v/>
      </c>
      <c r="C101" s="5">
        <f>IFERROR(IF(OR($B101="",COUNTIFS(데이터!$A$2:$A$20000,$A101,데이터!$E$2:$E$20000,설정!$B$2)=0),"",$B101/SUMIFS(데이터!$C$2:$C$20000,데이터!$A$2:$A$20000,$A101,데이터!$E$2:$E$20000,설정!$B$2)-1),"")</f>
        <v/>
      </c>
      <c r="D101" s="5">
        <f>IFERROR(IF(OR($B101="",COUNTIFS(데이터!$A$2:$A$20000,$A101,데이터!$E$2:$E$20000,설정!$B$3)=0),"",$B101/SUMIFS(데이터!$C$2:$C$20000,데이터!$A$2:$A$20000,$A101,데이터!$E$2:$E$20000,설정!$B$3)-1),"")</f>
        <v/>
      </c>
      <c r="E101" s="5">
        <f>IFERROR(IF(OR($B101="",COUNTIFS(데이터!$A$2:$A$20000,$A101,데이터!$E$2:$E$20000,설정!$B$4)=0),"",$B101/SUMIFS(데이터!$C$2:$C$20000,데이터!$A$2:$A$20000,$A101,데이터!$E$2:$E$20000,설정!$B$4)-1),"")</f>
        <v/>
      </c>
      <c r="F101" s="5">
        <f>IFERROR(IF(OR($B101="",COUNTIFS(데이터!$A$2:$A$20000,$A101,데이터!$E$2:$E$20000,설정!$B$5)=0),"",$B101/SUMIFS(데이터!$C$2:$C$20000,데이터!$A$2:$A$20000,$A101,데이터!$E$2:$E$20000,설정!$B$5)-1),"")</f>
        <v/>
      </c>
      <c r="G101" s="5">
        <f>IFERROR(IF(OR($B101="",COUNTIFS(데이터!$A$2:$A$20000,$A101,데이터!$E$2:$E$20000,설정!$B$6)=0),"",$B101/SUMIFS(데이터!$C$2:$C$20000,데이터!$A$2:$A$20000,$A101,데이터!$E$2:$E$20000,설정!$B$6)-1),"")</f>
        <v/>
      </c>
      <c r="H101" s="5">
        <f>IFERROR(IF(OR($B101="",COUNTIFS(데이터!$A$2:$A$20000,$A101,데이터!$E$2:$E$20000,설정!$B$7)=0),"",$B101/SUMIFS(데이터!$C$2:$C$20000,데이터!$A$2:$A$20000,$A101,데이터!$E$2:$E$20000,설정!$B$7)-1),"")</f>
        <v/>
      </c>
      <c r="J101">
        <f>IF(C101="","",C101+ROW()*0.000000001)</f>
        <v/>
      </c>
      <c r="K101">
        <f>IF(D101="","",D101+ROW()*0.000000001)</f>
        <v/>
      </c>
      <c r="L101">
        <f>IF(E101="","",E101+ROW()*0.000000001)</f>
        <v/>
      </c>
      <c r="M101">
        <f>IF(F101="","",F101+ROW()*0.000000001)</f>
        <v/>
      </c>
      <c r="N101">
        <f>IF(G101="","",G101+ROW()*0.000000001)</f>
        <v/>
      </c>
      <c r="O101">
        <f>IF(H101="","",H101+ROW()*0.000000001)</f>
        <v/>
      </c>
    </row>
    <row r="102">
      <c r="B102" s="4">
        <f>IF($A102="","",IF(COUNTIFS(데이터!$A$2:$A$20000,$A102,데이터!$E$2:$E$20000,1)=0,"",SUMIFS(데이터!$C$2:$C$20000,데이터!$A$2:$A$20000,$A102,데이터!$E$2:$E$20000,1)))</f>
        <v/>
      </c>
      <c r="C102" s="5">
        <f>IFERROR(IF(OR($B102="",COUNTIFS(데이터!$A$2:$A$20000,$A102,데이터!$E$2:$E$20000,설정!$B$2)=0),"",$B102/SUMIFS(데이터!$C$2:$C$20000,데이터!$A$2:$A$20000,$A102,데이터!$E$2:$E$20000,설정!$B$2)-1),"")</f>
        <v/>
      </c>
      <c r="D102" s="5">
        <f>IFERROR(IF(OR($B102="",COUNTIFS(데이터!$A$2:$A$20000,$A102,데이터!$E$2:$E$20000,설정!$B$3)=0),"",$B102/SUMIFS(데이터!$C$2:$C$20000,데이터!$A$2:$A$20000,$A102,데이터!$E$2:$E$20000,설정!$B$3)-1),"")</f>
        <v/>
      </c>
      <c r="E102" s="5">
        <f>IFERROR(IF(OR($B102="",COUNTIFS(데이터!$A$2:$A$20000,$A102,데이터!$E$2:$E$20000,설정!$B$4)=0),"",$B102/SUMIFS(데이터!$C$2:$C$20000,데이터!$A$2:$A$20000,$A102,데이터!$E$2:$E$20000,설정!$B$4)-1),"")</f>
        <v/>
      </c>
      <c r="F102" s="5">
        <f>IFERROR(IF(OR($B102="",COUNTIFS(데이터!$A$2:$A$20000,$A102,데이터!$E$2:$E$20000,설정!$B$5)=0),"",$B102/SUMIFS(데이터!$C$2:$C$20000,데이터!$A$2:$A$20000,$A102,데이터!$E$2:$E$20000,설정!$B$5)-1),"")</f>
        <v/>
      </c>
      <c r="G102" s="5">
        <f>IFERROR(IF(OR($B102="",COUNTIFS(데이터!$A$2:$A$20000,$A102,데이터!$E$2:$E$20000,설정!$B$6)=0),"",$B102/SUMIFS(데이터!$C$2:$C$20000,데이터!$A$2:$A$20000,$A102,데이터!$E$2:$E$20000,설정!$B$6)-1),"")</f>
        <v/>
      </c>
      <c r="H102" s="5">
        <f>IFERROR(IF(OR($B102="",COUNTIFS(데이터!$A$2:$A$20000,$A102,데이터!$E$2:$E$20000,설정!$B$7)=0),"",$B102/SUMIFS(데이터!$C$2:$C$20000,데이터!$A$2:$A$20000,$A102,데이터!$E$2:$E$20000,설정!$B$7)-1),"")</f>
        <v/>
      </c>
      <c r="J102">
        <f>IF(C102="","",C102+ROW()*0.000000001)</f>
        <v/>
      </c>
      <c r="K102">
        <f>IF(D102="","",D102+ROW()*0.000000001)</f>
        <v/>
      </c>
      <c r="L102">
        <f>IF(E102="","",E102+ROW()*0.000000001)</f>
        <v/>
      </c>
      <c r="M102">
        <f>IF(F102="","",F102+ROW()*0.000000001)</f>
        <v/>
      </c>
      <c r="N102">
        <f>IF(G102="","",G102+ROW()*0.000000001)</f>
        <v/>
      </c>
      <c r="O102">
        <f>IF(H102="","",H102+ROW()*0.000000001)</f>
        <v/>
      </c>
    </row>
    <row r="103">
      <c r="B103" s="4">
        <f>IF($A103="","",IF(COUNTIFS(데이터!$A$2:$A$20000,$A103,데이터!$E$2:$E$20000,1)=0,"",SUMIFS(데이터!$C$2:$C$20000,데이터!$A$2:$A$20000,$A103,데이터!$E$2:$E$20000,1)))</f>
        <v/>
      </c>
      <c r="C103" s="5">
        <f>IFERROR(IF(OR($B103="",COUNTIFS(데이터!$A$2:$A$20000,$A103,데이터!$E$2:$E$20000,설정!$B$2)=0),"",$B103/SUMIFS(데이터!$C$2:$C$20000,데이터!$A$2:$A$20000,$A103,데이터!$E$2:$E$20000,설정!$B$2)-1),"")</f>
        <v/>
      </c>
      <c r="D103" s="5">
        <f>IFERROR(IF(OR($B103="",COUNTIFS(데이터!$A$2:$A$20000,$A103,데이터!$E$2:$E$20000,설정!$B$3)=0),"",$B103/SUMIFS(데이터!$C$2:$C$20000,데이터!$A$2:$A$20000,$A103,데이터!$E$2:$E$20000,설정!$B$3)-1),"")</f>
        <v/>
      </c>
      <c r="E103" s="5">
        <f>IFERROR(IF(OR($B103="",COUNTIFS(데이터!$A$2:$A$20000,$A103,데이터!$E$2:$E$20000,설정!$B$4)=0),"",$B103/SUMIFS(데이터!$C$2:$C$20000,데이터!$A$2:$A$20000,$A103,데이터!$E$2:$E$20000,설정!$B$4)-1),"")</f>
        <v/>
      </c>
      <c r="F103" s="5">
        <f>IFERROR(IF(OR($B103="",COUNTIFS(데이터!$A$2:$A$20000,$A103,데이터!$E$2:$E$20000,설정!$B$5)=0),"",$B103/SUMIFS(데이터!$C$2:$C$20000,데이터!$A$2:$A$20000,$A103,데이터!$E$2:$E$20000,설정!$B$5)-1),"")</f>
        <v/>
      </c>
      <c r="G103" s="5">
        <f>IFERROR(IF(OR($B103="",COUNTIFS(데이터!$A$2:$A$20000,$A103,데이터!$E$2:$E$20000,설정!$B$6)=0),"",$B103/SUMIFS(데이터!$C$2:$C$20000,데이터!$A$2:$A$20000,$A103,데이터!$E$2:$E$20000,설정!$B$6)-1),"")</f>
        <v/>
      </c>
      <c r="H103" s="5">
        <f>IFERROR(IF(OR($B103="",COUNTIFS(데이터!$A$2:$A$20000,$A103,데이터!$E$2:$E$20000,설정!$B$7)=0),"",$B103/SUMIFS(데이터!$C$2:$C$20000,데이터!$A$2:$A$20000,$A103,데이터!$E$2:$E$20000,설정!$B$7)-1),"")</f>
        <v/>
      </c>
      <c r="J103">
        <f>IF(C103="","",C103+ROW()*0.000000001)</f>
        <v/>
      </c>
      <c r="K103">
        <f>IF(D103="","",D103+ROW()*0.000000001)</f>
        <v/>
      </c>
      <c r="L103">
        <f>IF(E103="","",E103+ROW()*0.000000001)</f>
        <v/>
      </c>
      <c r="M103">
        <f>IF(F103="","",F103+ROW()*0.000000001)</f>
        <v/>
      </c>
      <c r="N103">
        <f>IF(G103="","",G103+ROW()*0.000000001)</f>
        <v/>
      </c>
      <c r="O103">
        <f>IF(H103="","",H103+ROW()*0.000000001)</f>
        <v/>
      </c>
    </row>
    <row r="104">
      <c r="B104" s="4">
        <f>IF($A104="","",IF(COUNTIFS(데이터!$A$2:$A$20000,$A104,데이터!$E$2:$E$20000,1)=0,"",SUMIFS(데이터!$C$2:$C$20000,데이터!$A$2:$A$20000,$A104,데이터!$E$2:$E$20000,1)))</f>
        <v/>
      </c>
      <c r="C104" s="5">
        <f>IFERROR(IF(OR($B104="",COUNTIFS(데이터!$A$2:$A$20000,$A104,데이터!$E$2:$E$20000,설정!$B$2)=0),"",$B104/SUMIFS(데이터!$C$2:$C$20000,데이터!$A$2:$A$20000,$A104,데이터!$E$2:$E$20000,설정!$B$2)-1),"")</f>
        <v/>
      </c>
      <c r="D104" s="5">
        <f>IFERROR(IF(OR($B104="",COUNTIFS(데이터!$A$2:$A$20000,$A104,데이터!$E$2:$E$20000,설정!$B$3)=0),"",$B104/SUMIFS(데이터!$C$2:$C$20000,데이터!$A$2:$A$20000,$A104,데이터!$E$2:$E$20000,설정!$B$3)-1),"")</f>
        <v/>
      </c>
      <c r="E104" s="5">
        <f>IFERROR(IF(OR($B104="",COUNTIFS(데이터!$A$2:$A$20000,$A104,데이터!$E$2:$E$20000,설정!$B$4)=0),"",$B104/SUMIFS(데이터!$C$2:$C$20000,데이터!$A$2:$A$20000,$A104,데이터!$E$2:$E$20000,설정!$B$4)-1),"")</f>
        <v/>
      </c>
      <c r="F104" s="5">
        <f>IFERROR(IF(OR($B104="",COUNTIFS(데이터!$A$2:$A$20000,$A104,데이터!$E$2:$E$20000,설정!$B$5)=0),"",$B104/SUMIFS(데이터!$C$2:$C$20000,데이터!$A$2:$A$20000,$A104,데이터!$E$2:$E$20000,설정!$B$5)-1),"")</f>
        <v/>
      </c>
      <c r="G104" s="5">
        <f>IFERROR(IF(OR($B104="",COUNTIFS(데이터!$A$2:$A$20000,$A104,데이터!$E$2:$E$20000,설정!$B$6)=0),"",$B104/SUMIFS(데이터!$C$2:$C$20000,데이터!$A$2:$A$20000,$A104,데이터!$E$2:$E$20000,설정!$B$6)-1),"")</f>
        <v/>
      </c>
      <c r="H104" s="5">
        <f>IFERROR(IF(OR($B104="",COUNTIFS(데이터!$A$2:$A$20000,$A104,데이터!$E$2:$E$20000,설정!$B$7)=0),"",$B104/SUMIFS(데이터!$C$2:$C$20000,데이터!$A$2:$A$20000,$A104,데이터!$E$2:$E$20000,설정!$B$7)-1),"")</f>
        <v/>
      </c>
      <c r="J104">
        <f>IF(C104="","",C104+ROW()*0.000000001)</f>
        <v/>
      </c>
      <c r="K104">
        <f>IF(D104="","",D104+ROW()*0.000000001)</f>
        <v/>
      </c>
      <c r="L104">
        <f>IF(E104="","",E104+ROW()*0.000000001)</f>
        <v/>
      </c>
      <c r="M104">
        <f>IF(F104="","",F104+ROW()*0.000000001)</f>
        <v/>
      </c>
      <c r="N104">
        <f>IF(G104="","",G104+ROW()*0.000000001)</f>
        <v/>
      </c>
      <c r="O104">
        <f>IF(H104="","",H104+ROW()*0.000000001)</f>
        <v/>
      </c>
    </row>
    <row r="105">
      <c r="B105" s="4">
        <f>IF($A105="","",IF(COUNTIFS(데이터!$A$2:$A$20000,$A105,데이터!$E$2:$E$20000,1)=0,"",SUMIFS(데이터!$C$2:$C$20000,데이터!$A$2:$A$20000,$A105,데이터!$E$2:$E$20000,1)))</f>
        <v/>
      </c>
      <c r="C105" s="5">
        <f>IFERROR(IF(OR($B105="",COUNTIFS(데이터!$A$2:$A$20000,$A105,데이터!$E$2:$E$20000,설정!$B$2)=0),"",$B105/SUMIFS(데이터!$C$2:$C$20000,데이터!$A$2:$A$20000,$A105,데이터!$E$2:$E$20000,설정!$B$2)-1),"")</f>
        <v/>
      </c>
      <c r="D105" s="5">
        <f>IFERROR(IF(OR($B105="",COUNTIFS(데이터!$A$2:$A$20000,$A105,데이터!$E$2:$E$20000,설정!$B$3)=0),"",$B105/SUMIFS(데이터!$C$2:$C$20000,데이터!$A$2:$A$20000,$A105,데이터!$E$2:$E$20000,설정!$B$3)-1),"")</f>
        <v/>
      </c>
      <c r="E105" s="5">
        <f>IFERROR(IF(OR($B105="",COUNTIFS(데이터!$A$2:$A$20000,$A105,데이터!$E$2:$E$20000,설정!$B$4)=0),"",$B105/SUMIFS(데이터!$C$2:$C$20000,데이터!$A$2:$A$20000,$A105,데이터!$E$2:$E$20000,설정!$B$4)-1),"")</f>
        <v/>
      </c>
      <c r="F105" s="5">
        <f>IFERROR(IF(OR($B105="",COUNTIFS(데이터!$A$2:$A$20000,$A105,데이터!$E$2:$E$20000,설정!$B$5)=0),"",$B105/SUMIFS(데이터!$C$2:$C$20000,데이터!$A$2:$A$20000,$A105,데이터!$E$2:$E$20000,설정!$B$5)-1),"")</f>
        <v/>
      </c>
      <c r="G105" s="5">
        <f>IFERROR(IF(OR($B105="",COUNTIFS(데이터!$A$2:$A$20000,$A105,데이터!$E$2:$E$20000,설정!$B$6)=0),"",$B105/SUMIFS(데이터!$C$2:$C$20000,데이터!$A$2:$A$20000,$A105,데이터!$E$2:$E$20000,설정!$B$6)-1),"")</f>
        <v/>
      </c>
      <c r="H105" s="5">
        <f>IFERROR(IF(OR($B105="",COUNTIFS(데이터!$A$2:$A$20000,$A105,데이터!$E$2:$E$20000,설정!$B$7)=0),"",$B105/SUMIFS(데이터!$C$2:$C$20000,데이터!$A$2:$A$20000,$A105,데이터!$E$2:$E$20000,설정!$B$7)-1),"")</f>
        <v/>
      </c>
      <c r="J105">
        <f>IF(C105="","",C105+ROW()*0.000000001)</f>
        <v/>
      </c>
      <c r="K105">
        <f>IF(D105="","",D105+ROW()*0.000000001)</f>
        <v/>
      </c>
      <c r="L105">
        <f>IF(E105="","",E105+ROW()*0.000000001)</f>
        <v/>
      </c>
      <c r="M105">
        <f>IF(F105="","",F105+ROW()*0.000000001)</f>
        <v/>
      </c>
      <c r="N105">
        <f>IF(G105="","",G105+ROW()*0.000000001)</f>
        <v/>
      </c>
      <c r="O105">
        <f>IF(H105="","",H105+ROW()*0.000000001)</f>
        <v/>
      </c>
    </row>
    <row r="106">
      <c r="B106" s="4">
        <f>IF($A106="","",IF(COUNTIFS(데이터!$A$2:$A$20000,$A106,데이터!$E$2:$E$20000,1)=0,"",SUMIFS(데이터!$C$2:$C$20000,데이터!$A$2:$A$20000,$A106,데이터!$E$2:$E$20000,1)))</f>
        <v/>
      </c>
      <c r="C106" s="5">
        <f>IFERROR(IF(OR($B106="",COUNTIFS(데이터!$A$2:$A$20000,$A106,데이터!$E$2:$E$20000,설정!$B$2)=0),"",$B106/SUMIFS(데이터!$C$2:$C$20000,데이터!$A$2:$A$20000,$A106,데이터!$E$2:$E$20000,설정!$B$2)-1),"")</f>
        <v/>
      </c>
      <c r="D106" s="5">
        <f>IFERROR(IF(OR($B106="",COUNTIFS(데이터!$A$2:$A$20000,$A106,데이터!$E$2:$E$20000,설정!$B$3)=0),"",$B106/SUMIFS(데이터!$C$2:$C$20000,데이터!$A$2:$A$20000,$A106,데이터!$E$2:$E$20000,설정!$B$3)-1),"")</f>
        <v/>
      </c>
      <c r="E106" s="5">
        <f>IFERROR(IF(OR($B106="",COUNTIFS(데이터!$A$2:$A$20000,$A106,데이터!$E$2:$E$20000,설정!$B$4)=0),"",$B106/SUMIFS(데이터!$C$2:$C$20000,데이터!$A$2:$A$20000,$A106,데이터!$E$2:$E$20000,설정!$B$4)-1),"")</f>
        <v/>
      </c>
      <c r="F106" s="5">
        <f>IFERROR(IF(OR($B106="",COUNTIFS(데이터!$A$2:$A$20000,$A106,데이터!$E$2:$E$20000,설정!$B$5)=0),"",$B106/SUMIFS(데이터!$C$2:$C$20000,데이터!$A$2:$A$20000,$A106,데이터!$E$2:$E$20000,설정!$B$5)-1),"")</f>
        <v/>
      </c>
      <c r="G106" s="5">
        <f>IFERROR(IF(OR($B106="",COUNTIFS(데이터!$A$2:$A$20000,$A106,데이터!$E$2:$E$20000,설정!$B$6)=0),"",$B106/SUMIFS(데이터!$C$2:$C$20000,데이터!$A$2:$A$20000,$A106,데이터!$E$2:$E$20000,설정!$B$6)-1),"")</f>
        <v/>
      </c>
      <c r="H106" s="5">
        <f>IFERROR(IF(OR($B106="",COUNTIFS(데이터!$A$2:$A$20000,$A106,데이터!$E$2:$E$20000,설정!$B$7)=0),"",$B106/SUMIFS(데이터!$C$2:$C$20000,데이터!$A$2:$A$20000,$A106,데이터!$E$2:$E$20000,설정!$B$7)-1),"")</f>
        <v/>
      </c>
      <c r="J106">
        <f>IF(C106="","",C106+ROW()*0.000000001)</f>
        <v/>
      </c>
      <c r="K106">
        <f>IF(D106="","",D106+ROW()*0.000000001)</f>
        <v/>
      </c>
      <c r="L106">
        <f>IF(E106="","",E106+ROW()*0.000000001)</f>
        <v/>
      </c>
      <c r="M106">
        <f>IF(F106="","",F106+ROW()*0.000000001)</f>
        <v/>
      </c>
      <c r="N106">
        <f>IF(G106="","",G106+ROW()*0.000000001)</f>
        <v/>
      </c>
      <c r="O106">
        <f>IF(H106="","",H106+ROW()*0.000000001)</f>
        <v/>
      </c>
    </row>
    <row r="107">
      <c r="B107" s="4">
        <f>IF($A107="","",IF(COUNTIFS(데이터!$A$2:$A$20000,$A107,데이터!$E$2:$E$20000,1)=0,"",SUMIFS(데이터!$C$2:$C$20000,데이터!$A$2:$A$20000,$A107,데이터!$E$2:$E$20000,1)))</f>
        <v/>
      </c>
      <c r="C107" s="5">
        <f>IFERROR(IF(OR($B107="",COUNTIFS(데이터!$A$2:$A$20000,$A107,데이터!$E$2:$E$20000,설정!$B$2)=0),"",$B107/SUMIFS(데이터!$C$2:$C$20000,데이터!$A$2:$A$20000,$A107,데이터!$E$2:$E$20000,설정!$B$2)-1),"")</f>
        <v/>
      </c>
      <c r="D107" s="5">
        <f>IFERROR(IF(OR($B107="",COUNTIFS(데이터!$A$2:$A$20000,$A107,데이터!$E$2:$E$20000,설정!$B$3)=0),"",$B107/SUMIFS(데이터!$C$2:$C$20000,데이터!$A$2:$A$20000,$A107,데이터!$E$2:$E$20000,설정!$B$3)-1),"")</f>
        <v/>
      </c>
      <c r="E107" s="5">
        <f>IFERROR(IF(OR($B107="",COUNTIFS(데이터!$A$2:$A$20000,$A107,데이터!$E$2:$E$20000,설정!$B$4)=0),"",$B107/SUMIFS(데이터!$C$2:$C$20000,데이터!$A$2:$A$20000,$A107,데이터!$E$2:$E$20000,설정!$B$4)-1),"")</f>
        <v/>
      </c>
      <c r="F107" s="5">
        <f>IFERROR(IF(OR($B107="",COUNTIFS(데이터!$A$2:$A$20000,$A107,데이터!$E$2:$E$20000,설정!$B$5)=0),"",$B107/SUMIFS(데이터!$C$2:$C$20000,데이터!$A$2:$A$20000,$A107,데이터!$E$2:$E$20000,설정!$B$5)-1),"")</f>
        <v/>
      </c>
      <c r="G107" s="5">
        <f>IFERROR(IF(OR($B107="",COUNTIFS(데이터!$A$2:$A$20000,$A107,데이터!$E$2:$E$20000,설정!$B$6)=0),"",$B107/SUMIFS(데이터!$C$2:$C$20000,데이터!$A$2:$A$20000,$A107,데이터!$E$2:$E$20000,설정!$B$6)-1),"")</f>
        <v/>
      </c>
      <c r="H107" s="5">
        <f>IFERROR(IF(OR($B107="",COUNTIFS(데이터!$A$2:$A$20000,$A107,데이터!$E$2:$E$20000,설정!$B$7)=0),"",$B107/SUMIFS(데이터!$C$2:$C$20000,데이터!$A$2:$A$20000,$A107,데이터!$E$2:$E$20000,설정!$B$7)-1),"")</f>
        <v/>
      </c>
      <c r="J107">
        <f>IF(C107="","",C107+ROW()*0.000000001)</f>
        <v/>
      </c>
      <c r="K107">
        <f>IF(D107="","",D107+ROW()*0.000000001)</f>
        <v/>
      </c>
      <c r="L107">
        <f>IF(E107="","",E107+ROW()*0.000000001)</f>
        <v/>
      </c>
      <c r="M107">
        <f>IF(F107="","",F107+ROW()*0.000000001)</f>
        <v/>
      </c>
      <c r="N107">
        <f>IF(G107="","",G107+ROW()*0.000000001)</f>
        <v/>
      </c>
      <c r="O107">
        <f>IF(H107="","",H107+ROW()*0.000000001)</f>
        <v/>
      </c>
    </row>
    <row r="108">
      <c r="B108" s="4">
        <f>IF($A108="","",IF(COUNTIFS(데이터!$A$2:$A$20000,$A108,데이터!$E$2:$E$20000,1)=0,"",SUMIFS(데이터!$C$2:$C$20000,데이터!$A$2:$A$20000,$A108,데이터!$E$2:$E$20000,1)))</f>
        <v/>
      </c>
      <c r="C108" s="5">
        <f>IFERROR(IF(OR($B108="",COUNTIFS(데이터!$A$2:$A$20000,$A108,데이터!$E$2:$E$20000,설정!$B$2)=0),"",$B108/SUMIFS(데이터!$C$2:$C$20000,데이터!$A$2:$A$20000,$A108,데이터!$E$2:$E$20000,설정!$B$2)-1),"")</f>
        <v/>
      </c>
      <c r="D108" s="5">
        <f>IFERROR(IF(OR($B108="",COUNTIFS(데이터!$A$2:$A$20000,$A108,데이터!$E$2:$E$20000,설정!$B$3)=0),"",$B108/SUMIFS(데이터!$C$2:$C$20000,데이터!$A$2:$A$20000,$A108,데이터!$E$2:$E$20000,설정!$B$3)-1),"")</f>
        <v/>
      </c>
      <c r="E108" s="5">
        <f>IFERROR(IF(OR($B108="",COUNTIFS(데이터!$A$2:$A$20000,$A108,데이터!$E$2:$E$20000,설정!$B$4)=0),"",$B108/SUMIFS(데이터!$C$2:$C$20000,데이터!$A$2:$A$20000,$A108,데이터!$E$2:$E$20000,설정!$B$4)-1),"")</f>
        <v/>
      </c>
      <c r="F108" s="5">
        <f>IFERROR(IF(OR($B108="",COUNTIFS(데이터!$A$2:$A$20000,$A108,데이터!$E$2:$E$20000,설정!$B$5)=0),"",$B108/SUMIFS(데이터!$C$2:$C$20000,데이터!$A$2:$A$20000,$A108,데이터!$E$2:$E$20000,설정!$B$5)-1),"")</f>
        <v/>
      </c>
      <c r="G108" s="5">
        <f>IFERROR(IF(OR($B108="",COUNTIFS(데이터!$A$2:$A$20000,$A108,데이터!$E$2:$E$20000,설정!$B$6)=0),"",$B108/SUMIFS(데이터!$C$2:$C$20000,데이터!$A$2:$A$20000,$A108,데이터!$E$2:$E$20000,설정!$B$6)-1),"")</f>
        <v/>
      </c>
      <c r="H108" s="5">
        <f>IFERROR(IF(OR($B108="",COUNTIFS(데이터!$A$2:$A$20000,$A108,데이터!$E$2:$E$20000,설정!$B$7)=0),"",$B108/SUMIFS(데이터!$C$2:$C$20000,데이터!$A$2:$A$20000,$A108,데이터!$E$2:$E$20000,설정!$B$7)-1),"")</f>
        <v/>
      </c>
      <c r="J108">
        <f>IF(C108="","",C108+ROW()*0.000000001)</f>
        <v/>
      </c>
      <c r="K108">
        <f>IF(D108="","",D108+ROW()*0.000000001)</f>
        <v/>
      </c>
      <c r="L108">
        <f>IF(E108="","",E108+ROW()*0.000000001)</f>
        <v/>
      </c>
      <c r="M108">
        <f>IF(F108="","",F108+ROW()*0.000000001)</f>
        <v/>
      </c>
      <c r="N108">
        <f>IF(G108="","",G108+ROW()*0.000000001)</f>
        <v/>
      </c>
      <c r="O108">
        <f>IF(H108="","",H108+ROW()*0.000000001)</f>
        <v/>
      </c>
    </row>
    <row r="109">
      <c r="B109" s="4">
        <f>IF($A109="","",IF(COUNTIFS(데이터!$A$2:$A$20000,$A109,데이터!$E$2:$E$20000,1)=0,"",SUMIFS(데이터!$C$2:$C$20000,데이터!$A$2:$A$20000,$A109,데이터!$E$2:$E$20000,1)))</f>
        <v/>
      </c>
      <c r="C109" s="5">
        <f>IFERROR(IF(OR($B109="",COUNTIFS(데이터!$A$2:$A$20000,$A109,데이터!$E$2:$E$20000,설정!$B$2)=0),"",$B109/SUMIFS(데이터!$C$2:$C$20000,데이터!$A$2:$A$20000,$A109,데이터!$E$2:$E$20000,설정!$B$2)-1),"")</f>
        <v/>
      </c>
      <c r="D109" s="5">
        <f>IFERROR(IF(OR($B109="",COUNTIFS(데이터!$A$2:$A$20000,$A109,데이터!$E$2:$E$20000,설정!$B$3)=0),"",$B109/SUMIFS(데이터!$C$2:$C$20000,데이터!$A$2:$A$20000,$A109,데이터!$E$2:$E$20000,설정!$B$3)-1),"")</f>
        <v/>
      </c>
      <c r="E109" s="5">
        <f>IFERROR(IF(OR($B109="",COUNTIFS(데이터!$A$2:$A$20000,$A109,데이터!$E$2:$E$20000,설정!$B$4)=0),"",$B109/SUMIFS(데이터!$C$2:$C$20000,데이터!$A$2:$A$20000,$A109,데이터!$E$2:$E$20000,설정!$B$4)-1),"")</f>
        <v/>
      </c>
      <c r="F109" s="5">
        <f>IFERROR(IF(OR($B109="",COUNTIFS(데이터!$A$2:$A$20000,$A109,데이터!$E$2:$E$20000,설정!$B$5)=0),"",$B109/SUMIFS(데이터!$C$2:$C$20000,데이터!$A$2:$A$20000,$A109,데이터!$E$2:$E$20000,설정!$B$5)-1),"")</f>
        <v/>
      </c>
      <c r="G109" s="5">
        <f>IFERROR(IF(OR($B109="",COUNTIFS(데이터!$A$2:$A$20000,$A109,데이터!$E$2:$E$20000,설정!$B$6)=0),"",$B109/SUMIFS(데이터!$C$2:$C$20000,데이터!$A$2:$A$20000,$A109,데이터!$E$2:$E$20000,설정!$B$6)-1),"")</f>
        <v/>
      </c>
      <c r="H109" s="5">
        <f>IFERROR(IF(OR($B109="",COUNTIFS(데이터!$A$2:$A$20000,$A109,데이터!$E$2:$E$20000,설정!$B$7)=0),"",$B109/SUMIFS(데이터!$C$2:$C$20000,데이터!$A$2:$A$20000,$A109,데이터!$E$2:$E$20000,설정!$B$7)-1),"")</f>
        <v/>
      </c>
      <c r="J109">
        <f>IF(C109="","",C109+ROW()*0.000000001)</f>
        <v/>
      </c>
      <c r="K109">
        <f>IF(D109="","",D109+ROW()*0.000000001)</f>
        <v/>
      </c>
      <c r="L109">
        <f>IF(E109="","",E109+ROW()*0.000000001)</f>
        <v/>
      </c>
      <c r="M109">
        <f>IF(F109="","",F109+ROW()*0.000000001)</f>
        <v/>
      </c>
      <c r="N109">
        <f>IF(G109="","",G109+ROW()*0.000000001)</f>
        <v/>
      </c>
      <c r="O109">
        <f>IF(H109="","",H109+ROW()*0.000000001)</f>
        <v/>
      </c>
    </row>
    <row r="110">
      <c r="B110" s="4">
        <f>IF($A110="","",IF(COUNTIFS(데이터!$A$2:$A$20000,$A110,데이터!$E$2:$E$20000,1)=0,"",SUMIFS(데이터!$C$2:$C$20000,데이터!$A$2:$A$20000,$A110,데이터!$E$2:$E$20000,1)))</f>
        <v/>
      </c>
      <c r="C110" s="5">
        <f>IFERROR(IF(OR($B110="",COUNTIFS(데이터!$A$2:$A$20000,$A110,데이터!$E$2:$E$20000,설정!$B$2)=0),"",$B110/SUMIFS(데이터!$C$2:$C$20000,데이터!$A$2:$A$20000,$A110,데이터!$E$2:$E$20000,설정!$B$2)-1),"")</f>
        <v/>
      </c>
      <c r="D110" s="5">
        <f>IFERROR(IF(OR($B110="",COUNTIFS(데이터!$A$2:$A$20000,$A110,데이터!$E$2:$E$20000,설정!$B$3)=0),"",$B110/SUMIFS(데이터!$C$2:$C$20000,데이터!$A$2:$A$20000,$A110,데이터!$E$2:$E$20000,설정!$B$3)-1),"")</f>
        <v/>
      </c>
      <c r="E110" s="5">
        <f>IFERROR(IF(OR($B110="",COUNTIFS(데이터!$A$2:$A$20000,$A110,데이터!$E$2:$E$20000,설정!$B$4)=0),"",$B110/SUMIFS(데이터!$C$2:$C$20000,데이터!$A$2:$A$20000,$A110,데이터!$E$2:$E$20000,설정!$B$4)-1),"")</f>
        <v/>
      </c>
      <c r="F110" s="5">
        <f>IFERROR(IF(OR($B110="",COUNTIFS(데이터!$A$2:$A$20000,$A110,데이터!$E$2:$E$20000,설정!$B$5)=0),"",$B110/SUMIFS(데이터!$C$2:$C$20000,데이터!$A$2:$A$20000,$A110,데이터!$E$2:$E$20000,설정!$B$5)-1),"")</f>
        <v/>
      </c>
      <c r="G110" s="5">
        <f>IFERROR(IF(OR($B110="",COUNTIFS(데이터!$A$2:$A$20000,$A110,데이터!$E$2:$E$20000,설정!$B$6)=0),"",$B110/SUMIFS(데이터!$C$2:$C$20000,데이터!$A$2:$A$20000,$A110,데이터!$E$2:$E$20000,설정!$B$6)-1),"")</f>
        <v/>
      </c>
      <c r="H110" s="5">
        <f>IFERROR(IF(OR($B110="",COUNTIFS(데이터!$A$2:$A$20000,$A110,데이터!$E$2:$E$20000,설정!$B$7)=0),"",$B110/SUMIFS(데이터!$C$2:$C$20000,데이터!$A$2:$A$20000,$A110,데이터!$E$2:$E$20000,설정!$B$7)-1),"")</f>
        <v/>
      </c>
      <c r="J110">
        <f>IF(C110="","",C110+ROW()*0.000000001)</f>
        <v/>
      </c>
      <c r="K110">
        <f>IF(D110="","",D110+ROW()*0.000000001)</f>
        <v/>
      </c>
      <c r="L110">
        <f>IF(E110="","",E110+ROW()*0.000000001)</f>
        <v/>
      </c>
      <c r="M110">
        <f>IF(F110="","",F110+ROW()*0.000000001)</f>
        <v/>
      </c>
      <c r="N110">
        <f>IF(G110="","",G110+ROW()*0.000000001)</f>
        <v/>
      </c>
      <c r="O110">
        <f>IF(H110="","",H110+ROW()*0.000000001)</f>
        <v/>
      </c>
    </row>
    <row r="111">
      <c r="B111" s="4">
        <f>IF($A111="","",IF(COUNTIFS(데이터!$A$2:$A$20000,$A111,데이터!$E$2:$E$20000,1)=0,"",SUMIFS(데이터!$C$2:$C$20000,데이터!$A$2:$A$20000,$A111,데이터!$E$2:$E$20000,1)))</f>
        <v/>
      </c>
      <c r="C111" s="5">
        <f>IFERROR(IF(OR($B111="",COUNTIFS(데이터!$A$2:$A$20000,$A111,데이터!$E$2:$E$20000,설정!$B$2)=0),"",$B111/SUMIFS(데이터!$C$2:$C$20000,데이터!$A$2:$A$20000,$A111,데이터!$E$2:$E$20000,설정!$B$2)-1),"")</f>
        <v/>
      </c>
      <c r="D111" s="5">
        <f>IFERROR(IF(OR($B111="",COUNTIFS(데이터!$A$2:$A$20000,$A111,데이터!$E$2:$E$20000,설정!$B$3)=0),"",$B111/SUMIFS(데이터!$C$2:$C$20000,데이터!$A$2:$A$20000,$A111,데이터!$E$2:$E$20000,설정!$B$3)-1),"")</f>
        <v/>
      </c>
      <c r="E111" s="5">
        <f>IFERROR(IF(OR($B111="",COUNTIFS(데이터!$A$2:$A$20000,$A111,데이터!$E$2:$E$20000,설정!$B$4)=0),"",$B111/SUMIFS(데이터!$C$2:$C$20000,데이터!$A$2:$A$20000,$A111,데이터!$E$2:$E$20000,설정!$B$4)-1),"")</f>
        <v/>
      </c>
      <c r="F111" s="5">
        <f>IFERROR(IF(OR($B111="",COUNTIFS(데이터!$A$2:$A$20000,$A111,데이터!$E$2:$E$20000,설정!$B$5)=0),"",$B111/SUMIFS(데이터!$C$2:$C$20000,데이터!$A$2:$A$20000,$A111,데이터!$E$2:$E$20000,설정!$B$5)-1),"")</f>
        <v/>
      </c>
      <c r="G111" s="5">
        <f>IFERROR(IF(OR($B111="",COUNTIFS(데이터!$A$2:$A$20000,$A111,데이터!$E$2:$E$20000,설정!$B$6)=0),"",$B111/SUMIFS(데이터!$C$2:$C$20000,데이터!$A$2:$A$20000,$A111,데이터!$E$2:$E$20000,설정!$B$6)-1),"")</f>
        <v/>
      </c>
      <c r="H111" s="5">
        <f>IFERROR(IF(OR($B111="",COUNTIFS(데이터!$A$2:$A$20000,$A111,데이터!$E$2:$E$20000,설정!$B$7)=0),"",$B111/SUMIFS(데이터!$C$2:$C$20000,데이터!$A$2:$A$20000,$A111,데이터!$E$2:$E$20000,설정!$B$7)-1),"")</f>
        <v/>
      </c>
      <c r="J111">
        <f>IF(C111="","",C111+ROW()*0.000000001)</f>
        <v/>
      </c>
      <c r="K111">
        <f>IF(D111="","",D111+ROW()*0.000000001)</f>
        <v/>
      </c>
      <c r="L111">
        <f>IF(E111="","",E111+ROW()*0.000000001)</f>
        <v/>
      </c>
      <c r="M111">
        <f>IF(F111="","",F111+ROW()*0.000000001)</f>
        <v/>
      </c>
      <c r="N111">
        <f>IF(G111="","",G111+ROW()*0.000000001)</f>
        <v/>
      </c>
      <c r="O111">
        <f>IF(H111="","",H111+ROW()*0.000000001)</f>
        <v/>
      </c>
    </row>
    <row r="112">
      <c r="B112" s="4">
        <f>IF($A112="","",IF(COUNTIFS(데이터!$A$2:$A$20000,$A112,데이터!$E$2:$E$20000,1)=0,"",SUMIFS(데이터!$C$2:$C$20000,데이터!$A$2:$A$20000,$A112,데이터!$E$2:$E$20000,1)))</f>
        <v/>
      </c>
      <c r="C112" s="5">
        <f>IFERROR(IF(OR($B112="",COUNTIFS(데이터!$A$2:$A$20000,$A112,데이터!$E$2:$E$20000,설정!$B$2)=0),"",$B112/SUMIFS(데이터!$C$2:$C$20000,데이터!$A$2:$A$20000,$A112,데이터!$E$2:$E$20000,설정!$B$2)-1),"")</f>
        <v/>
      </c>
      <c r="D112" s="5">
        <f>IFERROR(IF(OR($B112="",COUNTIFS(데이터!$A$2:$A$20000,$A112,데이터!$E$2:$E$20000,설정!$B$3)=0),"",$B112/SUMIFS(데이터!$C$2:$C$20000,데이터!$A$2:$A$20000,$A112,데이터!$E$2:$E$20000,설정!$B$3)-1),"")</f>
        <v/>
      </c>
      <c r="E112" s="5">
        <f>IFERROR(IF(OR($B112="",COUNTIFS(데이터!$A$2:$A$20000,$A112,데이터!$E$2:$E$20000,설정!$B$4)=0),"",$B112/SUMIFS(데이터!$C$2:$C$20000,데이터!$A$2:$A$20000,$A112,데이터!$E$2:$E$20000,설정!$B$4)-1),"")</f>
        <v/>
      </c>
      <c r="F112" s="5">
        <f>IFERROR(IF(OR($B112="",COUNTIFS(데이터!$A$2:$A$20000,$A112,데이터!$E$2:$E$20000,설정!$B$5)=0),"",$B112/SUMIFS(데이터!$C$2:$C$20000,데이터!$A$2:$A$20000,$A112,데이터!$E$2:$E$20000,설정!$B$5)-1),"")</f>
        <v/>
      </c>
      <c r="G112" s="5">
        <f>IFERROR(IF(OR($B112="",COUNTIFS(데이터!$A$2:$A$20000,$A112,데이터!$E$2:$E$20000,설정!$B$6)=0),"",$B112/SUMIFS(데이터!$C$2:$C$20000,데이터!$A$2:$A$20000,$A112,데이터!$E$2:$E$20000,설정!$B$6)-1),"")</f>
        <v/>
      </c>
      <c r="H112" s="5">
        <f>IFERROR(IF(OR($B112="",COUNTIFS(데이터!$A$2:$A$20000,$A112,데이터!$E$2:$E$20000,설정!$B$7)=0),"",$B112/SUMIFS(데이터!$C$2:$C$20000,데이터!$A$2:$A$20000,$A112,데이터!$E$2:$E$20000,설정!$B$7)-1),"")</f>
        <v/>
      </c>
      <c r="J112">
        <f>IF(C112="","",C112+ROW()*0.000000001)</f>
        <v/>
      </c>
      <c r="K112">
        <f>IF(D112="","",D112+ROW()*0.000000001)</f>
        <v/>
      </c>
      <c r="L112">
        <f>IF(E112="","",E112+ROW()*0.000000001)</f>
        <v/>
      </c>
      <c r="M112">
        <f>IF(F112="","",F112+ROW()*0.000000001)</f>
        <v/>
      </c>
      <c r="N112">
        <f>IF(G112="","",G112+ROW()*0.000000001)</f>
        <v/>
      </c>
      <c r="O112">
        <f>IF(H112="","",H112+ROW()*0.000000001)</f>
        <v/>
      </c>
    </row>
    <row r="113">
      <c r="B113" s="4">
        <f>IF($A113="","",IF(COUNTIFS(데이터!$A$2:$A$20000,$A113,데이터!$E$2:$E$20000,1)=0,"",SUMIFS(데이터!$C$2:$C$20000,데이터!$A$2:$A$20000,$A113,데이터!$E$2:$E$20000,1)))</f>
        <v/>
      </c>
      <c r="C113" s="5">
        <f>IFERROR(IF(OR($B113="",COUNTIFS(데이터!$A$2:$A$20000,$A113,데이터!$E$2:$E$20000,설정!$B$2)=0),"",$B113/SUMIFS(데이터!$C$2:$C$20000,데이터!$A$2:$A$20000,$A113,데이터!$E$2:$E$20000,설정!$B$2)-1),"")</f>
        <v/>
      </c>
      <c r="D113" s="5">
        <f>IFERROR(IF(OR($B113="",COUNTIFS(데이터!$A$2:$A$20000,$A113,데이터!$E$2:$E$20000,설정!$B$3)=0),"",$B113/SUMIFS(데이터!$C$2:$C$20000,데이터!$A$2:$A$20000,$A113,데이터!$E$2:$E$20000,설정!$B$3)-1),"")</f>
        <v/>
      </c>
      <c r="E113" s="5">
        <f>IFERROR(IF(OR($B113="",COUNTIFS(데이터!$A$2:$A$20000,$A113,데이터!$E$2:$E$20000,설정!$B$4)=0),"",$B113/SUMIFS(데이터!$C$2:$C$20000,데이터!$A$2:$A$20000,$A113,데이터!$E$2:$E$20000,설정!$B$4)-1),"")</f>
        <v/>
      </c>
      <c r="F113" s="5">
        <f>IFERROR(IF(OR($B113="",COUNTIFS(데이터!$A$2:$A$20000,$A113,데이터!$E$2:$E$20000,설정!$B$5)=0),"",$B113/SUMIFS(데이터!$C$2:$C$20000,데이터!$A$2:$A$20000,$A113,데이터!$E$2:$E$20000,설정!$B$5)-1),"")</f>
        <v/>
      </c>
      <c r="G113" s="5">
        <f>IFERROR(IF(OR($B113="",COUNTIFS(데이터!$A$2:$A$20000,$A113,데이터!$E$2:$E$20000,설정!$B$6)=0),"",$B113/SUMIFS(데이터!$C$2:$C$20000,데이터!$A$2:$A$20000,$A113,데이터!$E$2:$E$20000,설정!$B$6)-1),"")</f>
        <v/>
      </c>
      <c r="H113" s="5">
        <f>IFERROR(IF(OR($B113="",COUNTIFS(데이터!$A$2:$A$20000,$A113,데이터!$E$2:$E$20000,설정!$B$7)=0),"",$B113/SUMIFS(데이터!$C$2:$C$20000,데이터!$A$2:$A$20000,$A113,데이터!$E$2:$E$20000,설정!$B$7)-1),"")</f>
        <v/>
      </c>
      <c r="J113">
        <f>IF(C113="","",C113+ROW()*0.000000001)</f>
        <v/>
      </c>
      <c r="K113">
        <f>IF(D113="","",D113+ROW()*0.000000001)</f>
        <v/>
      </c>
      <c r="L113">
        <f>IF(E113="","",E113+ROW()*0.000000001)</f>
        <v/>
      </c>
      <c r="M113">
        <f>IF(F113="","",F113+ROW()*0.000000001)</f>
        <v/>
      </c>
      <c r="N113">
        <f>IF(G113="","",G113+ROW()*0.000000001)</f>
        <v/>
      </c>
      <c r="O113">
        <f>IF(H113="","",H113+ROW()*0.000000001)</f>
        <v/>
      </c>
    </row>
    <row r="114">
      <c r="B114" s="4">
        <f>IF($A114="","",IF(COUNTIFS(데이터!$A$2:$A$20000,$A114,데이터!$E$2:$E$20000,1)=0,"",SUMIFS(데이터!$C$2:$C$20000,데이터!$A$2:$A$20000,$A114,데이터!$E$2:$E$20000,1)))</f>
        <v/>
      </c>
      <c r="C114" s="5">
        <f>IFERROR(IF(OR($B114="",COUNTIFS(데이터!$A$2:$A$20000,$A114,데이터!$E$2:$E$20000,설정!$B$2)=0),"",$B114/SUMIFS(데이터!$C$2:$C$20000,데이터!$A$2:$A$20000,$A114,데이터!$E$2:$E$20000,설정!$B$2)-1),"")</f>
        <v/>
      </c>
      <c r="D114" s="5">
        <f>IFERROR(IF(OR($B114="",COUNTIFS(데이터!$A$2:$A$20000,$A114,데이터!$E$2:$E$20000,설정!$B$3)=0),"",$B114/SUMIFS(데이터!$C$2:$C$20000,데이터!$A$2:$A$20000,$A114,데이터!$E$2:$E$20000,설정!$B$3)-1),"")</f>
        <v/>
      </c>
      <c r="E114" s="5">
        <f>IFERROR(IF(OR($B114="",COUNTIFS(데이터!$A$2:$A$20000,$A114,데이터!$E$2:$E$20000,설정!$B$4)=0),"",$B114/SUMIFS(데이터!$C$2:$C$20000,데이터!$A$2:$A$20000,$A114,데이터!$E$2:$E$20000,설정!$B$4)-1),"")</f>
        <v/>
      </c>
      <c r="F114" s="5">
        <f>IFERROR(IF(OR($B114="",COUNTIFS(데이터!$A$2:$A$20000,$A114,데이터!$E$2:$E$20000,설정!$B$5)=0),"",$B114/SUMIFS(데이터!$C$2:$C$20000,데이터!$A$2:$A$20000,$A114,데이터!$E$2:$E$20000,설정!$B$5)-1),"")</f>
        <v/>
      </c>
      <c r="G114" s="5">
        <f>IFERROR(IF(OR($B114="",COUNTIFS(데이터!$A$2:$A$20000,$A114,데이터!$E$2:$E$20000,설정!$B$6)=0),"",$B114/SUMIFS(데이터!$C$2:$C$20000,데이터!$A$2:$A$20000,$A114,데이터!$E$2:$E$20000,설정!$B$6)-1),"")</f>
        <v/>
      </c>
      <c r="H114" s="5">
        <f>IFERROR(IF(OR($B114="",COUNTIFS(데이터!$A$2:$A$20000,$A114,데이터!$E$2:$E$20000,설정!$B$7)=0),"",$B114/SUMIFS(데이터!$C$2:$C$20000,데이터!$A$2:$A$20000,$A114,데이터!$E$2:$E$20000,설정!$B$7)-1),"")</f>
        <v/>
      </c>
      <c r="J114">
        <f>IF(C114="","",C114+ROW()*0.000000001)</f>
        <v/>
      </c>
      <c r="K114">
        <f>IF(D114="","",D114+ROW()*0.000000001)</f>
        <v/>
      </c>
      <c r="L114">
        <f>IF(E114="","",E114+ROW()*0.000000001)</f>
        <v/>
      </c>
      <c r="M114">
        <f>IF(F114="","",F114+ROW()*0.000000001)</f>
        <v/>
      </c>
      <c r="N114">
        <f>IF(G114="","",G114+ROW()*0.000000001)</f>
        <v/>
      </c>
      <c r="O114">
        <f>IF(H114="","",H114+ROW()*0.000000001)</f>
        <v/>
      </c>
    </row>
    <row r="115">
      <c r="B115" s="4">
        <f>IF($A115="","",IF(COUNTIFS(데이터!$A$2:$A$20000,$A115,데이터!$E$2:$E$20000,1)=0,"",SUMIFS(데이터!$C$2:$C$20000,데이터!$A$2:$A$20000,$A115,데이터!$E$2:$E$20000,1)))</f>
        <v/>
      </c>
      <c r="C115" s="5">
        <f>IFERROR(IF(OR($B115="",COUNTIFS(데이터!$A$2:$A$20000,$A115,데이터!$E$2:$E$20000,설정!$B$2)=0),"",$B115/SUMIFS(데이터!$C$2:$C$20000,데이터!$A$2:$A$20000,$A115,데이터!$E$2:$E$20000,설정!$B$2)-1),"")</f>
        <v/>
      </c>
      <c r="D115" s="5">
        <f>IFERROR(IF(OR($B115="",COUNTIFS(데이터!$A$2:$A$20000,$A115,데이터!$E$2:$E$20000,설정!$B$3)=0),"",$B115/SUMIFS(데이터!$C$2:$C$20000,데이터!$A$2:$A$20000,$A115,데이터!$E$2:$E$20000,설정!$B$3)-1),"")</f>
        <v/>
      </c>
      <c r="E115" s="5">
        <f>IFERROR(IF(OR($B115="",COUNTIFS(데이터!$A$2:$A$20000,$A115,데이터!$E$2:$E$20000,설정!$B$4)=0),"",$B115/SUMIFS(데이터!$C$2:$C$20000,데이터!$A$2:$A$20000,$A115,데이터!$E$2:$E$20000,설정!$B$4)-1),"")</f>
        <v/>
      </c>
      <c r="F115" s="5">
        <f>IFERROR(IF(OR($B115="",COUNTIFS(데이터!$A$2:$A$20000,$A115,데이터!$E$2:$E$20000,설정!$B$5)=0),"",$B115/SUMIFS(데이터!$C$2:$C$20000,데이터!$A$2:$A$20000,$A115,데이터!$E$2:$E$20000,설정!$B$5)-1),"")</f>
        <v/>
      </c>
      <c r="G115" s="5">
        <f>IFERROR(IF(OR($B115="",COUNTIFS(데이터!$A$2:$A$20000,$A115,데이터!$E$2:$E$20000,설정!$B$6)=0),"",$B115/SUMIFS(데이터!$C$2:$C$20000,데이터!$A$2:$A$20000,$A115,데이터!$E$2:$E$20000,설정!$B$6)-1),"")</f>
        <v/>
      </c>
      <c r="H115" s="5">
        <f>IFERROR(IF(OR($B115="",COUNTIFS(데이터!$A$2:$A$20000,$A115,데이터!$E$2:$E$20000,설정!$B$7)=0),"",$B115/SUMIFS(데이터!$C$2:$C$20000,데이터!$A$2:$A$20000,$A115,데이터!$E$2:$E$20000,설정!$B$7)-1),"")</f>
        <v/>
      </c>
      <c r="J115">
        <f>IF(C115="","",C115+ROW()*0.000000001)</f>
        <v/>
      </c>
      <c r="K115">
        <f>IF(D115="","",D115+ROW()*0.000000001)</f>
        <v/>
      </c>
      <c r="L115">
        <f>IF(E115="","",E115+ROW()*0.000000001)</f>
        <v/>
      </c>
      <c r="M115">
        <f>IF(F115="","",F115+ROW()*0.000000001)</f>
        <v/>
      </c>
      <c r="N115">
        <f>IF(G115="","",G115+ROW()*0.000000001)</f>
        <v/>
      </c>
      <c r="O115">
        <f>IF(H115="","",H115+ROW()*0.000000001)</f>
        <v/>
      </c>
    </row>
    <row r="116">
      <c r="B116" s="4">
        <f>IF($A116="","",IF(COUNTIFS(데이터!$A$2:$A$20000,$A116,데이터!$E$2:$E$20000,1)=0,"",SUMIFS(데이터!$C$2:$C$20000,데이터!$A$2:$A$20000,$A116,데이터!$E$2:$E$20000,1)))</f>
        <v/>
      </c>
      <c r="C116" s="5">
        <f>IFERROR(IF(OR($B116="",COUNTIFS(데이터!$A$2:$A$20000,$A116,데이터!$E$2:$E$20000,설정!$B$2)=0),"",$B116/SUMIFS(데이터!$C$2:$C$20000,데이터!$A$2:$A$20000,$A116,데이터!$E$2:$E$20000,설정!$B$2)-1),"")</f>
        <v/>
      </c>
      <c r="D116" s="5">
        <f>IFERROR(IF(OR($B116="",COUNTIFS(데이터!$A$2:$A$20000,$A116,데이터!$E$2:$E$20000,설정!$B$3)=0),"",$B116/SUMIFS(데이터!$C$2:$C$20000,데이터!$A$2:$A$20000,$A116,데이터!$E$2:$E$20000,설정!$B$3)-1),"")</f>
        <v/>
      </c>
      <c r="E116" s="5">
        <f>IFERROR(IF(OR($B116="",COUNTIFS(데이터!$A$2:$A$20000,$A116,데이터!$E$2:$E$20000,설정!$B$4)=0),"",$B116/SUMIFS(데이터!$C$2:$C$20000,데이터!$A$2:$A$20000,$A116,데이터!$E$2:$E$20000,설정!$B$4)-1),"")</f>
        <v/>
      </c>
      <c r="F116" s="5">
        <f>IFERROR(IF(OR($B116="",COUNTIFS(데이터!$A$2:$A$20000,$A116,데이터!$E$2:$E$20000,설정!$B$5)=0),"",$B116/SUMIFS(데이터!$C$2:$C$20000,데이터!$A$2:$A$20000,$A116,데이터!$E$2:$E$20000,설정!$B$5)-1),"")</f>
        <v/>
      </c>
      <c r="G116" s="5">
        <f>IFERROR(IF(OR($B116="",COUNTIFS(데이터!$A$2:$A$20000,$A116,데이터!$E$2:$E$20000,설정!$B$6)=0),"",$B116/SUMIFS(데이터!$C$2:$C$20000,데이터!$A$2:$A$20000,$A116,데이터!$E$2:$E$20000,설정!$B$6)-1),"")</f>
        <v/>
      </c>
      <c r="H116" s="5">
        <f>IFERROR(IF(OR($B116="",COUNTIFS(데이터!$A$2:$A$20000,$A116,데이터!$E$2:$E$20000,설정!$B$7)=0),"",$B116/SUMIFS(데이터!$C$2:$C$20000,데이터!$A$2:$A$20000,$A116,데이터!$E$2:$E$20000,설정!$B$7)-1),"")</f>
        <v/>
      </c>
      <c r="J116">
        <f>IF(C116="","",C116+ROW()*0.000000001)</f>
        <v/>
      </c>
      <c r="K116">
        <f>IF(D116="","",D116+ROW()*0.000000001)</f>
        <v/>
      </c>
      <c r="L116">
        <f>IF(E116="","",E116+ROW()*0.000000001)</f>
        <v/>
      </c>
      <c r="M116">
        <f>IF(F116="","",F116+ROW()*0.000000001)</f>
        <v/>
      </c>
      <c r="N116">
        <f>IF(G116="","",G116+ROW()*0.000000001)</f>
        <v/>
      </c>
      <c r="O116">
        <f>IF(H116="","",H116+ROW()*0.000000001)</f>
        <v/>
      </c>
    </row>
    <row r="117">
      <c r="B117" s="4">
        <f>IF($A117="","",IF(COUNTIFS(데이터!$A$2:$A$20000,$A117,데이터!$E$2:$E$20000,1)=0,"",SUMIFS(데이터!$C$2:$C$20000,데이터!$A$2:$A$20000,$A117,데이터!$E$2:$E$20000,1)))</f>
        <v/>
      </c>
      <c r="C117" s="5">
        <f>IFERROR(IF(OR($B117="",COUNTIFS(데이터!$A$2:$A$20000,$A117,데이터!$E$2:$E$20000,설정!$B$2)=0),"",$B117/SUMIFS(데이터!$C$2:$C$20000,데이터!$A$2:$A$20000,$A117,데이터!$E$2:$E$20000,설정!$B$2)-1),"")</f>
        <v/>
      </c>
      <c r="D117" s="5">
        <f>IFERROR(IF(OR($B117="",COUNTIFS(데이터!$A$2:$A$20000,$A117,데이터!$E$2:$E$20000,설정!$B$3)=0),"",$B117/SUMIFS(데이터!$C$2:$C$20000,데이터!$A$2:$A$20000,$A117,데이터!$E$2:$E$20000,설정!$B$3)-1),"")</f>
        <v/>
      </c>
      <c r="E117" s="5">
        <f>IFERROR(IF(OR($B117="",COUNTIFS(데이터!$A$2:$A$20000,$A117,데이터!$E$2:$E$20000,설정!$B$4)=0),"",$B117/SUMIFS(데이터!$C$2:$C$20000,데이터!$A$2:$A$20000,$A117,데이터!$E$2:$E$20000,설정!$B$4)-1),"")</f>
        <v/>
      </c>
      <c r="F117" s="5">
        <f>IFERROR(IF(OR($B117="",COUNTIFS(데이터!$A$2:$A$20000,$A117,데이터!$E$2:$E$20000,설정!$B$5)=0),"",$B117/SUMIFS(데이터!$C$2:$C$20000,데이터!$A$2:$A$20000,$A117,데이터!$E$2:$E$20000,설정!$B$5)-1),"")</f>
        <v/>
      </c>
      <c r="G117" s="5">
        <f>IFERROR(IF(OR($B117="",COUNTIFS(데이터!$A$2:$A$20000,$A117,데이터!$E$2:$E$20000,설정!$B$6)=0),"",$B117/SUMIFS(데이터!$C$2:$C$20000,데이터!$A$2:$A$20000,$A117,데이터!$E$2:$E$20000,설정!$B$6)-1),"")</f>
        <v/>
      </c>
      <c r="H117" s="5">
        <f>IFERROR(IF(OR($B117="",COUNTIFS(데이터!$A$2:$A$20000,$A117,데이터!$E$2:$E$20000,설정!$B$7)=0),"",$B117/SUMIFS(데이터!$C$2:$C$20000,데이터!$A$2:$A$20000,$A117,데이터!$E$2:$E$20000,설정!$B$7)-1),"")</f>
        <v/>
      </c>
      <c r="J117">
        <f>IF(C117="","",C117+ROW()*0.000000001)</f>
        <v/>
      </c>
      <c r="K117">
        <f>IF(D117="","",D117+ROW()*0.000000001)</f>
        <v/>
      </c>
      <c r="L117">
        <f>IF(E117="","",E117+ROW()*0.000000001)</f>
        <v/>
      </c>
      <c r="M117">
        <f>IF(F117="","",F117+ROW()*0.000000001)</f>
        <v/>
      </c>
      <c r="N117">
        <f>IF(G117="","",G117+ROW()*0.000000001)</f>
        <v/>
      </c>
      <c r="O117">
        <f>IF(H117="","",H117+ROW()*0.000000001)</f>
        <v/>
      </c>
    </row>
    <row r="118">
      <c r="B118" s="4">
        <f>IF($A118="","",IF(COUNTIFS(데이터!$A$2:$A$20000,$A118,데이터!$E$2:$E$20000,1)=0,"",SUMIFS(데이터!$C$2:$C$20000,데이터!$A$2:$A$20000,$A118,데이터!$E$2:$E$20000,1)))</f>
        <v/>
      </c>
      <c r="C118" s="5">
        <f>IFERROR(IF(OR($B118="",COUNTIFS(데이터!$A$2:$A$20000,$A118,데이터!$E$2:$E$20000,설정!$B$2)=0),"",$B118/SUMIFS(데이터!$C$2:$C$20000,데이터!$A$2:$A$20000,$A118,데이터!$E$2:$E$20000,설정!$B$2)-1),"")</f>
        <v/>
      </c>
      <c r="D118" s="5">
        <f>IFERROR(IF(OR($B118="",COUNTIFS(데이터!$A$2:$A$20000,$A118,데이터!$E$2:$E$20000,설정!$B$3)=0),"",$B118/SUMIFS(데이터!$C$2:$C$20000,데이터!$A$2:$A$20000,$A118,데이터!$E$2:$E$20000,설정!$B$3)-1),"")</f>
        <v/>
      </c>
      <c r="E118" s="5">
        <f>IFERROR(IF(OR($B118="",COUNTIFS(데이터!$A$2:$A$20000,$A118,데이터!$E$2:$E$20000,설정!$B$4)=0),"",$B118/SUMIFS(데이터!$C$2:$C$20000,데이터!$A$2:$A$20000,$A118,데이터!$E$2:$E$20000,설정!$B$4)-1),"")</f>
        <v/>
      </c>
      <c r="F118" s="5">
        <f>IFERROR(IF(OR($B118="",COUNTIFS(데이터!$A$2:$A$20000,$A118,데이터!$E$2:$E$20000,설정!$B$5)=0),"",$B118/SUMIFS(데이터!$C$2:$C$20000,데이터!$A$2:$A$20000,$A118,데이터!$E$2:$E$20000,설정!$B$5)-1),"")</f>
        <v/>
      </c>
      <c r="G118" s="5">
        <f>IFERROR(IF(OR($B118="",COUNTIFS(데이터!$A$2:$A$20000,$A118,데이터!$E$2:$E$20000,설정!$B$6)=0),"",$B118/SUMIFS(데이터!$C$2:$C$20000,데이터!$A$2:$A$20000,$A118,데이터!$E$2:$E$20000,설정!$B$6)-1),"")</f>
        <v/>
      </c>
      <c r="H118" s="5">
        <f>IFERROR(IF(OR($B118="",COUNTIFS(데이터!$A$2:$A$20000,$A118,데이터!$E$2:$E$20000,설정!$B$7)=0),"",$B118/SUMIFS(데이터!$C$2:$C$20000,데이터!$A$2:$A$20000,$A118,데이터!$E$2:$E$20000,설정!$B$7)-1),"")</f>
        <v/>
      </c>
      <c r="J118">
        <f>IF(C118="","",C118+ROW()*0.000000001)</f>
        <v/>
      </c>
      <c r="K118">
        <f>IF(D118="","",D118+ROW()*0.000000001)</f>
        <v/>
      </c>
      <c r="L118">
        <f>IF(E118="","",E118+ROW()*0.000000001)</f>
        <v/>
      </c>
      <c r="M118">
        <f>IF(F118="","",F118+ROW()*0.000000001)</f>
        <v/>
      </c>
      <c r="N118">
        <f>IF(G118="","",G118+ROW()*0.000000001)</f>
        <v/>
      </c>
      <c r="O118">
        <f>IF(H118="","",H118+ROW()*0.000000001)</f>
        <v/>
      </c>
    </row>
    <row r="119">
      <c r="B119" s="4">
        <f>IF($A119="","",IF(COUNTIFS(데이터!$A$2:$A$20000,$A119,데이터!$E$2:$E$20000,1)=0,"",SUMIFS(데이터!$C$2:$C$20000,데이터!$A$2:$A$20000,$A119,데이터!$E$2:$E$20000,1)))</f>
        <v/>
      </c>
      <c r="C119" s="5">
        <f>IFERROR(IF(OR($B119="",COUNTIFS(데이터!$A$2:$A$20000,$A119,데이터!$E$2:$E$20000,설정!$B$2)=0),"",$B119/SUMIFS(데이터!$C$2:$C$20000,데이터!$A$2:$A$20000,$A119,데이터!$E$2:$E$20000,설정!$B$2)-1),"")</f>
        <v/>
      </c>
      <c r="D119" s="5">
        <f>IFERROR(IF(OR($B119="",COUNTIFS(데이터!$A$2:$A$20000,$A119,데이터!$E$2:$E$20000,설정!$B$3)=0),"",$B119/SUMIFS(데이터!$C$2:$C$20000,데이터!$A$2:$A$20000,$A119,데이터!$E$2:$E$20000,설정!$B$3)-1),"")</f>
        <v/>
      </c>
      <c r="E119" s="5">
        <f>IFERROR(IF(OR($B119="",COUNTIFS(데이터!$A$2:$A$20000,$A119,데이터!$E$2:$E$20000,설정!$B$4)=0),"",$B119/SUMIFS(데이터!$C$2:$C$20000,데이터!$A$2:$A$20000,$A119,데이터!$E$2:$E$20000,설정!$B$4)-1),"")</f>
        <v/>
      </c>
      <c r="F119" s="5">
        <f>IFERROR(IF(OR($B119="",COUNTIFS(데이터!$A$2:$A$20000,$A119,데이터!$E$2:$E$20000,설정!$B$5)=0),"",$B119/SUMIFS(데이터!$C$2:$C$20000,데이터!$A$2:$A$20000,$A119,데이터!$E$2:$E$20000,설정!$B$5)-1),"")</f>
        <v/>
      </c>
      <c r="G119" s="5">
        <f>IFERROR(IF(OR($B119="",COUNTIFS(데이터!$A$2:$A$20000,$A119,데이터!$E$2:$E$20000,설정!$B$6)=0),"",$B119/SUMIFS(데이터!$C$2:$C$20000,데이터!$A$2:$A$20000,$A119,데이터!$E$2:$E$20000,설정!$B$6)-1),"")</f>
        <v/>
      </c>
      <c r="H119" s="5">
        <f>IFERROR(IF(OR($B119="",COUNTIFS(데이터!$A$2:$A$20000,$A119,데이터!$E$2:$E$20000,설정!$B$7)=0),"",$B119/SUMIFS(데이터!$C$2:$C$20000,데이터!$A$2:$A$20000,$A119,데이터!$E$2:$E$20000,설정!$B$7)-1),"")</f>
        <v/>
      </c>
      <c r="J119">
        <f>IF(C119="","",C119+ROW()*0.000000001)</f>
        <v/>
      </c>
      <c r="K119">
        <f>IF(D119="","",D119+ROW()*0.000000001)</f>
        <v/>
      </c>
      <c r="L119">
        <f>IF(E119="","",E119+ROW()*0.000000001)</f>
        <v/>
      </c>
      <c r="M119">
        <f>IF(F119="","",F119+ROW()*0.000000001)</f>
        <v/>
      </c>
      <c r="N119">
        <f>IF(G119="","",G119+ROW()*0.000000001)</f>
        <v/>
      </c>
      <c r="O119">
        <f>IF(H119="","",H119+ROW()*0.000000001)</f>
        <v/>
      </c>
    </row>
    <row r="120">
      <c r="B120" s="4">
        <f>IF($A120="","",IF(COUNTIFS(데이터!$A$2:$A$20000,$A120,데이터!$E$2:$E$20000,1)=0,"",SUMIFS(데이터!$C$2:$C$20000,데이터!$A$2:$A$20000,$A120,데이터!$E$2:$E$20000,1)))</f>
        <v/>
      </c>
      <c r="C120" s="5">
        <f>IFERROR(IF(OR($B120="",COUNTIFS(데이터!$A$2:$A$20000,$A120,데이터!$E$2:$E$20000,설정!$B$2)=0),"",$B120/SUMIFS(데이터!$C$2:$C$20000,데이터!$A$2:$A$20000,$A120,데이터!$E$2:$E$20000,설정!$B$2)-1),"")</f>
        <v/>
      </c>
      <c r="D120" s="5">
        <f>IFERROR(IF(OR($B120="",COUNTIFS(데이터!$A$2:$A$20000,$A120,데이터!$E$2:$E$20000,설정!$B$3)=0),"",$B120/SUMIFS(데이터!$C$2:$C$20000,데이터!$A$2:$A$20000,$A120,데이터!$E$2:$E$20000,설정!$B$3)-1),"")</f>
        <v/>
      </c>
      <c r="E120" s="5">
        <f>IFERROR(IF(OR($B120="",COUNTIFS(데이터!$A$2:$A$20000,$A120,데이터!$E$2:$E$20000,설정!$B$4)=0),"",$B120/SUMIFS(데이터!$C$2:$C$20000,데이터!$A$2:$A$20000,$A120,데이터!$E$2:$E$20000,설정!$B$4)-1),"")</f>
        <v/>
      </c>
      <c r="F120" s="5">
        <f>IFERROR(IF(OR($B120="",COUNTIFS(데이터!$A$2:$A$20000,$A120,데이터!$E$2:$E$20000,설정!$B$5)=0),"",$B120/SUMIFS(데이터!$C$2:$C$20000,데이터!$A$2:$A$20000,$A120,데이터!$E$2:$E$20000,설정!$B$5)-1),"")</f>
        <v/>
      </c>
      <c r="G120" s="5">
        <f>IFERROR(IF(OR($B120="",COUNTIFS(데이터!$A$2:$A$20000,$A120,데이터!$E$2:$E$20000,설정!$B$6)=0),"",$B120/SUMIFS(데이터!$C$2:$C$20000,데이터!$A$2:$A$20000,$A120,데이터!$E$2:$E$20000,설정!$B$6)-1),"")</f>
        <v/>
      </c>
      <c r="H120" s="5">
        <f>IFERROR(IF(OR($B120="",COUNTIFS(데이터!$A$2:$A$20000,$A120,데이터!$E$2:$E$20000,설정!$B$7)=0),"",$B120/SUMIFS(데이터!$C$2:$C$20000,데이터!$A$2:$A$20000,$A120,데이터!$E$2:$E$20000,설정!$B$7)-1),"")</f>
        <v/>
      </c>
      <c r="J120">
        <f>IF(C120="","",C120+ROW()*0.000000001)</f>
        <v/>
      </c>
      <c r="K120">
        <f>IF(D120="","",D120+ROW()*0.000000001)</f>
        <v/>
      </c>
      <c r="L120">
        <f>IF(E120="","",E120+ROW()*0.000000001)</f>
        <v/>
      </c>
      <c r="M120">
        <f>IF(F120="","",F120+ROW()*0.000000001)</f>
        <v/>
      </c>
      <c r="N120">
        <f>IF(G120="","",G120+ROW()*0.000000001)</f>
        <v/>
      </c>
      <c r="O120">
        <f>IF(H120="","",H120+ROW()*0.000000001)</f>
        <v/>
      </c>
    </row>
    <row r="121">
      <c r="B121" s="4">
        <f>IF($A121="","",IF(COUNTIFS(데이터!$A$2:$A$20000,$A121,데이터!$E$2:$E$20000,1)=0,"",SUMIFS(데이터!$C$2:$C$20000,데이터!$A$2:$A$20000,$A121,데이터!$E$2:$E$20000,1)))</f>
        <v/>
      </c>
      <c r="C121" s="5">
        <f>IFERROR(IF(OR($B121="",COUNTIFS(데이터!$A$2:$A$20000,$A121,데이터!$E$2:$E$20000,설정!$B$2)=0),"",$B121/SUMIFS(데이터!$C$2:$C$20000,데이터!$A$2:$A$20000,$A121,데이터!$E$2:$E$20000,설정!$B$2)-1),"")</f>
        <v/>
      </c>
      <c r="D121" s="5">
        <f>IFERROR(IF(OR($B121="",COUNTIFS(데이터!$A$2:$A$20000,$A121,데이터!$E$2:$E$20000,설정!$B$3)=0),"",$B121/SUMIFS(데이터!$C$2:$C$20000,데이터!$A$2:$A$20000,$A121,데이터!$E$2:$E$20000,설정!$B$3)-1),"")</f>
        <v/>
      </c>
      <c r="E121" s="5">
        <f>IFERROR(IF(OR($B121="",COUNTIFS(데이터!$A$2:$A$20000,$A121,데이터!$E$2:$E$20000,설정!$B$4)=0),"",$B121/SUMIFS(데이터!$C$2:$C$20000,데이터!$A$2:$A$20000,$A121,데이터!$E$2:$E$20000,설정!$B$4)-1),"")</f>
        <v/>
      </c>
      <c r="F121" s="5">
        <f>IFERROR(IF(OR($B121="",COUNTIFS(데이터!$A$2:$A$20000,$A121,데이터!$E$2:$E$20000,설정!$B$5)=0),"",$B121/SUMIFS(데이터!$C$2:$C$20000,데이터!$A$2:$A$20000,$A121,데이터!$E$2:$E$20000,설정!$B$5)-1),"")</f>
        <v/>
      </c>
      <c r="G121" s="5">
        <f>IFERROR(IF(OR($B121="",COUNTIFS(데이터!$A$2:$A$20000,$A121,데이터!$E$2:$E$20000,설정!$B$6)=0),"",$B121/SUMIFS(데이터!$C$2:$C$20000,데이터!$A$2:$A$20000,$A121,데이터!$E$2:$E$20000,설정!$B$6)-1),"")</f>
        <v/>
      </c>
      <c r="H121" s="5">
        <f>IFERROR(IF(OR($B121="",COUNTIFS(데이터!$A$2:$A$20000,$A121,데이터!$E$2:$E$20000,설정!$B$7)=0),"",$B121/SUMIFS(데이터!$C$2:$C$20000,데이터!$A$2:$A$20000,$A121,데이터!$E$2:$E$20000,설정!$B$7)-1),"")</f>
        <v/>
      </c>
      <c r="J121">
        <f>IF(C121="","",C121+ROW()*0.000000001)</f>
        <v/>
      </c>
      <c r="K121">
        <f>IF(D121="","",D121+ROW()*0.000000001)</f>
        <v/>
      </c>
      <c r="L121">
        <f>IF(E121="","",E121+ROW()*0.000000001)</f>
        <v/>
      </c>
      <c r="M121">
        <f>IF(F121="","",F121+ROW()*0.000000001)</f>
        <v/>
      </c>
      <c r="N121">
        <f>IF(G121="","",G121+ROW()*0.000000001)</f>
        <v/>
      </c>
      <c r="O121">
        <f>IF(H121="","",H121+ROW()*0.000000001)</f>
        <v/>
      </c>
    </row>
    <row r="122">
      <c r="B122" s="4">
        <f>IF($A122="","",IF(COUNTIFS(데이터!$A$2:$A$20000,$A122,데이터!$E$2:$E$20000,1)=0,"",SUMIFS(데이터!$C$2:$C$20000,데이터!$A$2:$A$20000,$A122,데이터!$E$2:$E$20000,1)))</f>
        <v/>
      </c>
      <c r="C122" s="5">
        <f>IFERROR(IF(OR($B122="",COUNTIFS(데이터!$A$2:$A$20000,$A122,데이터!$E$2:$E$20000,설정!$B$2)=0),"",$B122/SUMIFS(데이터!$C$2:$C$20000,데이터!$A$2:$A$20000,$A122,데이터!$E$2:$E$20000,설정!$B$2)-1),"")</f>
        <v/>
      </c>
      <c r="D122" s="5">
        <f>IFERROR(IF(OR($B122="",COUNTIFS(데이터!$A$2:$A$20000,$A122,데이터!$E$2:$E$20000,설정!$B$3)=0),"",$B122/SUMIFS(데이터!$C$2:$C$20000,데이터!$A$2:$A$20000,$A122,데이터!$E$2:$E$20000,설정!$B$3)-1),"")</f>
        <v/>
      </c>
      <c r="E122" s="5">
        <f>IFERROR(IF(OR($B122="",COUNTIFS(데이터!$A$2:$A$20000,$A122,데이터!$E$2:$E$20000,설정!$B$4)=0),"",$B122/SUMIFS(데이터!$C$2:$C$20000,데이터!$A$2:$A$20000,$A122,데이터!$E$2:$E$20000,설정!$B$4)-1),"")</f>
        <v/>
      </c>
      <c r="F122" s="5">
        <f>IFERROR(IF(OR($B122="",COUNTIFS(데이터!$A$2:$A$20000,$A122,데이터!$E$2:$E$20000,설정!$B$5)=0),"",$B122/SUMIFS(데이터!$C$2:$C$20000,데이터!$A$2:$A$20000,$A122,데이터!$E$2:$E$20000,설정!$B$5)-1),"")</f>
        <v/>
      </c>
      <c r="G122" s="5">
        <f>IFERROR(IF(OR($B122="",COUNTIFS(데이터!$A$2:$A$20000,$A122,데이터!$E$2:$E$20000,설정!$B$6)=0),"",$B122/SUMIFS(데이터!$C$2:$C$20000,데이터!$A$2:$A$20000,$A122,데이터!$E$2:$E$20000,설정!$B$6)-1),"")</f>
        <v/>
      </c>
      <c r="H122" s="5">
        <f>IFERROR(IF(OR($B122="",COUNTIFS(데이터!$A$2:$A$20000,$A122,데이터!$E$2:$E$20000,설정!$B$7)=0),"",$B122/SUMIFS(데이터!$C$2:$C$20000,데이터!$A$2:$A$20000,$A122,데이터!$E$2:$E$20000,설정!$B$7)-1),"")</f>
        <v/>
      </c>
      <c r="J122">
        <f>IF(C122="","",C122+ROW()*0.000000001)</f>
        <v/>
      </c>
      <c r="K122">
        <f>IF(D122="","",D122+ROW()*0.000000001)</f>
        <v/>
      </c>
      <c r="L122">
        <f>IF(E122="","",E122+ROW()*0.000000001)</f>
        <v/>
      </c>
      <c r="M122">
        <f>IF(F122="","",F122+ROW()*0.000000001)</f>
        <v/>
      </c>
      <c r="N122">
        <f>IF(G122="","",G122+ROW()*0.000000001)</f>
        <v/>
      </c>
      <c r="O122">
        <f>IF(H122="","",H122+ROW()*0.000000001)</f>
        <v/>
      </c>
    </row>
    <row r="123">
      <c r="B123" s="4">
        <f>IF($A123="","",IF(COUNTIFS(데이터!$A$2:$A$20000,$A123,데이터!$E$2:$E$20000,1)=0,"",SUMIFS(데이터!$C$2:$C$20000,데이터!$A$2:$A$20000,$A123,데이터!$E$2:$E$20000,1)))</f>
        <v/>
      </c>
      <c r="C123" s="5">
        <f>IFERROR(IF(OR($B123="",COUNTIFS(데이터!$A$2:$A$20000,$A123,데이터!$E$2:$E$20000,설정!$B$2)=0),"",$B123/SUMIFS(데이터!$C$2:$C$20000,데이터!$A$2:$A$20000,$A123,데이터!$E$2:$E$20000,설정!$B$2)-1),"")</f>
        <v/>
      </c>
      <c r="D123" s="5">
        <f>IFERROR(IF(OR($B123="",COUNTIFS(데이터!$A$2:$A$20000,$A123,데이터!$E$2:$E$20000,설정!$B$3)=0),"",$B123/SUMIFS(데이터!$C$2:$C$20000,데이터!$A$2:$A$20000,$A123,데이터!$E$2:$E$20000,설정!$B$3)-1),"")</f>
        <v/>
      </c>
      <c r="E123" s="5">
        <f>IFERROR(IF(OR($B123="",COUNTIFS(데이터!$A$2:$A$20000,$A123,데이터!$E$2:$E$20000,설정!$B$4)=0),"",$B123/SUMIFS(데이터!$C$2:$C$20000,데이터!$A$2:$A$20000,$A123,데이터!$E$2:$E$20000,설정!$B$4)-1),"")</f>
        <v/>
      </c>
      <c r="F123" s="5">
        <f>IFERROR(IF(OR($B123="",COUNTIFS(데이터!$A$2:$A$20000,$A123,데이터!$E$2:$E$20000,설정!$B$5)=0),"",$B123/SUMIFS(데이터!$C$2:$C$20000,데이터!$A$2:$A$20000,$A123,데이터!$E$2:$E$20000,설정!$B$5)-1),"")</f>
        <v/>
      </c>
      <c r="G123" s="5">
        <f>IFERROR(IF(OR($B123="",COUNTIFS(데이터!$A$2:$A$20000,$A123,데이터!$E$2:$E$20000,설정!$B$6)=0),"",$B123/SUMIFS(데이터!$C$2:$C$20000,데이터!$A$2:$A$20000,$A123,데이터!$E$2:$E$20000,설정!$B$6)-1),"")</f>
        <v/>
      </c>
      <c r="H123" s="5">
        <f>IFERROR(IF(OR($B123="",COUNTIFS(데이터!$A$2:$A$20000,$A123,데이터!$E$2:$E$20000,설정!$B$7)=0),"",$B123/SUMIFS(데이터!$C$2:$C$20000,데이터!$A$2:$A$20000,$A123,데이터!$E$2:$E$20000,설정!$B$7)-1),"")</f>
        <v/>
      </c>
      <c r="J123">
        <f>IF(C123="","",C123+ROW()*0.000000001)</f>
        <v/>
      </c>
      <c r="K123">
        <f>IF(D123="","",D123+ROW()*0.000000001)</f>
        <v/>
      </c>
      <c r="L123">
        <f>IF(E123="","",E123+ROW()*0.000000001)</f>
        <v/>
      </c>
      <c r="M123">
        <f>IF(F123="","",F123+ROW()*0.000000001)</f>
        <v/>
      </c>
      <c r="N123">
        <f>IF(G123="","",G123+ROW()*0.000000001)</f>
        <v/>
      </c>
      <c r="O123">
        <f>IF(H123="","",H123+ROW()*0.000000001)</f>
        <v/>
      </c>
    </row>
    <row r="124">
      <c r="B124" s="4">
        <f>IF($A124="","",IF(COUNTIFS(데이터!$A$2:$A$20000,$A124,데이터!$E$2:$E$20000,1)=0,"",SUMIFS(데이터!$C$2:$C$20000,데이터!$A$2:$A$20000,$A124,데이터!$E$2:$E$20000,1)))</f>
        <v/>
      </c>
      <c r="C124" s="5">
        <f>IFERROR(IF(OR($B124="",COUNTIFS(데이터!$A$2:$A$20000,$A124,데이터!$E$2:$E$20000,설정!$B$2)=0),"",$B124/SUMIFS(데이터!$C$2:$C$20000,데이터!$A$2:$A$20000,$A124,데이터!$E$2:$E$20000,설정!$B$2)-1),"")</f>
        <v/>
      </c>
      <c r="D124" s="5">
        <f>IFERROR(IF(OR($B124="",COUNTIFS(데이터!$A$2:$A$20000,$A124,데이터!$E$2:$E$20000,설정!$B$3)=0),"",$B124/SUMIFS(데이터!$C$2:$C$20000,데이터!$A$2:$A$20000,$A124,데이터!$E$2:$E$20000,설정!$B$3)-1),"")</f>
        <v/>
      </c>
      <c r="E124" s="5">
        <f>IFERROR(IF(OR($B124="",COUNTIFS(데이터!$A$2:$A$20000,$A124,데이터!$E$2:$E$20000,설정!$B$4)=0),"",$B124/SUMIFS(데이터!$C$2:$C$20000,데이터!$A$2:$A$20000,$A124,데이터!$E$2:$E$20000,설정!$B$4)-1),"")</f>
        <v/>
      </c>
      <c r="F124" s="5">
        <f>IFERROR(IF(OR($B124="",COUNTIFS(데이터!$A$2:$A$20000,$A124,데이터!$E$2:$E$20000,설정!$B$5)=0),"",$B124/SUMIFS(데이터!$C$2:$C$20000,데이터!$A$2:$A$20000,$A124,데이터!$E$2:$E$20000,설정!$B$5)-1),"")</f>
        <v/>
      </c>
      <c r="G124" s="5">
        <f>IFERROR(IF(OR($B124="",COUNTIFS(데이터!$A$2:$A$20000,$A124,데이터!$E$2:$E$20000,설정!$B$6)=0),"",$B124/SUMIFS(데이터!$C$2:$C$20000,데이터!$A$2:$A$20000,$A124,데이터!$E$2:$E$20000,설정!$B$6)-1),"")</f>
        <v/>
      </c>
      <c r="H124" s="5">
        <f>IFERROR(IF(OR($B124="",COUNTIFS(데이터!$A$2:$A$20000,$A124,데이터!$E$2:$E$20000,설정!$B$7)=0),"",$B124/SUMIFS(데이터!$C$2:$C$20000,데이터!$A$2:$A$20000,$A124,데이터!$E$2:$E$20000,설정!$B$7)-1),"")</f>
        <v/>
      </c>
      <c r="J124">
        <f>IF(C124="","",C124+ROW()*0.000000001)</f>
        <v/>
      </c>
      <c r="K124">
        <f>IF(D124="","",D124+ROW()*0.000000001)</f>
        <v/>
      </c>
      <c r="L124">
        <f>IF(E124="","",E124+ROW()*0.000000001)</f>
        <v/>
      </c>
      <c r="M124">
        <f>IF(F124="","",F124+ROW()*0.000000001)</f>
        <v/>
      </c>
      <c r="N124">
        <f>IF(G124="","",G124+ROW()*0.000000001)</f>
        <v/>
      </c>
      <c r="O124">
        <f>IF(H124="","",H124+ROW()*0.000000001)</f>
        <v/>
      </c>
    </row>
    <row r="125">
      <c r="B125" s="4">
        <f>IF($A125="","",IF(COUNTIFS(데이터!$A$2:$A$20000,$A125,데이터!$E$2:$E$20000,1)=0,"",SUMIFS(데이터!$C$2:$C$20000,데이터!$A$2:$A$20000,$A125,데이터!$E$2:$E$20000,1)))</f>
        <v/>
      </c>
      <c r="C125" s="5">
        <f>IFERROR(IF(OR($B125="",COUNTIFS(데이터!$A$2:$A$20000,$A125,데이터!$E$2:$E$20000,설정!$B$2)=0),"",$B125/SUMIFS(데이터!$C$2:$C$20000,데이터!$A$2:$A$20000,$A125,데이터!$E$2:$E$20000,설정!$B$2)-1),"")</f>
        <v/>
      </c>
      <c r="D125" s="5">
        <f>IFERROR(IF(OR($B125="",COUNTIFS(데이터!$A$2:$A$20000,$A125,데이터!$E$2:$E$20000,설정!$B$3)=0),"",$B125/SUMIFS(데이터!$C$2:$C$20000,데이터!$A$2:$A$20000,$A125,데이터!$E$2:$E$20000,설정!$B$3)-1),"")</f>
        <v/>
      </c>
      <c r="E125" s="5">
        <f>IFERROR(IF(OR($B125="",COUNTIFS(데이터!$A$2:$A$20000,$A125,데이터!$E$2:$E$20000,설정!$B$4)=0),"",$B125/SUMIFS(데이터!$C$2:$C$20000,데이터!$A$2:$A$20000,$A125,데이터!$E$2:$E$20000,설정!$B$4)-1),"")</f>
        <v/>
      </c>
      <c r="F125" s="5">
        <f>IFERROR(IF(OR($B125="",COUNTIFS(데이터!$A$2:$A$20000,$A125,데이터!$E$2:$E$20000,설정!$B$5)=0),"",$B125/SUMIFS(데이터!$C$2:$C$20000,데이터!$A$2:$A$20000,$A125,데이터!$E$2:$E$20000,설정!$B$5)-1),"")</f>
        <v/>
      </c>
      <c r="G125" s="5">
        <f>IFERROR(IF(OR($B125="",COUNTIFS(데이터!$A$2:$A$20000,$A125,데이터!$E$2:$E$20000,설정!$B$6)=0),"",$B125/SUMIFS(데이터!$C$2:$C$20000,데이터!$A$2:$A$20000,$A125,데이터!$E$2:$E$20000,설정!$B$6)-1),"")</f>
        <v/>
      </c>
      <c r="H125" s="5">
        <f>IFERROR(IF(OR($B125="",COUNTIFS(데이터!$A$2:$A$20000,$A125,데이터!$E$2:$E$20000,설정!$B$7)=0),"",$B125/SUMIFS(데이터!$C$2:$C$20000,데이터!$A$2:$A$20000,$A125,데이터!$E$2:$E$20000,설정!$B$7)-1),"")</f>
        <v/>
      </c>
      <c r="J125">
        <f>IF(C125="","",C125+ROW()*0.000000001)</f>
        <v/>
      </c>
      <c r="K125">
        <f>IF(D125="","",D125+ROW()*0.000000001)</f>
        <v/>
      </c>
      <c r="L125">
        <f>IF(E125="","",E125+ROW()*0.000000001)</f>
        <v/>
      </c>
      <c r="M125">
        <f>IF(F125="","",F125+ROW()*0.000000001)</f>
        <v/>
      </c>
      <c r="N125">
        <f>IF(G125="","",G125+ROW()*0.000000001)</f>
        <v/>
      </c>
      <c r="O125">
        <f>IF(H125="","",H125+ROW()*0.000000001)</f>
        <v/>
      </c>
    </row>
    <row r="126">
      <c r="B126" s="4">
        <f>IF($A126="","",IF(COUNTIFS(데이터!$A$2:$A$20000,$A126,데이터!$E$2:$E$20000,1)=0,"",SUMIFS(데이터!$C$2:$C$20000,데이터!$A$2:$A$20000,$A126,데이터!$E$2:$E$20000,1)))</f>
        <v/>
      </c>
      <c r="C126" s="5">
        <f>IFERROR(IF(OR($B126="",COUNTIFS(데이터!$A$2:$A$20000,$A126,데이터!$E$2:$E$20000,설정!$B$2)=0),"",$B126/SUMIFS(데이터!$C$2:$C$20000,데이터!$A$2:$A$20000,$A126,데이터!$E$2:$E$20000,설정!$B$2)-1),"")</f>
        <v/>
      </c>
      <c r="D126" s="5">
        <f>IFERROR(IF(OR($B126="",COUNTIFS(데이터!$A$2:$A$20000,$A126,데이터!$E$2:$E$20000,설정!$B$3)=0),"",$B126/SUMIFS(데이터!$C$2:$C$20000,데이터!$A$2:$A$20000,$A126,데이터!$E$2:$E$20000,설정!$B$3)-1),"")</f>
        <v/>
      </c>
      <c r="E126" s="5">
        <f>IFERROR(IF(OR($B126="",COUNTIFS(데이터!$A$2:$A$20000,$A126,데이터!$E$2:$E$20000,설정!$B$4)=0),"",$B126/SUMIFS(데이터!$C$2:$C$20000,데이터!$A$2:$A$20000,$A126,데이터!$E$2:$E$20000,설정!$B$4)-1),"")</f>
        <v/>
      </c>
      <c r="F126" s="5">
        <f>IFERROR(IF(OR($B126="",COUNTIFS(데이터!$A$2:$A$20000,$A126,데이터!$E$2:$E$20000,설정!$B$5)=0),"",$B126/SUMIFS(데이터!$C$2:$C$20000,데이터!$A$2:$A$20000,$A126,데이터!$E$2:$E$20000,설정!$B$5)-1),"")</f>
        <v/>
      </c>
      <c r="G126" s="5">
        <f>IFERROR(IF(OR($B126="",COUNTIFS(데이터!$A$2:$A$20000,$A126,데이터!$E$2:$E$20000,설정!$B$6)=0),"",$B126/SUMIFS(데이터!$C$2:$C$20000,데이터!$A$2:$A$20000,$A126,데이터!$E$2:$E$20000,설정!$B$6)-1),"")</f>
        <v/>
      </c>
      <c r="H126" s="5">
        <f>IFERROR(IF(OR($B126="",COUNTIFS(데이터!$A$2:$A$20000,$A126,데이터!$E$2:$E$20000,설정!$B$7)=0),"",$B126/SUMIFS(데이터!$C$2:$C$20000,데이터!$A$2:$A$20000,$A126,데이터!$E$2:$E$20000,설정!$B$7)-1),"")</f>
        <v/>
      </c>
      <c r="J126">
        <f>IF(C126="","",C126+ROW()*0.000000001)</f>
        <v/>
      </c>
      <c r="K126">
        <f>IF(D126="","",D126+ROW()*0.000000001)</f>
        <v/>
      </c>
      <c r="L126">
        <f>IF(E126="","",E126+ROW()*0.000000001)</f>
        <v/>
      </c>
      <c r="M126">
        <f>IF(F126="","",F126+ROW()*0.000000001)</f>
        <v/>
      </c>
      <c r="N126">
        <f>IF(G126="","",G126+ROW()*0.000000001)</f>
        <v/>
      </c>
      <c r="O126">
        <f>IF(H126="","",H126+ROW()*0.000000001)</f>
        <v/>
      </c>
    </row>
    <row r="127">
      <c r="B127" s="4">
        <f>IF($A127="","",IF(COUNTIFS(데이터!$A$2:$A$20000,$A127,데이터!$E$2:$E$20000,1)=0,"",SUMIFS(데이터!$C$2:$C$20000,데이터!$A$2:$A$20000,$A127,데이터!$E$2:$E$20000,1)))</f>
        <v/>
      </c>
      <c r="C127" s="5">
        <f>IFERROR(IF(OR($B127="",COUNTIFS(데이터!$A$2:$A$20000,$A127,데이터!$E$2:$E$20000,설정!$B$2)=0),"",$B127/SUMIFS(데이터!$C$2:$C$20000,데이터!$A$2:$A$20000,$A127,데이터!$E$2:$E$20000,설정!$B$2)-1),"")</f>
        <v/>
      </c>
      <c r="D127" s="5">
        <f>IFERROR(IF(OR($B127="",COUNTIFS(데이터!$A$2:$A$20000,$A127,데이터!$E$2:$E$20000,설정!$B$3)=0),"",$B127/SUMIFS(데이터!$C$2:$C$20000,데이터!$A$2:$A$20000,$A127,데이터!$E$2:$E$20000,설정!$B$3)-1),"")</f>
        <v/>
      </c>
      <c r="E127" s="5">
        <f>IFERROR(IF(OR($B127="",COUNTIFS(데이터!$A$2:$A$20000,$A127,데이터!$E$2:$E$20000,설정!$B$4)=0),"",$B127/SUMIFS(데이터!$C$2:$C$20000,데이터!$A$2:$A$20000,$A127,데이터!$E$2:$E$20000,설정!$B$4)-1),"")</f>
        <v/>
      </c>
      <c r="F127" s="5">
        <f>IFERROR(IF(OR($B127="",COUNTIFS(데이터!$A$2:$A$20000,$A127,데이터!$E$2:$E$20000,설정!$B$5)=0),"",$B127/SUMIFS(데이터!$C$2:$C$20000,데이터!$A$2:$A$20000,$A127,데이터!$E$2:$E$20000,설정!$B$5)-1),"")</f>
        <v/>
      </c>
      <c r="G127" s="5">
        <f>IFERROR(IF(OR($B127="",COUNTIFS(데이터!$A$2:$A$20000,$A127,데이터!$E$2:$E$20000,설정!$B$6)=0),"",$B127/SUMIFS(데이터!$C$2:$C$20000,데이터!$A$2:$A$20000,$A127,데이터!$E$2:$E$20000,설정!$B$6)-1),"")</f>
        <v/>
      </c>
      <c r="H127" s="5">
        <f>IFERROR(IF(OR($B127="",COUNTIFS(데이터!$A$2:$A$20000,$A127,데이터!$E$2:$E$20000,설정!$B$7)=0),"",$B127/SUMIFS(데이터!$C$2:$C$20000,데이터!$A$2:$A$20000,$A127,데이터!$E$2:$E$20000,설정!$B$7)-1),"")</f>
        <v/>
      </c>
      <c r="J127">
        <f>IF(C127="","",C127+ROW()*0.000000001)</f>
        <v/>
      </c>
      <c r="K127">
        <f>IF(D127="","",D127+ROW()*0.000000001)</f>
        <v/>
      </c>
      <c r="L127">
        <f>IF(E127="","",E127+ROW()*0.000000001)</f>
        <v/>
      </c>
      <c r="M127">
        <f>IF(F127="","",F127+ROW()*0.000000001)</f>
        <v/>
      </c>
      <c r="N127">
        <f>IF(G127="","",G127+ROW()*0.000000001)</f>
        <v/>
      </c>
      <c r="O127">
        <f>IF(H127="","",H127+ROW()*0.000000001)</f>
        <v/>
      </c>
    </row>
    <row r="128">
      <c r="B128" s="4">
        <f>IF($A128="","",IF(COUNTIFS(데이터!$A$2:$A$20000,$A128,데이터!$E$2:$E$20000,1)=0,"",SUMIFS(데이터!$C$2:$C$20000,데이터!$A$2:$A$20000,$A128,데이터!$E$2:$E$20000,1)))</f>
        <v/>
      </c>
      <c r="C128" s="5">
        <f>IFERROR(IF(OR($B128="",COUNTIFS(데이터!$A$2:$A$20000,$A128,데이터!$E$2:$E$20000,설정!$B$2)=0),"",$B128/SUMIFS(데이터!$C$2:$C$20000,데이터!$A$2:$A$20000,$A128,데이터!$E$2:$E$20000,설정!$B$2)-1),"")</f>
        <v/>
      </c>
      <c r="D128" s="5">
        <f>IFERROR(IF(OR($B128="",COUNTIFS(데이터!$A$2:$A$20000,$A128,데이터!$E$2:$E$20000,설정!$B$3)=0),"",$B128/SUMIFS(데이터!$C$2:$C$20000,데이터!$A$2:$A$20000,$A128,데이터!$E$2:$E$20000,설정!$B$3)-1),"")</f>
        <v/>
      </c>
      <c r="E128" s="5">
        <f>IFERROR(IF(OR($B128="",COUNTIFS(데이터!$A$2:$A$20000,$A128,데이터!$E$2:$E$20000,설정!$B$4)=0),"",$B128/SUMIFS(데이터!$C$2:$C$20000,데이터!$A$2:$A$20000,$A128,데이터!$E$2:$E$20000,설정!$B$4)-1),"")</f>
        <v/>
      </c>
      <c r="F128" s="5">
        <f>IFERROR(IF(OR($B128="",COUNTIFS(데이터!$A$2:$A$20000,$A128,데이터!$E$2:$E$20000,설정!$B$5)=0),"",$B128/SUMIFS(데이터!$C$2:$C$20000,데이터!$A$2:$A$20000,$A128,데이터!$E$2:$E$20000,설정!$B$5)-1),"")</f>
        <v/>
      </c>
      <c r="G128" s="5">
        <f>IFERROR(IF(OR($B128="",COUNTIFS(데이터!$A$2:$A$20000,$A128,데이터!$E$2:$E$20000,설정!$B$6)=0),"",$B128/SUMIFS(데이터!$C$2:$C$20000,데이터!$A$2:$A$20000,$A128,데이터!$E$2:$E$20000,설정!$B$6)-1),"")</f>
        <v/>
      </c>
      <c r="H128" s="5">
        <f>IFERROR(IF(OR($B128="",COUNTIFS(데이터!$A$2:$A$20000,$A128,데이터!$E$2:$E$20000,설정!$B$7)=0),"",$B128/SUMIFS(데이터!$C$2:$C$20000,데이터!$A$2:$A$20000,$A128,데이터!$E$2:$E$20000,설정!$B$7)-1),"")</f>
        <v/>
      </c>
      <c r="J128">
        <f>IF(C128="","",C128+ROW()*0.000000001)</f>
        <v/>
      </c>
      <c r="K128">
        <f>IF(D128="","",D128+ROW()*0.000000001)</f>
        <v/>
      </c>
      <c r="L128">
        <f>IF(E128="","",E128+ROW()*0.000000001)</f>
        <v/>
      </c>
      <c r="M128">
        <f>IF(F128="","",F128+ROW()*0.000000001)</f>
        <v/>
      </c>
      <c r="N128">
        <f>IF(G128="","",G128+ROW()*0.000000001)</f>
        <v/>
      </c>
      <c r="O128">
        <f>IF(H128="","",H128+ROW()*0.000000001)</f>
        <v/>
      </c>
    </row>
    <row r="129">
      <c r="B129" s="4">
        <f>IF($A129="","",IF(COUNTIFS(데이터!$A$2:$A$20000,$A129,데이터!$E$2:$E$20000,1)=0,"",SUMIFS(데이터!$C$2:$C$20000,데이터!$A$2:$A$20000,$A129,데이터!$E$2:$E$20000,1)))</f>
        <v/>
      </c>
      <c r="C129" s="5">
        <f>IFERROR(IF(OR($B129="",COUNTIFS(데이터!$A$2:$A$20000,$A129,데이터!$E$2:$E$20000,설정!$B$2)=0),"",$B129/SUMIFS(데이터!$C$2:$C$20000,데이터!$A$2:$A$20000,$A129,데이터!$E$2:$E$20000,설정!$B$2)-1),"")</f>
        <v/>
      </c>
      <c r="D129" s="5">
        <f>IFERROR(IF(OR($B129="",COUNTIFS(데이터!$A$2:$A$20000,$A129,데이터!$E$2:$E$20000,설정!$B$3)=0),"",$B129/SUMIFS(데이터!$C$2:$C$20000,데이터!$A$2:$A$20000,$A129,데이터!$E$2:$E$20000,설정!$B$3)-1),"")</f>
        <v/>
      </c>
      <c r="E129" s="5">
        <f>IFERROR(IF(OR($B129="",COUNTIFS(데이터!$A$2:$A$20000,$A129,데이터!$E$2:$E$20000,설정!$B$4)=0),"",$B129/SUMIFS(데이터!$C$2:$C$20000,데이터!$A$2:$A$20000,$A129,데이터!$E$2:$E$20000,설정!$B$4)-1),"")</f>
        <v/>
      </c>
      <c r="F129" s="5">
        <f>IFERROR(IF(OR($B129="",COUNTIFS(데이터!$A$2:$A$20000,$A129,데이터!$E$2:$E$20000,설정!$B$5)=0),"",$B129/SUMIFS(데이터!$C$2:$C$20000,데이터!$A$2:$A$20000,$A129,데이터!$E$2:$E$20000,설정!$B$5)-1),"")</f>
        <v/>
      </c>
      <c r="G129" s="5">
        <f>IFERROR(IF(OR($B129="",COUNTIFS(데이터!$A$2:$A$20000,$A129,데이터!$E$2:$E$20000,설정!$B$6)=0),"",$B129/SUMIFS(데이터!$C$2:$C$20000,데이터!$A$2:$A$20000,$A129,데이터!$E$2:$E$20000,설정!$B$6)-1),"")</f>
        <v/>
      </c>
      <c r="H129" s="5">
        <f>IFERROR(IF(OR($B129="",COUNTIFS(데이터!$A$2:$A$20000,$A129,데이터!$E$2:$E$20000,설정!$B$7)=0),"",$B129/SUMIFS(데이터!$C$2:$C$20000,데이터!$A$2:$A$20000,$A129,데이터!$E$2:$E$20000,설정!$B$7)-1),"")</f>
        <v/>
      </c>
      <c r="J129">
        <f>IF(C129="","",C129+ROW()*0.000000001)</f>
        <v/>
      </c>
      <c r="K129">
        <f>IF(D129="","",D129+ROW()*0.000000001)</f>
        <v/>
      </c>
      <c r="L129">
        <f>IF(E129="","",E129+ROW()*0.000000001)</f>
        <v/>
      </c>
      <c r="M129">
        <f>IF(F129="","",F129+ROW()*0.000000001)</f>
        <v/>
      </c>
      <c r="N129">
        <f>IF(G129="","",G129+ROW()*0.000000001)</f>
        <v/>
      </c>
      <c r="O129">
        <f>IF(H129="","",H129+ROW()*0.000000001)</f>
        <v/>
      </c>
    </row>
    <row r="130">
      <c r="B130" s="4">
        <f>IF($A130="","",IF(COUNTIFS(데이터!$A$2:$A$20000,$A130,데이터!$E$2:$E$20000,1)=0,"",SUMIFS(데이터!$C$2:$C$20000,데이터!$A$2:$A$20000,$A130,데이터!$E$2:$E$20000,1)))</f>
        <v/>
      </c>
      <c r="C130" s="5">
        <f>IFERROR(IF(OR($B130="",COUNTIFS(데이터!$A$2:$A$20000,$A130,데이터!$E$2:$E$20000,설정!$B$2)=0),"",$B130/SUMIFS(데이터!$C$2:$C$20000,데이터!$A$2:$A$20000,$A130,데이터!$E$2:$E$20000,설정!$B$2)-1),"")</f>
        <v/>
      </c>
      <c r="D130" s="5">
        <f>IFERROR(IF(OR($B130="",COUNTIFS(데이터!$A$2:$A$20000,$A130,데이터!$E$2:$E$20000,설정!$B$3)=0),"",$B130/SUMIFS(데이터!$C$2:$C$20000,데이터!$A$2:$A$20000,$A130,데이터!$E$2:$E$20000,설정!$B$3)-1),"")</f>
        <v/>
      </c>
      <c r="E130" s="5">
        <f>IFERROR(IF(OR($B130="",COUNTIFS(데이터!$A$2:$A$20000,$A130,데이터!$E$2:$E$20000,설정!$B$4)=0),"",$B130/SUMIFS(데이터!$C$2:$C$20000,데이터!$A$2:$A$20000,$A130,데이터!$E$2:$E$20000,설정!$B$4)-1),"")</f>
        <v/>
      </c>
      <c r="F130" s="5">
        <f>IFERROR(IF(OR($B130="",COUNTIFS(데이터!$A$2:$A$20000,$A130,데이터!$E$2:$E$20000,설정!$B$5)=0),"",$B130/SUMIFS(데이터!$C$2:$C$20000,데이터!$A$2:$A$20000,$A130,데이터!$E$2:$E$20000,설정!$B$5)-1),"")</f>
        <v/>
      </c>
      <c r="G130" s="5">
        <f>IFERROR(IF(OR($B130="",COUNTIFS(데이터!$A$2:$A$20000,$A130,데이터!$E$2:$E$20000,설정!$B$6)=0),"",$B130/SUMIFS(데이터!$C$2:$C$20000,데이터!$A$2:$A$20000,$A130,데이터!$E$2:$E$20000,설정!$B$6)-1),"")</f>
        <v/>
      </c>
      <c r="H130" s="5">
        <f>IFERROR(IF(OR($B130="",COUNTIFS(데이터!$A$2:$A$20000,$A130,데이터!$E$2:$E$20000,설정!$B$7)=0),"",$B130/SUMIFS(데이터!$C$2:$C$20000,데이터!$A$2:$A$20000,$A130,데이터!$E$2:$E$20000,설정!$B$7)-1),"")</f>
        <v/>
      </c>
      <c r="J130">
        <f>IF(C130="","",C130+ROW()*0.000000001)</f>
        <v/>
      </c>
      <c r="K130">
        <f>IF(D130="","",D130+ROW()*0.000000001)</f>
        <v/>
      </c>
      <c r="L130">
        <f>IF(E130="","",E130+ROW()*0.000000001)</f>
        <v/>
      </c>
      <c r="M130">
        <f>IF(F130="","",F130+ROW()*0.000000001)</f>
        <v/>
      </c>
      <c r="N130">
        <f>IF(G130="","",G130+ROW()*0.000000001)</f>
        <v/>
      </c>
      <c r="O130">
        <f>IF(H130="","",H130+ROW()*0.000000001)</f>
        <v/>
      </c>
    </row>
    <row r="131">
      <c r="B131" s="4">
        <f>IF($A131="","",IF(COUNTIFS(데이터!$A$2:$A$20000,$A131,데이터!$E$2:$E$20000,1)=0,"",SUMIFS(데이터!$C$2:$C$20000,데이터!$A$2:$A$20000,$A131,데이터!$E$2:$E$20000,1)))</f>
        <v/>
      </c>
      <c r="C131" s="5">
        <f>IFERROR(IF(OR($B131="",COUNTIFS(데이터!$A$2:$A$20000,$A131,데이터!$E$2:$E$20000,설정!$B$2)=0),"",$B131/SUMIFS(데이터!$C$2:$C$20000,데이터!$A$2:$A$20000,$A131,데이터!$E$2:$E$20000,설정!$B$2)-1),"")</f>
        <v/>
      </c>
      <c r="D131" s="5">
        <f>IFERROR(IF(OR($B131="",COUNTIFS(데이터!$A$2:$A$20000,$A131,데이터!$E$2:$E$20000,설정!$B$3)=0),"",$B131/SUMIFS(데이터!$C$2:$C$20000,데이터!$A$2:$A$20000,$A131,데이터!$E$2:$E$20000,설정!$B$3)-1),"")</f>
        <v/>
      </c>
      <c r="E131" s="5">
        <f>IFERROR(IF(OR($B131="",COUNTIFS(데이터!$A$2:$A$20000,$A131,데이터!$E$2:$E$20000,설정!$B$4)=0),"",$B131/SUMIFS(데이터!$C$2:$C$20000,데이터!$A$2:$A$20000,$A131,데이터!$E$2:$E$20000,설정!$B$4)-1),"")</f>
        <v/>
      </c>
      <c r="F131" s="5">
        <f>IFERROR(IF(OR($B131="",COUNTIFS(데이터!$A$2:$A$20000,$A131,데이터!$E$2:$E$20000,설정!$B$5)=0),"",$B131/SUMIFS(데이터!$C$2:$C$20000,데이터!$A$2:$A$20000,$A131,데이터!$E$2:$E$20000,설정!$B$5)-1),"")</f>
        <v/>
      </c>
      <c r="G131" s="5">
        <f>IFERROR(IF(OR($B131="",COUNTIFS(데이터!$A$2:$A$20000,$A131,데이터!$E$2:$E$20000,설정!$B$6)=0),"",$B131/SUMIFS(데이터!$C$2:$C$20000,데이터!$A$2:$A$20000,$A131,데이터!$E$2:$E$20000,설정!$B$6)-1),"")</f>
        <v/>
      </c>
      <c r="H131" s="5">
        <f>IFERROR(IF(OR($B131="",COUNTIFS(데이터!$A$2:$A$20000,$A131,데이터!$E$2:$E$20000,설정!$B$7)=0),"",$B131/SUMIFS(데이터!$C$2:$C$20000,데이터!$A$2:$A$20000,$A131,데이터!$E$2:$E$20000,설정!$B$7)-1),"")</f>
        <v/>
      </c>
      <c r="J131">
        <f>IF(C131="","",C131+ROW()*0.000000001)</f>
        <v/>
      </c>
      <c r="K131">
        <f>IF(D131="","",D131+ROW()*0.000000001)</f>
        <v/>
      </c>
      <c r="L131">
        <f>IF(E131="","",E131+ROW()*0.000000001)</f>
        <v/>
      </c>
      <c r="M131">
        <f>IF(F131="","",F131+ROW()*0.000000001)</f>
        <v/>
      </c>
      <c r="N131">
        <f>IF(G131="","",G131+ROW()*0.000000001)</f>
        <v/>
      </c>
      <c r="O131">
        <f>IF(H131="","",H131+ROW()*0.000000001)</f>
        <v/>
      </c>
    </row>
    <row r="132">
      <c r="B132" s="4">
        <f>IF($A132="","",IF(COUNTIFS(데이터!$A$2:$A$20000,$A132,데이터!$E$2:$E$20000,1)=0,"",SUMIFS(데이터!$C$2:$C$20000,데이터!$A$2:$A$20000,$A132,데이터!$E$2:$E$20000,1)))</f>
        <v/>
      </c>
      <c r="C132" s="5">
        <f>IFERROR(IF(OR($B132="",COUNTIFS(데이터!$A$2:$A$20000,$A132,데이터!$E$2:$E$20000,설정!$B$2)=0),"",$B132/SUMIFS(데이터!$C$2:$C$20000,데이터!$A$2:$A$20000,$A132,데이터!$E$2:$E$20000,설정!$B$2)-1),"")</f>
        <v/>
      </c>
      <c r="D132" s="5">
        <f>IFERROR(IF(OR($B132="",COUNTIFS(데이터!$A$2:$A$20000,$A132,데이터!$E$2:$E$20000,설정!$B$3)=0),"",$B132/SUMIFS(데이터!$C$2:$C$20000,데이터!$A$2:$A$20000,$A132,데이터!$E$2:$E$20000,설정!$B$3)-1),"")</f>
        <v/>
      </c>
      <c r="E132" s="5">
        <f>IFERROR(IF(OR($B132="",COUNTIFS(데이터!$A$2:$A$20000,$A132,데이터!$E$2:$E$20000,설정!$B$4)=0),"",$B132/SUMIFS(데이터!$C$2:$C$20000,데이터!$A$2:$A$20000,$A132,데이터!$E$2:$E$20000,설정!$B$4)-1),"")</f>
        <v/>
      </c>
      <c r="F132" s="5">
        <f>IFERROR(IF(OR($B132="",COUNTIFS(데이터!$A$2:$A$20000,$A132,데이터!$E$2:$E$20000,설정!$B$5)=0),"",$B132/SUMIFS(데이터!$C$2:$C$20000,데이터!$A$2:$A$20000,$A132,데이터!$E$2:$E$20000,설정!$B$5)-1),"")</f>
        <v/>
      </c>
      <c r="G132" s="5">
        <f>IFERROR(IF(OR($B132="",COUNTIFS(데이터!$A$2:$A$20000,$A132,데이터!$E$2:$E$20000,설정!$B$6)=0),"",$B132/SUMIFS(데이터!$C$2:$C$20000,데이터!$A$2:$A$20000,$A132,데이터!$E$2:$E$20000,설정!$B$6)-1),"")</f>
        <v/>
      </c>
      <c r="H132" s="5">
        <f>IFERROR(IF(OR($B132="",COUNTIFS(데이터!$A$2:$A$20000,$A132,데이터!$E$2:$E$20000,설정!$B$7)=0),"",$B132/SUMIFS(데이터!$C$2:$C$20000,데이터!$A$2:$A$20000,$A132,데이터!$E$2:$E$20000,설정!$B$7)-1),"")</f>
        <v/>
      </c>
      <c r="J132">
        <f>IF(C132="","",C132+ROW()*0.000000001)</f>
        <v/>
      </c>
      <c r="K132">
        <f>IF(D132="","",D132+ROW()*0.000000001)</f>
        <v/>
      </c>
      <c r="L132">
        <f>IF(E132="","",E132+ROW()*0.000000001)</f>
        <v/>
      </c>
      <c r="M132">
        <f>IF(F132="","",F132+ROW()*0.000000001)</f>
        <v/>
      </c>
      <c r="N132">
        <f>IF(G132="","",G132+ROW()*0.000000001)</f>
        <v/>
      </c>
      <c r="O132">
        <f>IF(H132="","",H132+ROW()*0.000000001)</f>
        <v/>
      </c>
    </row>
    <row r="133">
      <c r="B133" s="4">
        <f>IF($A133="","",IF(COUNTIFS(데이터!$A$2:$A$20000,$A133,데이터!$E$2:$E$20000,1)=0,"",SUMIFS(데이터!$C$2:$C$20000,데이터!$A$2:$A$20000,$A133,데이터!$E$2:$E$20000,1)))</f>
        <v/>
      </c>
      <c r="C133" s="5">
        <f>IFERROR(IF(OR($B133="",COUNTIFS(데이터!$A$2:$A$20000,$A133,데이터!$E$2:$E$20000,설정!$B$2)=0),"",$B133/SUMIFS(데이터!$C$2:$C$20000,데이터!$A$2:$A$20000,$A133,데이터!$E$2:$E$20000,설정!$B$2)-1),"")</f>
        <v/>
      </c>
      <c r="D133" s="5">
        <f>IFERROR(IF(OR($B133="",COUNTIFS(데이터!$A$2:$A$20000,$A133,데이터!$E$2:$E$20000,설정!$B$3)=0),"",$B133/SUMIFS(데이터!$C$2:$C$20000,데이터!$A$2:$A$20000,$A133,데이터!$E$2:$E$20000,설정!$B$3)-1),"")</f>
        <v/>
      </c>
      <c r="E133" s="5">
        <f>IFERROR(IF(OR($B133="",COUNTIFS(데이터!$A$2:$A$20000,$A133,데이터!$E$2:$E$20000,설정!$B$4)=0),"",$B133/SUMIFS(데이터!$C$2:$C$20000,데이터!$A$2:$A$20000,$A133,데이터!$E$2:$E$20000,설정!$B$4)-1),"")</f>
        <v/>
      </c>
      <c r="F133" s="5">
        <f>IFERROR(IF(OR($B133="",COUNTIFS(데이터!$A$2:$A$20000,$A133,데이터!$E$2:$E$20000,설정!$B$5)=0),"",$B133/SUMIFS(데이터!$C$2:$C$20000,데이터!$A$2:$A$20000,$A133,데이터!$E$2:$E$20000,설정!$B$5)-1),"")</f>
        <v/>
      </c>
      <c r="G133" s="5">
        <f>IFERROR(IF(OR($B133="",COUNTIFS(데이터!$A$2:$A$20000,$A133,데이터!$E$2:$E$20000,설정!$B$6)=0),"",$B133/SUMIFS(데이터!$C$2:$C$20000,데이터!$A$2:$A$20000,$A133,데이터!$E$2:$E$20000,설정!$B$6)-1),"")</f>
        <v/>
      </c>
      <c r="H133" s="5">
        <f>IFERROR(IF(OR($B133="",COUNTIFS(데이터!$A$2:$A$20000,$A133,데이터!$E$2:$E$20000,설정!$B$7)=0),"",$B133/SUMIFS(데이터!$C$2:$C$20000,데이터!$A$2:$A$20000,$A133,데이터!$E$2:$E$20000,설정!$B$7)-1),"")</f>
        <v/>
      </c>
      <c r="J133">
        <f>IF(C133="","",C133+ROW()*0.000000001)</f>
        <v/>
      </c>
      <c r="K133">
        <f>IF(D133="","",D133+ROW()*0.000000001)</f>
        <v/>
      </c>
      <c r="L133">
        <f>IF(E133="","",E133+ROW()*0.000000001)</f>
        <v/>
      </c>
      <c r="M133">
        <f>IF(F133="","",F133+ROW()*0.000000001)</f>
        <v/>
      </c>
      <c r="N133">
        <f>IF(G133="","",G133+ROW()*0.000000001)</f>
        <v/>
      </c>
      <c r="O133">
        <f>IF(H133="","",H133+ROW()*0.000000001)</f>
        <v/>
      </c>
    </row>
    <row r="134">
      <c r="B134" s="4">
        <f>IF($A134="","",IF(COUNTIFS(데이터!$A$2:$A$20000,$A134,데이터!$E$2:$E$20000,1)=0,"",SUMIFS(데이터!$C$2:$C$20000,데이터!$A$2:$A$20000,$A134,데이터!$E$2:$E$20000,1)))</f>
        <v/>
      </c>
      <c r="C134" s="5">
        <f>IFERROR(IF(OR($B134="",COUNTIFS(데이터!$A$2:$A$20000,$A134,데이터!$E$2:$E$20000,설정!$B$2)=0),"",$B134/SUMIFS(데이터!$C$2:$C$20000,데이터!$A$2:$A$20000,$A134,데이터!$E$2:$E$20000,설정!$B$2)-1),"")</f>
        <v/>
      </c>
      <c r="D134" s="5">
        <f>IFERROR(IF(OR($B134="",COUNTIFS(데이터!$A$2:$A$20000,$A134,데이터!$E$2:$E$20000,설정!$B$3)=0),"",$B134/SUMIFS(데이터!$C$2:$C$20000,데이터!$A$2:$A$20000,$A134,데이터!$E$2:$E$20000,설정!$B$3)-1),"")</f>
        <v/>
      </c>
      <c r="E134" s="5">
        <f>IFERROR(IF(OR($B134="",COUNTIFS(데이터!$A$2:$A$20000,$A134,데이터!$E$2:$E$20000,설정!$B$4)=0),"",$B134/SUMIFS(데이터!$C$2:$C$20000,데이터!$A$2:$A$20000,$A134,데이터!$E$2:$E$20000,설정!$B$4)-1),"")</f>
        <v/>
      </c>
      <c r="F134" s="5">
        <f>IFERROR(IF(OR($B134="",COUNTIFS(데이터!$A$2:$A$20000,$A134,데이터!$E$2:$E$20000,설정!$B$5)=0),"",$B134/SUMIFS(데이터!$C$2:$C$20000,데이터!$A$2:$A$20000,$A134,데이터!$E$2:$E$20000,설정!$B$5)-1),"")</f>
        <v/>
      </c>
      <c r="G134" s="5">
        <f>IFERROR(IF(OR($B134="",COUNTIFS(데이터!$A$2:$A$20000,$A134,데이터!$E$2:$E$20000,설정!$B$6)=0),"",$B134/SUMIFS(데이터!$C$2:$C$20000,데이터!$A$2:$A$20000,$A134,데이터!$E$2:$E$20000,설정!$B$6)-1),"")</f>
        <v/>
      </c>
      <c r="H134" s="5">
        <f>IFERROR(IF(OR($B134="",COUNTIFS(데이터!$A$2:$A$20000,$A134,데이터!$E$2:$E$20000,설정!$B$7)=0),"",$B134/SUMIFS(데이터!$C$2:$C$20000,데이터!$A$2:$A$20000,$A134,데이터!$E$2:$E$20000,설정!$B$7)-1),"")</f>
        <v/>
      </c>
      <c r="J134">
        <f>IF(C134="","",C134+ROW()*0.000000001)</f>
        <v/>
      </c>
      <c r="K134">
        <f>IF(D134="","",D134+ROW()*0.000000001)</f>
        <v/>
      </c>
      <c r="L134">
        <f>IF(E134="","",E134+ROW()*0.000000001)</f>
        <v/>
      </c>
      <c r="M134">
        <f>IF(F134="","",F134+ROW()*0.000000001)</f>
        <v/>
      </c>
      <c r="N134">
        <f>IF(G134="","",G134+ROW()*0.000000001)</f>
        <v/>
      </c>
      <c r="O134">
        <f>IF(H134="","",H134+ROW()*0.000000001)</f>
        <v/>
      </c>
    </row>
    <row r="135">
      <c r="B135" s="4">
        <f>IF($A135="","",IF(COUNTIFS(데이터!$A$2:$A$20000,$A135,데이터!$E$2:$E$20000,1)=0,"",SUMIFS(데이터!$C$2:$C$20000,데이터!$A$2:$A$20000,$A135,데이터!$E$2:$E$20000,1)))</f>
        <v/>
      </c>
      <c r="C135" s="5">
        <f>IFERROR(IF(OR($B135="",COUNTIFS(데이터!$A$2:$A$20000,$A135,데이터!$E$2:$E$20000,설정!$B$2)=0),"",$B135/SUMIFS(데이터!$C$2:$C$20000,데이터!$A$2:$A$20000,$A135,데이터!$E$2:$E$20000,설정!$B$2)-1),"")</f>
        <v/>
      </c>
      <c r="D135" s="5">
        <f>IFERROR(IF(OR($B135="",COUNTIFS(데이터!$A$2:$A$20000,$A135,데이터!$E$2:$E$20000,설정!$B$3)=0),"",$B135/SUMIFS(데이터!$C$2:$C$20000,데이터!$A$2:$A$20000,$A135,데이터!$E$2:$E$20000,설정!$B$3)-1),"")</f>
        <v/>
      </c>
      <c r="E135" s="5">
        <f>IFERROR(IF(OR($B135="",COUNTIFS(데이터!$A$2:$A$20000,$A135,데이터!$E$2:$E$20000,설정!$B$4)=0),"",$B135/SUMIFS(데이터!$C$2:$C$20000,데이터!$A$2:$A$20000,$A135,데이터!$E$2:$E$20000,설정!$B$4)-1),"")</f>
        <v/>
      </c>
      <c r="F135" s="5">
        <f>IFERROR(IF(OR($B135="",COUNTIFS(데이터!$A$2:$A$20000,$A135,데이터!$E$2:$E$20000,설정!$B$5)=0),"",$B135/SUMIFS(데이터!$C$2:$C$20000,데이터!$A$2:$A$20000,$A135,데이터!$E$2:$E$20000,설정!$B$5)-1),"")</f>
        <v/>
      </c>
      <c r="G135" s="5">
        <f>IFERROR(IF(OR($B135="",COUNTIFS(데이터!$A$2:$A$20000,$A135,데이터!$E$2:$E$20000,설정!$B$6)=0),"",$B135/SUMIFS(데이터!$C$2:$C$20000,데이터!$A$2:$A$20000,$A135,데이터!$E$2:$E$20000,설정!$B$6)-1),"")</f>
        <v/>
      </c>
      <c r="H135" s="5">
        <f>IFERROR(IF(OR($B135="",COUNTIFS(데이터!$A$2:$A$20000,$A135,데이터!$E$2:$E$20000,설정!$B$7)=0),"",$B135/SUMIFS(데이터!$C$2:$C$20000,데이터!$A$2:$A$20000,$A135,데이터!$E$2:$E$20000,설정!$B$7)-1),"")</f>
        <v/>
      </c>
      <c r="J135">
        <f>IF(C135="","",C135+ROW()*0.000000001)</f>
        <v/>
      </c>
      <c r="K135">
        <f>IF(D135="","",D135+ROW()*0.000000001)</f>
        <v/>
      </c>
      <c r="L135">
        <f>IF(E135="","",E135+ROW()*0.000000001)</f>
        <v/>
      </c>
      <c r="M135">
        <f>IF(F135="","",F135+ROW()*0.000000001)</f>
        <v/>
      </c>
      <c r="N135">
        <f>IF(G135="","",G135+ROW()*0.000000001)</f>
        <v/>
      </c>
      <c r="O135">
        <f>IF(H135="","",H135+ROW()*0.000000001)</f>
        <v/>
      </c>
    </row>
    <row r="136">
      <c r="B136" s="4">
        <f>IF($A136="","",IF(COUNTIFS(데이터!$A$2:$A$20000,$A136,데이터!$E$2:$E$20000,1)=0,"",SUMIFS(데이터!$C$2:$C$20000,데이터!$A$2:$A$20000,$A136,데이터!$E$2:$E$20000,1)))</f>
        <v/>
      </c>
      <c r="C136" s="5">
        <f>IFERROR(IF(OR($B136="",COUNTIFS(데이터!$A$2:$A$20000,$A136,데이터!$E$2:$E$20000,설정!$B$2)=0),"",$B136/SUMIFS(데이터!$C$2:$C$20000,데이터!$A$2:$A$20000,$A136,데이터!$E$2:$E$20000,설정!$B$2)-1),"")</f>
        <v/>
      </c>
      <c r="D136" s="5">
        <f>IFERROR(IF(OR($B136="",COUNTIFS(데이터!$A$2:$A$20000,$A136,데이터!$E$2:$E$20000,설정!$B$3)=0),"",$B136/SUMIFS(데이터!$C$2:$C$20000,데이터!$A$2:$A$20000,$A136,데이터!$E$2:$E$20000,설정!$B$3)-1),"")</f>
        <v/>
      </c>
      <c r="E136" s="5">
        <f>IFERROR(IF(OR($B136="",COUNTIFS(데이터!$A$2:$A$20000,$A136,데이터!$E$2:$E$20000,설정!$B$4)=0),"",$B136/SUMIFS(데이터!$C$2:$C$20000,데이터!$A$2:$A$20000,$A136,데이터!$E$2:$E$20000,설정!$B$4)-1),"")</f>
        <v/>
      </c>
      <c r="F136" s="5">
        <f>IFERROR(IF(OR($B136="",COUNTIFS(데이터!$A$2:$A$20000,$A136,데이터!$E$2:$E$20000,설정!$B$5)=0),"",$B136/SUMIFS(데이터!$C$2:$C$20000,데이터!$A$2:$A$20000,$A136,데이터!$E$2:$E$20000,설정!$B$5)-1),"")</f>
        <v/>
      </c>
      <c r="G136" s="5">
        <f>IFERROR(IF(OR($B136="",COUNTIFS(데이터!$A$2:$A$20000,$A136,데이터!$E$2:$E$20000,설정!$B$6)=0),"",$B136/SUMIFS(데이터!$C$2:$C$20000,데이터!$A$2:$A$20000,$A136,데이터!$E$2:$E$20000,설정!$B$6)-1),"")</f>
        <v/>
      </c>
      <c r="H136" s="5">
        <f>IFERROR(IF(OR($B136="",COUNTIFS(데이터!$A$2:$A$20000,$A136,데이터!$E$2:$E$20000,설정!$B$7)=0),"",$B136/SUMIFS(데이터!$C$2:$C$20000,데이터!$A$2:$A$20000,$A136,데이터!$E$2:$E$20000,설정!$B$7)-1),"")</f>
        <v/>
      </c>
      <c r="J136">
        <f>IF(C136="","",C136+ROW()*0.000000001)</f>
        <v/>
      </c>
      <c r="K136">
        <f>IF(D136="","",D136+ROW()*0.000000001)</f>
        <v/>
      </c>
      <c r="L136">
        <f>IF(E136="","",E136+ROW()*0.000000001)</f>
        <v/>
      </c>
      <c r="M136">
        <f>IF(F136="","",F136+ROW()*0.000000001)</f>
        <v/>
      </c>
      <c r="N136">
        <f>IF(G136="","",G136+ROW()*0.000000001)</f>
        <v/>
      </c>
      <c r="O136">
        <f>IF(H136="","",H136+ROW()*0.000000001)</f>
        <v/>
      </c>
    </row>
    <row r="137">
      <c r="B137" s="4">
        <f>IF($A137="","",IF(COUNTIFS(데이터!$A$2:$A$20000,$A137,데이터!$E$2:$E$20000,1)=0,"",SUMIFS(데이터!$C$2:$C$20000,데이터!$A$2:$A$20000,$A137,데이터!$E$2:$E$20000,1)))</f>
        <v/>
      </c>
      <c r="C137" s="5">
        <f>IFERROR(IF(OR($B137="",COUNTIFS(데이터!$A$2:$A$20000,$A137,데이터!$E$2:$E$20000,설정!$B$2)=0),"",$B137/SUMIFS(데이터!$C$2:$C$20000,데이터!$A$2:$A$20000,$A137,데이터!$E$2:$E$20000,설정!$B$2)-1),"")</f>
        <v/>
      </c>
      <c r="D137" s="5">
        <f>IFERROR(IF(OR($B137="",COUNTIFS(데이터!$A$2:$A$20000,$A137,데이터!$E$2:$E$20000,설정!$B$3)=0),"",$B137/SUMIFS(데이터!$C$2:$C$20000,데이터!$A$2:$A$20000,$A137,데이터!$E$2:$E$20000,설정!$B$3)-1),"")</f>
        <v/>
      </c>
      <c r="E137" s="5">
        <f>IFERROR(IF(OR($B137="",COUNTIFS(데이터!$A$2:$A$20000,$A137,데이터!$E$2:$E$20000,설정!$B$4)=0),"",$B137/SUMIFS(데이터!$C$2:$C$20000,데이터!$A$2:$A$20000,$A137,데이터!$E$2:$E$20000,설정!$B$4)-1),"")</f>
        <v/>
      </c>
      <c r="F137" s="5">
        <f>IFERROR(IF(OR($B137="",COUNTIFS(데이터!$A$2:$A$20000,$A137,데이터!$E$2:$E$20000,설정!$B$5)=0),"",$B137/SUMIFS(데이터!$C$2:$C$20000,데이터!$A$2:$A$20000,$A137,데이터!$E$2:$E$20000,설정!$B$5)-1),"")</f>
        <v/>
      </c>
      <c r="G137" s="5">
        <f>IFERROR(IF(OR($B137="",COUNTIFS(데이터!$A$2:$A$20000,$A137,데이터!$E$2:$E$20000,설정!$B$6)=0),"",$B137/SUMIFS(데이터!$C$2:$C$20000,데이터!$A$2:$A$20000,$A137,데이터!$E$2:$E$20000,설정!$B$6)-1),"")</f>
        <v/>
      </c>
      <c r="H137" s="5">
        <f>IFERROR(IF(OR($B137="",COUNTIFS(데이터!$A$2:$A$20000,$A137,데이터!$E$2:$E$20000,설정!$B$7)=0),"",$B137/SUMIFS(데이터!$C$2:$C$20000,데이터!$A$2:$A$20000,$A137,데이터!$E$2:$E$20000,설정!$B$7)-1),"")</f>
        <v/>
      </c>
      <c r="J137">
        <f>IF(C137="","",C137+ROW()*0.000000001)</f>
        <v/>
      </c>
      <c r="K137">
        <f>IF(D137="","",D137+ROW()*0.000000001)</f>
        <v/>
      </c>
      <c r="L137">
        <f>IF(E137="","",E137+ROW()*0.000000001)</f>
        <v/>
      </c>
      <c r="M137">
        <f>IF(F137="","",F137+ROW()*0.000000001)</f>
        <v/>
      </c>
      <c r="N137">
        <f>IF(G137="","",G137+ROW()*0.000000001)</f>
        <v/>
      </c>
      <c r="O137">
        <f>IF(H137="","",H137+ROW()*0.000000001)</f>
        <v/>
      </c>
    </row>
    <row r="138">
      <c r="B138" s="4">
        <f>IF($A138="","",IF(COUNTIFS(데이터!$A$2:$A$20000,$A138,데이터!$E$2:$E$20000,1)=0,"",SUMIFS(데이터!$C$2:$C$20000,데이터!$A$2:$A$20000,$A138,데이터!$E$2:$E$20000,1)))</f>
        <v/>
      </c>
      <c r="C138" s="5">
        <f>IFERROR(IF(OR($B138="",COUNTIFS(데이터!$A$2:$A$20000,$A138,데이터!$E$2:$E$20000,설정!$B$2)=0),"",$B138/SUMIFS(데이터!$C$2:$C$20000,데이터!$A$2:$A$20000,$A138,데이터!$E$2:$E$20000,설정!$B$2)-1),"")</f>
        <v/>
      </c>
      <c r="D138" s="5">
        <f>IFERROR(IF(OR($B138="",COUNTIFS(데이터!$A$2:$A$20000,$A138,데이터!$E$2:$E$20000,설정!$B$3)=0),"",$B138/SUMIFS(데이터!$C$2:$C$20000,데이터!$A$2:$A$20000,$A138,데이터!$E$2:$E$20000,설정!$B$3)-1),"")</f>
        <v/>
      </c>
      <c r="E138" s="5">
        <f>IFERROR(IF(OR($B138="",COUNTIFS(데이터!$A$2:$A$20000,$A138,데이터!$E$2:$E$20000,설정!$B$4)=0),"",$B138/SUMIFS(데이터!$C$2:$C$20000,데이터!$A$2:$A$20000,$A138,데이터!$E$2:$E$20000,설정!$B$4)-1),"")</f>
        <v/>
      </c>
      <c r="F138" s="5">
        <f>IFERROR(IF(OR($B138="",COUNTIFS(데이터!$A$2:$A$20000,$A138,데이터!$E$2:$E$20000,설정!$B$5)=0),"",$B138/SUMIFS(데이터!$C$2:$C$20000,데이터!$A$2:$A$20000,$A138,데이터!$E$2:$E$20000,설정!$B$5)-1),"")</f>
        <v/>
      </c>
      <c r="G138" s="5">
        <f>IFERROR(IF(OR($B138="",COUNTIFS(데이터!$A$2:$A$20000,$A138,데이터!$E$2:$E$20000,설정!$B$6)=0),"",$B138/SUMIFS(데이터!$C$2:$C$20000,데이터!$A$2:$A$20000,$A138,데이터!$E$2:$E$20000,설정!$B$6)-1),"")</f>
        <v/>
      </c>
      <c r="H138" s="5">
        <f>IFERROR(IF(OR($B138="",COUNTIFS(데이터!$A$2:$A$20000,$A138,데이터!$E$2:$E$20000,설정!$B$7)=0),"",$B138/SUMIFS(데이터!$C$2:$C$20000,데이터!$A$2:$A$20000,$A138,데이터!$E$2:$E$20000,설정!$B$7)-1),"")</f>
        <v/>
      </c>
      <c r="J138">
        <f>IF(C138="","",C138+ROW()*0.000000001)</f>
        <v/>
      </c>
      <c r="K138">
        <f>IF(D138="","",D138+ROW()*0.000000001)</f>
        <v/>
      </c>
      <c r="L138">
        <f>IF(E138="","",E138+ROW()*0.000000001)</f>
        <v/>
      </c>
      <c r="M138">
        <f>IF(F138="","",F138+ROW()*0.000000001)</f>
        <v/>
      </c>
      <c r="N138">
        <f>IF(G138="","",G138+ROW()*0.000000001)</f>
        <v/>
      </c>
      <c r="O138">
        <f>IF(H138="","",H138+ROW()*0.000000001)</f>
        <v/>
      </c>
    </row>
    <row r="139">
      <c r="B139" s="4">
        <f>IF($A139="","",IF(COUNTIFS(데이터!$A$2:$A$20000,$A139,데이터!$E$2:$E$20000,1)=0,"",SUMIFS(데이터!$C$2:$C$20000,데이터!$A$2:$A$20000,$A139,데이터!$E$2:$E$20000,1)))</f>
        <v/>
      </c>
      <c r="C139" s="5">
        <f>IFERROR(IF(OR($B139="",COUNTIFS(데이터!$A$2:$A$20000,$A139,데이터!$E$2:$E$20000,설정!$B$2)=0),"",$B139/SUMIFS(데이터!$C$2:$C$20000,데이터!$A$2:$A$20000,$A139,데이터!$E$2:$E$20000,설정!$B$2)-1),"")</f>
        <v/>
      </c>
      <c r="D139" s="5">
        <f>IFERROR(IF(OR($B139="",COUNTIFS(데이터!$A$2:$A$20000,$A139,데이터!$E$2:$E$20000,설정!$B$3)=0),"",$B139/SUMIFS(데이터!$C$2:$C$20000,데이터!$A$2:$A$20000,$A139,데이터!$E$2:$E$20000,설정!$B$3)-1),"")</f>
        <v/>
      </c>
      <c r="E139" s="5">
        <f>IFERROR(IF(OR($B139="",COUNTIFS(데이터!$A$2:$A$20000,$A139,데이터!$E$2:$E$20000,설정!$B$4)=0),"",$B139/SUMIFS(데이터!$C$2:$C$20000,데이터!$A$2:$A$20000,$A139,데이터!$E$2:$E$20000,설정!$B$4)-1),"")</f>
        <v/>
      </c>
      <c r="F139" s="5">
        <f>IFERROR(IF(OR($B139="",COUNTIFS(데이터!$A$2:$A$20000,$A139,데이터!$E$2:$E$20000,설정!$B$5)=0),"",$B139/SUMIFS(데이터!$C$2:$C$20000,데이터!$A$2:$A$20000,$A139,데이터!$E$2:$E$20000,설정!$B$5)-1),"")</f>
        <v/>
      </c>
      <c r="G139" s="5">
        <f>IFERROR(IF(OR($B139="",COUNTIFS(데이터!$A$2:$A$20000,$A139,데이터!$E$2:$E$20000,설정!$B$6)=0),"",$B139/SUMIFS(데이터!$C$2:$C$20000,데이터!$A$2:$A$20000,$A139,데이터!$E$2:$E$20000,설정!$B$6)-1),"")</f>
        <v/>
      </c>
      <c r="H139" s="5">
        <f>IFERROR(IF(OR($B139="",COUNTIFS(데이터!$A$2:$A$20000,$A139,데이터!$E$2:$E$20000,설정!$B$7)=0),"",$B139/SUMIFS(데이터!$C$2:$C$20000,데이터!$A$2:$A$20000,$A139,데이터!$E$2:$E$20000,설정!$B$7)-1),"")</f>
        <v/>
      </c>
      <c r="J139">
        <f>IF(C139="","",C139+ROW()*0.000000001)</f>
        <v/>
      </c>
      <c r="K139">
        <f>IF(D139="","",D139+ROW()*0.000000001)</f>
        <v/>
      </c>
      <c r="L139">
        <f>IF(E139="","",E139+ROW()*0.000000001)</f>
        <v/>
      </c>
      <c r="M139">
        <f>IF(F139="","",F139+ROW()*0.000000001)</f>
        <v/>
      </c>
      <c r="N139">
        <f>IF(G139="","",G139+ROW()*0.000000001)</f>
        <v/>
      </c>
      <c r="O139">
        <f>IF(H139="","",H139+ROW()*0.000000001)</f>
        <v/>
      </c>
    </row>
    <row r="140">
      <c r="B140" s="4">
        <f>IF($A140="","",IF(COUNTIFS(데이터!$A$2:$A$20000,$A140,데이터!$E$2:$E$20000,1)=0,"",SUMIFS(데이터!$C$2:$C$20000,데이터!$A$2:$A$20000,$A140,데이터!$E$2:$E$20000,1)))</f>
        <v/>
      </c>
      <c r="C140" s="5">
        <f>IFERROR(IF(OR($B140="",COUNTIFS(데이터!$A$2:$A$20000,$A140,데이터!$E$2:$E$20000,설정!$B$2)=0),"",$B140/SUMIFS(데이터!$C$2:$C$20000,데이터!$A$2:$A$20000,$A140,데이터!$E$2:$E$20000,설정!$B$2)-1),"")</f>
        <v/>
      </c>
      <c r="D140" s="5">
        <f>IFERROR(IF(OR($B140="",COUNTIFS(데이터!$A$2:$A$20000,$A140,데이터!$E$2:$E$20000,설정!$B$3)=0),"",$B140/SUMIFS(데이터!$C$2:$C$20000,데이터!$A$2:$A$20000,$A140,데이터!$E$2:$E$20000,설정!$B$3)-1),"")</f>
        <v/>
      </c>
      <c r="E140" s="5">
        <f>IFERROR(IF(OR($B140="",COUNTIFS(데이터!$A$2:$A$20000,$A140,데이터!$E$2:$E$20000,설정!$B$4)=0),"",$B140/SUMIFS(데이터!$C$2:$C$20000,데이터!$A$2:$A$20000,$A140,데이터!$E$2:$E$20000,설정!$B$4)-1),"")</f>
        <v/>
      </c>
      <c r="F140" s="5">
        <f>IFERROR(IF(OR($B140="",COUNTIFS(데이터!$A$2:$A$20000,$A140,데이터!$E$2:$E$20000,설정!$B$5)=0),"",$B140/SUMIFS(데이터!$C$2:$C$20000,데이터!$A$2:$A$20000,$A140,데이터!$E$2:$E$20000,설정!$B$5)-1),"")</f>
        <v/>
      </c>
      <c r="G140" s="5">
        <f>IFERROR(IF(OR($B140="",COUNTIFS(데이터!$A$2:$A$20000,$A140,데이터!$E$2:$E$20000,설정!$B$6)=0),"",$B140/SUMIFS(데이터!$C$2:$C$20000,데이터!$A$2:$A$20000,$A140,데이터!$E$2:$E$20000,설정!$B$6)-1),"")</f>
        <v/>
      </c>
      <c r="H140" s="5">
        <f>IFERROR(IF(OR($B140="",COUNTIFS(데이터!$A$2:$A$20000,$A140,데이터!$E$2:$E$20000,설정!$B$7)=0),"",$B140/SUMIFS(데이터!$C$2:$C$20000,데이터!$A$2:$A$20000,$A140,데이터!$E$2:$E$20000,설정!$B$7)-1),"")</f>
        <v/>
      </c>
      <c r="J140">
        <f>IF(C140="","",C140+ROW()*0.000000001)</f>
        <v/>
      </c>
      <c r="K140">
        <f>IF(D140="","",D140+ROW()*0.000000001)</f>
        <v/>
      </c>
      <c r="L140">
        <f>IF(E140="","",E140+ROW()*0.000000001)</f>
        <v/>
      </c>
      <c r="M140">
        <f>IF(F140="","",F140+ROW()*0.000000001)</f>
        <v/>
      </c>
      <c r="N140">
        <f>IF(G140="","",G140+ROW()*0.000000001)</f>
        <v/>
      </c>
      <c r="O140">
        <f>IF(H140="","",H140+ROW()*0.000000001)</f>
        <v/>
      </c>
    </row>
    <row r="141">
      <c r="B141" s="4">
        <f>IF($A141="","",IF(COUNTIFS(데이터!$A$2:$A$20000,$A141,데이터!$E$2:$E$20000,1)=0,"",SUMIFS(데이터!$C$2:$C$20000,데이터!$A$2:$A$20000,$A141,데이터!$E$2:$E$20000,1)))</f>
        <v/>
      </c>
      <c r="C141" s="5">
        <f>IFERROR(IF(OR($B141="",COUNTIFS(데이터!$A$2:$A$20000,$A141,데이터!$E$2:$E$20000,설정!$B$2)=0),"",$B141/SUMIFS(데이터!$C$2:$C$20000,데이터!$A$2:$A$20000,$A141,데이터!$E$2:$E$20000,설정!$B$2)-1),"")</f>
        <v/>
      </c>
      <c r="D141" s="5">
        <f>IFERROR(IF(OR($B141="",COUNTIFS(데이터!$A$2:$A$20000,$A141,데이터!$E$2:$E$20000,설정!$B$3)=0),"",$B141/SUMIFS(데이터!$C$2:$C$20000,데이터!$A$2:$A$20000,$A141,데이터!$E$2:$E$20000,설정!$B$3)-1),"")</f>
        <v/>
      </c>
      <c r="E141" s="5">
        <f>IFERROR(IF(OR($B141="",COUNTIFS(데이터!$A$2:$A$20000,$A141,데이터!$E$2:$E$20000,설정!$B$4)=0),"",$B141/SUMIFS(데이터!$C$2:$C$20000,데이터!$A$2:$A$20000,$A141,데이터!$E$2:$E$20000,설정!$B$4)-1),"")</f>
        <v/>
      </c>
      <c r="F141" s="5">
        <f>IFERROR(IF(OR($B141="",COUNTIFS(데이터!$A$2:$A$20000,$A141,데이터!$E$2:$E$20000,설정!$B$5)=0),"",$B141/SUMIFS(데이터!$C$2:$C$20000,데이터!$A$2:$A$20000,$A141,데이터!$E$2:$E$20000,설정!$B$5)-1),"")</f>
        <v/>
      </c>
      <c r="G141" s="5">
        <f>IFERROR(IF(OR($B141="",COUNTIFS(데이터!$A$2:$A$20000,$A141,데이터!$E$2:$E$20000,설정!$B$6)=0),"",$B141/SUMIFS(데이터!$C$2:$C$20000,데이터!$A$2:$A$20000,$A141,데이터!$E$2:$E$20000,설정!$B$6)-1),"")</f>
        <v/>
      </c>
      <c r="H141" s="5">
        <f>IFERROR(IF(OR($B141="",COUNTIFS(데이터!$A$2:$A$20000,$A141,데이터!$E$2:$E$20000,설정!$B$7)=0),"",$B141/SUMIFS(데이터!$C$2:$C$20000,데이터!$A$2:$A$20000,$A141,데이터!$E$2:$E$20000,설정!$B$7)-1),"")</f>
        <v/>
      </c>
      <c r="J141">
        <f>IF(C141="","",C141+ROW()*0.000000001)</f>
        <v/>
      </c>
      <c r="K141">
        <f>IF(D141="","",D141+ROW()*0.000000001)</f>
        <v/>
      </c>
      <c r="L141">
        <f>IF(E141="","",E141+ROW()*0.000000001)</f>
        <v/>
      </c>
      <c r="M141">
        <f>IF(F141="","",F141+ROW()*0.000000001)</f>
        <v/>
      </c>
      <c r="N141">
        <f>IF(G141="","",G141+ROW()*0.000000001)</f>
        <v/>
      </c>
      <c r="O141">
        <f>IF(H141="","",H141+ROW()*0.000000001)</f>
        <v/>
      </c>
    </row>
    <row r="142">
      <c r="B142" s="4">
        <f>IF($A142="","",IF(COUNTIFS(데이터!$A$2:$A$20000,$A142,데이터!$E$2:$E$20000,1)=0,"",SUMIFS(데이터!$C$2:$C$20000,데이터!$A$2:$A$20000,$A142,데이터!$E$2:$E$20000,1)))</f>
        <v/>
      </c>
      <c r="C142" s="5">
        <f>IFERROR(IF(OR($B142="",COUNTIFS(데이터!$A$2:$A$20000,$A142,데이터!$E$2:$E$20000,설정!$B$2)=0),"",$B142/SUMIFS(데이터!$C$2:$C$20000,데이터!$A$2:$A$20000,$A142,데이터!$E$2:$E$20000,설정!$B$2)-1),"")</f>
        <v/>
      </c>
      <c r="D142" s="5">
        <f>IFERROR(IF(OR($B142="",COUNTIFS(데이터!$A$2:$A$20000,$A142,데이터!$E$2:$E$20000,설정!$B$3)=0),"",$B142/SUMIFS(데이터!$C$2:$C$20000,데이터!$A$2:$A$20000,$A142,데이터!$E$2:$E$20000,설정!$B$3)-1),"")</f>
        <v/>
      </c>
      <c r="E142" s="5">
        <f>IFERROR(IF(OR($B142="",COUNTIFS(데이터!$A$2:$A$20000,$A142,데이터!$E$2:$E$20000,설정!$B$4)=0),"",$B142/SUMIFS(데이터!$C$2:$C$20000,데이터!$A$2:$A$20000,$A142,데이터!$E$2:$E$20000,설정!$B$4)-1),"")</f>
        <v/>
      </c>
      <c r="F142" s="5">
        <f>IFERROR(IF(OR($B142="",COUNTIFS(데이터!$A$2:$A$20000,$A142,데이터!$E$2:$E$20000,설정!$B$5)=0),"",$B142/SUMIFS(데이터!$C$2:$C$20000,데이터!$A$2:$A$20000,$A142,데이터!$E$2:$E$20000,설정!$B$5)-1),"")</f>
        <v/>
      </c>
      <c r="G142" s="5">
        <f>IFERROR(IF(OR($B142="",COUNTIFS(데이터!$A$2:$A$20000,$A142,데이터!$E$2:$E$20000,설정!$B$6)=0),"",$B142/SUMIFS(데이터!$C$2:$C$20000,데이터!$A$2:$A$20000,$A142,데이터!$E$2:$E$20000,설정!$B$6)-1),"")</f>
        <v/>
      </c>
      <c r="H142" s="5">
        <f>IFERROR(IF(OR($B142="",COUNTIFS(데이터!$A$2:$A$20000,$A142,데이터!$E$2:$E$20000,설정!$B$7)=0),"",$B142/SUMIFS(데이터!$C$2:$C$20000,데이터!$A$2:$A$20000,$A142,데이터!$E$2:$E$20000,설정!$B$7)-1),"")</f>
        <v/>
      </c>
      <c r="J142">
        <f>IF(C142="","",C142+ROW()*0.000000001)</f>
        <v/>
      </c>
      <c r="K142">
        <f>IF(D142="","",D142+ROW()*0.000000001)</f>
        <v/>
      </c>
      <c r="L142">
        <f>IF(E142="","",E142+ROW()*0.000000001)</f>
        <v/>
      </c>
      <c r="M142">
        <f>IF(F142="","",F142+ROW()*0.000000001)</f>
        <v/>
      </c>
      <c r="N142">
        <f>IF(G142="","",G142+ROW()*0.000000001)</f>
        <v/>
      </c>
      <c r="O142">
        <f>IF(H142="","",H142+ROW()*0.000000001)</f>
        <v/>
      </c>
    </row>
    <row r="143">
      <c r="B143" s="4">
        <f>IF($A143="","",IF(COUNTIFS(데이터!$A$2:$A$20000,$A143,데이터!$E$2:$E$20000,1)=0,"",SUMIFS(데이터!$C$2:$C$20000,데이터!$A$2:$A$20000,$A143,데이터!$E$2:$E$20000,1)))</f>
        <v/>
      </c>
      <c r="C143" s="5">
        <f>IFERROR(IF(OR($B143="",COUNTIFS(데이터!$A$2:$A$20000,$A143,데이터!$E$2:$E$20000,설정!$B$2)=0),"",$B143/SUMIFS(데이터!$C$2:$C$20000,데이터!$A$2:$A$20000,$A143,데이터!$E$2:$E$20000,설정!$B$2)-1),"")</f>
        <v/>
      </c>
      <c r="D143" s="5">
        <f>IFERROR(IF(OR($B143="",COUNTIFS(데이터!$A$2:$A$20000,$A143,데이터!$E$2:$E$20000,설정!$B$3)=0),"",$B143/SUMIFS(데이터!$C$2:$C$20000,데이터!$A$2:$A$20000,$A143,데이터!$E$2:$E$20000,설정!$B$3)-1),"")</f>
        <v/>
      </c>
      <c r="E143" s="5">
        <f>IFERROR(IF(OR($B143="",COUNTIFS(데이터!$A$2:$A$20000,$A143,데이터!$E$2:$E$20000,설정!$B$4)=0),"",$B143/SUMIFS(데이터!$C$2:$C$20000,데이터!$A$2:$A$20000,$A143,데이터!$E$2:$E$20000,설정!$B$4)-1),"")</f>
        <v/>
      </c>
      <c r="F143" s="5">
        <f>IFERROR(IF(OR($B143="",COUNTIFS(데이터!$A$2:$A$20000,$A143,데이터!$E$2:$E$20000,설정!$B$5)=0),"",$B143/SUMIFS(데이터!$C$2:$C$20000,데이터!$A$2:$A$20000,$A143,데이터!$E$2:$E$20000,설정!$B$5)-1),"")</f>
        <v/>
      </c>
      <c r="G143" s="5">
        <f>IFERROR(IF(OR($B143="",COUNTIFS(데이터!$A$2:$A$20000,$A143,데이터!$E$2:$E$20000,설정!$B$6)=0),"",$B143/SUMIFS(데이터!$C$2:$C$20000,데이터!$A$2:$A$20000,$A143,데이터!$E$2:$E$20000,설정!$B$6)-1),"")</f>
        <v/>
      </c>
      <c r="H143" s="5">
        <f>IFERROR(IF(OR($B143="",COUNTIFS(데이터!$A$2:$A$20000,$A143,데이터!$E$2:$E$20000,설정!$B$7)=0),"",$B143/SUMIFS(데이터!$C$2:$C$20000,데이터!$A$2:$A$20000,$A143,데이터!$E$2:$E$20000,설정!$B$7)-1),"")</f>
        <v/>
      </c>
      <c r="J143">
        <f>IF(C143="","",C143+ROW()*0.000000001)</f>
        <v/>
      </c>
      <c r="K143">
        <f>IF(D143="","",D143+ROW()*0.000000001)</f>
        <v/>
      </c>
      <c r="L143">
        <f>IF(E143="","",E143+ROW()*0.000000001)</f>
        <v/>
      </c>
      <c r="M143">
        <f>IF(F143="","",F143+ROW()*0.000000001)</f>
        <v/>
      </c>
      <c r="N143">
        <f>IF(G143="","",G143+ROW()*0.000000001)</f>
        <v/>
      </c>
      <c r="O143">
        <f>IF(H143="","",H143+ROW()*0.000000001)</f>
        <v/>
      </c>
    </row>
    <row r="144">
      <c r="B144" s="4">
        <f>IF($A144="","",IF(COUNTIFS(데이터!$A$2:$A$20000,$A144,데이터!$E$2:$E$20000,1)=0,"",SUMIFS(데이터!$C$2:$C$20000,데이터!$A$2:$A$20000,$A144,데이터!$E$2:$E$20000,1)))</f>
        <v/>
      </c>
      <c r="C144" s="5">
        <f>IFERROR(IF(OR($B144="",COUNTIFS(데이터!$A$2:$A$20000,$A144,데이터!$E$2:$E$20000,설정!$B$2)=0),"",$B144/SUMIFS(데이터!$C$2:$C$20000,데이터!$A$2:$A$20000,$A144,데이터!$E$2:$E$20000,설정!$B$2)-1),"")</f>
        <v/>
      </c>
      <c r="D144" s="5">
        <f>IFERROR(IF(OR($B144="",COUNTIFS(데이터!$A$2:$A$20000,$A144,데이터!$E$2:$E$20000,설정!$B$3)=0),"",$B144/SUMIFS(데이터!$C$2:$C$20000,데이터!$A$2:$A$20000,$A144,데이터!$E$2:$E$20000,설정!$B$3)-1),"")</f>
        <v/>
      </c>
      <c r="E144" s="5">
        <f>IFERROR(IF(OR($B144="",COUNTIFS(데이터!$A$2:$A$20000,$A144,데이터!$E$2:$E$20000,설정!$B$4)=0),"",$B144/SUMIFS(데이터!$C$2:$C$20000,데이터!$A$2:$A$20000,$A144,데이터!$E$2:$E$20000,설정!$B$4)-1),"")</f>
        <v/>
      </c>
      <c r="F144" s="5">
        <f>IFERROR(IF(OR($B144="",COUNTIFS(데이터!$A$2:$A$20000,$A144,데이터!$E$2:$E$20000,설정!$B$5)=0),"",$B144/SUMIFS(데이터!$C$2:$C$20000,데이터!$A$2:$A$20000,$A144,데이터!$E$2:$E$20000,설정!$B$5)-1),"")</f>
        <v/>
      </c>
      <c r="G144" s="5">
        <f>IFERROR(IF(OR($B144="",COUNTIFS(데이터!$A$2:$A$20000,$A144,데이터!$E$2:$E$20000,설정!$B$6)=0),"",$B144/SUMIFS(데이터!$C$2:$C$20000,데이터!$A$2:$A$20000,$A144,데이터!$E$2:$E$20000,설정!$B$6)-1),"")</f>
        <v/>
      </c>
      <c r="H144" s="5">
        <f>IFERROR(IF(OR($B144="",COUNTIFS(데이터!$A$2:$A$20000,$A144,데이터!$E$2:$E$20000,설정!$B$7)=0),"",$B144/SUMIFS(데이터!$C$2:$C$20000,데이터!$A$2:$A$20000,$A144,데이터!$E$2:$E$20000,설정!$B$7)-1),"")</f>
        <v/>
      </c>
      <c r="J144">
        <f>IF(C144="","",C144+ROW()*0.000000001)</f>
        <v/>
      </c>
      <c r="K144">
        <f>IF(D144="","",D144+ROW()*0.000000001)</f>
        <v/>
      </c>
      <c r="L144">
        <f>IF(E144="","",E144+ROW()*0.000000001)</f>
        <v/>
      </c>
      <c r="M144">
        <f>IF(F144="","",F144+ROW()*0.000000001)</f>
        <v/>
      </c>
      <c r="N144">
        <f>IF(G144="","",G144+ROW()*0.000000001)</f>
        <v/>
      </c>
      <c r="O144">
        <f>IF(H144="","",H144+ROW()*0.000000001)</f>
        <v/>
      </c>
    </row>
    <row r="145">
      <c r="B145" s="4">
        <f>IF($A145="","",IF(COUNTIFS(데이터!$A$2:$A$20000,$A145,데이터!$E$2:$E$20000,1)=0,"",SUMIFS(데이터!$C$2:$C$20000,데이터!$A$2:$A$20000,$A145,데이터!$E$2:$E$20000,1)))</f>
        <v/>
      </c>
      <c r="C145" s="5">
        <f>IFERROR(IF(OR($B145="",COUNTIFS(데이터!$A$2:$A$20000,$A145,데이터!$E$2:$E$20000,설정!$B$2)=0),"",$B145/SUMIFS(데이터!$C$2:$C$20000,데이터!$A$2:$A$20000,$A145,데이터!$E$2:$E$20000,설정!$B$2)-1),"")</f>
        <v/>
      </c>
      <c r="D145" s="5">
        <f>IFERROR(IF(OR($B145="",COUNTIFS(데이터!$A$2:$A$20000,$A145,데이터!$E$2:$E$20000,설정!$B$3)=0),"",$B145/SUMIFS(데이터!$C$2:$C$20000,데이터!$A$2:$A$20000,$A145,데이터!$E$2:$E$20000,설정!$B$3)-1),"")</f>
        <v/>
      </c>
      <c r="E145" s="5">
        <f>IFERROR(IF(OR($B145="",COUNTIFS(데이터!$A$2:$A$20000,$A145,데이터!$E$2:$E$20000,설정!$B$4)=0),"",$B145/SUMIFS(데이터!$C$2:$C$20000,데이터!$A$2:$A$20000,$A145,데이터!$E$2:$E$20000,설정!$B$4)-1),"")</f>
        <v/>
      </c>
      <c r="F145" s="5">
        <f>IFERROR(IF(OR($B145="",COUNTIFS(데이터!$A$2:$A$20000,$A145,데이터!$E$2:$E$20000,설정!$B$5)=0),"",$B145/SUMIFS(데이터!$C$2:$C$20000,데이터!$A$2:$A$20000,$A145,데이터!$E$2:$E$20000,설정!$B$5)-1),"")</f>
        <v/>
      </c>
      <c r="G145" s="5">
        <f>IFERROR(IF(OR($B145="",COUNTIFS(데이터!$A$2:$A$20000,$A145,데이터!$E$2:$E$20000,설정!$B$6)=0),"",$B145/SUMIFS(데이터!$C$2:$C$20000,데이터!$A$2:$A$20000,$A145,데이터!$E$2:$E$20000,설정!$B$6)-1),"")</f>
        <v/>
      </c>
      <c r="H145" s="5">
        <f>IFERROR(IF(OR($B145="",COUNTIFS(데이터!$A$2:$A$20000,$A145,데이터!$E$2:$E$20000,설정!$B$7)=0),"",$B145/SUMIFS(데이터!$C$2:$C$20000,데이터!$A$2:$A$20000,$A145,데이터!$E$2:$E$20000,설정!$B$7)-1),"")</f>
        <v/>
      </c>
      <c r="J145">
        <f>IF(C145="","",C145+ROW()*0.000000001)</f>
        <v/>
      </c>
      <c r="K145">
        <f>IF(D145="","",D145+ROW()*0.000000001)</f>
        <v/>
      </c>
      <c r="L145">
        <f>IF(E145="","",E145+ROW()*0.000000001)</f>
        <v/>
      </c>
      <c r="M145">
        <f>IF(F145="","",F145+ROW()*0.000000001)</f>
        <v/>
      </c>
      <c r="N145">
        <f>IF(G145="","",G145+ROW()*0.000000001)</f>
        <v/>
      </c>
      <c r="O145">
        <f>IF(H145="","",H145+ROW()*0.000000001)</f>
        <v/>
      </c>
    </row>
    <row r="146">
      <c r="B146" s="4">
        <f>IF($A146="","",IF(COUNTIFS(데이터!$A$2:$A$20000,$A146,데이터!$E$2:$E$20000,1)=0,"",SUMIFS(데이터!$C$2:$C$20000,데이터!$A$2:$A$20000,$A146,데이터!$E$2:$E$20000,1)))</f>
        <v/>
      </c>
      <c r="C146" s="5">
        <f>IFERROR(IF(OR($B146="",COUNTIFS(데이터!$A$2:$A$20000,$A146,데이터!$E$2:$E$20000,설정!$B$2)=0),"",$B146/SUMIFS(데이터!$C$2:$C$20000,데이터!$A$2:$A$20000,$A146,데이터!$E$2:$E$20000,설정!$B$2)-1),"")</f>
        <v/>
      </c>
      <c r="D146" s="5">
        <f>IFERROR(IF(OR($B146="",COUNTIFS(데이터!$A$2:$A$20000,$A146,데이터!$E$2:$E$20000,설정!$B$3)=0),"",$B146/SUMIFS(데이터!$C$2:$C$20000,데이터!$A$2:$A$20000,$A146,데이터!$E$2:$E$20000,설정!$B$3)-1),"")</f>
        <v/>
      </c>
      <c r="E146" s="5">
        <f>IFERROR(IF(OR($B146="",COUNTIFS(데이터!$A$2:$A$20000,$A146,데이터!$E$2:$E$20000,설정!$B$4)=0),"",$B146/SUMIFS(데이터!$C$2:$C$20000,데이터!$A$2:$A$20000,$A146,데이터!$E$2:$E$20000,설정!$B$4)-1),"")</f>
        <v/>
      </c>
      <c r="F146" s="5">
        <f>IFERROR(IF(OR($B146="",COUNTIFS(데이터!$A$2:$A$20000,$A146,데이터!$E$2:$E$20000,설정!$B$5)=0),"",$B146/SUMIFS(데이터!$C$2:$C$20000,데이터!$A$2:$A$20000,$A146,데이터!$E$2:$E$20000,설정!$B$5)-1),"")</f>
        <v/>
      </c>
      <c r="G146" s="5">
        <f>IFERROR(IF(OR($B146="",COUNTIFS(데이터!$A$2:$A$20000,$A146,데이터!$E$2:$E$20000,설정!$B$6)=0),"",$B146/SUMIFS(데이터!$C$2:$C$20000,데이터!$A$2:$A$20000,$A146,데이터!$E$2:$E$20000,설정!$B$6)-1),"")</f>
        <v/>
      </c>
      <c r="H146" s="5">
        <f>IFERROR(IF(OR($B146="",COUNTIFS(데이터!$A$2:$A$20000,$A146,데이터!$E$2:$E$20000,설정!$B$7)=0),"",$B146/SUMIFS(데이터!$C$2:$C$20000,데이터!$A$2:$A$20000,$A146,데이터!$E$2:$E$20000,설정!$B$7)-1),"")</f>
        <v/>
      </c>
      <c r="J146">
        <f>IF(C146="","",C146+ROW()*0.000000001)</f>
        <v/>
      </c>
      <c r="K146">
        <f>IF(D146="","",D146+ROW()*0.000000001)</f>
        <v/>
      </c>
      <c r="L146">
        <f>IF(E146="","",E146+ROW()*0.000000001)</f>
        <v/>
      </c>
      <c r="M146">
        <f>IF(F146="","",F146+ROW()*0.000000001)</f>
        <v/>
      </c>
      <c r="N146">
        <f>IF(G146="","",G146+ROW()*0.000000001)</f>
        <v/>
      </c>
      <c r="O146">
        <f>IF(H146="","",H146+ROW()*0.000000001)</f>
        <v/>
      </c>
    </row>
    <row r="147">
      <c r="B147" s="4">
        <f>IF($A147="","",IF(COUNTIFS(데이터!$A$2:$A$20000,$A147,데이터!$E$2:$E$20000,1)=0,"",SUMIFS(데이터!$C$2:$C$20000,데이터!$A$2:$A$20000,$A147,데이터!$E$2:$E$20000,1)))</f>
        <v/>
      </c>
      <c r="C147" s="5">
        <f>IFERROR(IF(OR($B147="",COUNTIFS(데이터!$A$2:$A$20000,$A147,데이터!$E$2:$E$20000,설정!$B$2)=0),"",$B147/SUMIFS(데이터!$C$2:$C$20000,데이터!$A$2:$A$20000,$A147,데이터!$E$2:$E$20000,설정!$B$2)-1),"")</f>
        <v/>
      </c>
      <c r="D147" s="5">
        <f>IFERROR(IF(OR($B147="",COUNTIFS(데이터!$A$2:$A$20000,$A147,데이터!$E$2:$E$20000,설정!$B$3)=0),"",$B147/SUMIFS(데이터!$C$2:$C$20000,데이터!$A$2:$A$20000,$A147,데이터!$E$2:$E$20000,설정!$B$3)-1),"")</f>
        <v/>
      </c>
      <c r="E147" s="5">
        <f>IFERROR(IF(OR($B147="",COUNTIFS(데이터!$A$2:$A$20000,$A147,데이터!$E$2:$E$20000,설정!$B$4)=0),"",$B147/SUMIFS(데이터!$C$2:$C$20000,데이터!$A$2:$A$20000,$A147,데이터!$E$2:$E$20000,설정!$B$4)-1),"")</f>
        <v/>
      </c>
      <c r="F147" s="5">
        <f>IFERROR(IF(OR($B147="",COUNTIFS(데이터!$A$2:$A$20000,$A147,데이터!$E$2:$E$20000,설정!$B$5)=0),"",$B147/SUMIFS(데이터!$C$2:$C$20000,데이터!$A$2:$A$20000,$A147,데이터!$E$2:$E$20000,설정!$B$5)-1),"")</f>
        <v/>
      </c>
      <c r="G147" s="5">
        <f>IFERROR(IF(OR($B147="",COUNTIFS(데이터!$A$2:$A$20000,$A147,데이터!$E$2:$E$20000,설정!$B$6)=0),"",$B147/SUMIFS(데이터!$C$2:$C$20000,데이터!$A$2:$A$20000,$A147,데이터!$E$2:$E$20000,설정!$B$6)-1),"")</f>
        <v/>
      </c>
      <c r="H147" s="5">
        <f>IFERROR(IF(OR($B147="",COUNTIFS(데이터!$A$2:$A$20000,$A147,데이터!$E$2:$E$20000,설정!$B$7)=0),"",$B147/SUMIFS(데이터!$C$2:$C$20000,데이터!$A$2:$A$20000,$A147,데이터!$E$2:$E$20000,설정!$B$7)-1),"")</f>
        <v/>
      </c>
      <c r="J147">
        <f>IF(C147="","",C147+ROW()*0.000000001)</f>
        <v/>
      </c>
      <c r="K147">
        <f>IF(D147="","",D147+ROW()*0.000000001)</f>
        <v/>
      </c>
      <c r="L147">
        <f>IF(E147="","",E147+ROW()*0.000000001)</f>
        <v/>
      </c>
      <c r="M147">
        <f>IF(F147="","",F147+ROW()*0.000000001)</f>
        <v/>
      </c>
      <c r="N147">
        <f>IF(G147="","",G147+ROW()*0.000000001)</f>
        <v/>
      </c>
      <c r="O147">
        <f>IF(H147="","",H147+ROW()*0.000000001)</f>
        <v/>
      </c>
    </row>
    <row r="148">
      <c r="B148" s="4">
        <f>IF($A148="","",IF(COUNTIFS(데이터!$A$2:$A$20000,$A148,데이터!$E$2:$E$20000,1)=0,"",SUMIFS(데이터!$C$2:$C$20000,데이터!$A$2:$A$20000,$A148,데이터!$E$2:$E$20000,1)))</f>
        <v/>
      </c>
      <c r="C148" s="5">
        <f>IFERROR(IF(OR($B148="",COUNTIFS(데이터!$A$2:$A$20000,$A148,데이터!$E$2:$E$20000,설정!$B$2)=0),"",$B148/SUMIFS(데이터!$C$2:$C$20000,데이터!$A$2:$A$20000,$A148,데이터!$E$2:$E$20000,설정!$B$2)-1),"")</f>
        <v/>
      </c>
      <c r="D148" s="5">
        <f>IFERROR(IF(OR($B148="",COUNTIFS(데이터!$A$2:$A$20000,$A148,데이터!$E$2:$E$20000,설정!$B$3)=0),"",$B148/SUMIFS(데이터!$C$2:$C$20000,데이터!$A$2:$A$20000,$A148,데이터!$E$2:$E$20000,설정!$B$3)-1),"")</f>
        <v/>
      </c>
      <c r="E148" s="5">
        <f>IFERROR(IF(OR($B148="",COUNTIFS(데이터!$A$2:$A$20000,$A148,데이터!$E$2:$E$20000,설정!$B$4)=0),"",$B148/SUMIFS(데이터!$C$2:$C$20000,데이터!$A$2:$A$20000,$A148,데이터!$E$2:$E$20000,설정!$B$4)-1),"")</f>
        <v/>
      </c>
      <c r="F148" s="5">
        <f>IFERROR(IF(OR($B148="",COUNTIFS(데이터!$A$2:$A$20000,$A148,데이터!$E$2:$E$20000,설정!$B$5)=0),"",$B148/SUMIFS(데이터!$C$2:$C$20000,데이터!$A$2:$A$20000,$A148,데이터!$E$2:$E$20000,설정!$B$5)-1),"")</f>
        <v/>
      </c>
      <c r="G148" s="5">
        <f>IFERROR(IF(OR($B148="",COUNTIFS(데이터!$A$2:$A$20000,$A148,데이터!$E$2:$E$20000,설정!$B$6)=0),"",$B148/SUMIFS(데이터!$C$2:$C$20000,데이터!$A$2:$A$20000,$A148,데이터!$E$2:$E$20000,설정!$B$6)-1),"")</f>
        <v/>
      </c>
      <c r="H148" s="5">
        <f>IFERROR(IF(OR($B148="",COUNTIFS(데이터!$A$2:$A$20000,$A148,데이터!$E$2:$E$20000,설정!$B$7)=0),"",$B148/SUMIFS(데이터!$C$2:$C$20000,데이터!$A$2:$A$20000,$A148,데이터!$E$2:$E$20000,설정!$B$7)-1),"")</f>
        <v/>
      </c>
      <c r="J148">
        <f>IF(C148="","",C148+ROW()*0.000000001)</f>
        <v/>
      </c>
      <c r="K148">
        <f>IF(D148="","",D148+ROW()*0.000000001)</f>
        <v/>
      </c>
      <c r="L148">
        <f>IF(E148="","",E148+ROW()*0.000000001)</f>
        <v/>
      </c>
      <c r="M148">
        <f>IF(F148="","",F148+ROW()*0.000000001)</f>
        <v/>
      </c>
      <c r="N148">
        <f>IF(G148="","",G148+ROW()*0.000000001)</f>
        <v/>
      </c>
      <c r="O148">
        <f>IF(H148="","",H148+ROW()*0.000000001)</f>
        <v/>
      </c>
    </row>
    <row r="149">
      <c r="B149" s="4">
        <f>IF($A149="","",IF(COUNTIFS(데이터!$A$2:$A$20000,$A149,데이터!$E$2:$E$20000,1)=0,"",SUMIFS(데이터!$C$2:$C$20000,데이터!$A$2:$A$20000,$A149,데이터!$E$2:$E$20000,1)))</f>
        <v/>
      </c>
      <c r="C149" s="5">
        <f>IFERROR(IF(OR($B149="",COUNTIFS(데이터!$A$2:$A$20000,$A149,데이터!$E$2:$E$20000,설정!$B$2)=0),"",$B149/SUMIFS(데이터!$C$2:$C$20000,데이터!$A$2:$A$20000,$A149,데이터!$E$2:$E$20000,설정!$B$2)-1),"")</f>
        <v/>
      </c>
      <c r="D149" s="5">
        <f>IFERROR(IF(OR($B149="",COUNTIFS(데이터!$A$2:$A$20000,$A149,데이터!$E$2:$E$20000,설정!$B$3)=0),"",$B149/SUMIFS(데이터!$C$2:$C$20000,데이터!$A$2:$A$20000,$A149,데이터!$E$2:$E$20000,설정!$B$3)-1),"")</f>
        <v/>
      </c>
      <c r="E149" s="5">
        <f>IFERROR(IF(OR($B149="",COUNTIFS(데이터!$A$2:$A$20000,$A149,데이터!$E$2:$E$20000,설정!$B$4)=0),"",$B149/SUMIFS(데이터!$C$2:$C$20000,데이터!$A$2:$A$20000,$A149,데이터!$E$2:$E$20000,설정!$B$4)-1),"")</f>
        <v/>
      </c>
      <c r="F149" s="5">
        <f>IFERROR(IF(OR($B149="",COUNTIFS(데이터!$A$2:$A$20000,$A149,데이터!$E$2:$E$20000,설정!$B$5)=0),"",$B149/SUMIFS(데이터!$C$2:$C$20000,데이터!$A$2:$A$20000,$A149,데이터!$E$2:$E$20000,설정!$B$5)-1),"")</f>
        <v/>
      </c>
      <c r="G149" s="5">
        <f>IFERROR(IF(OR($B149="",COUNTIFS(데이터!$A$2:$A$20000,$A149,데이터!$E$2:$E$20000,설정!$B$6)=0),"",$B149/SUMIFS(데이터!$C$2:$C$20000,데이터!$A$2:$A$20000,$A149,데이터!$E$2:$E$20000,설정!$B$6)-1),"")</f>
        <v/>
      </c>
      <c r="H149" s="5">
        <f>IFERROR(IF(OR($B149="",COUNTIFS(데이터!$A$2:$A$20000,$A149,데이터!$E$2:$E$20000,설정!$B$7)=0),"",$B149/SUMIFS(데이터!$C$2:$C$20000,데이터!$A$2:$A$20000,$A149,데이터!$E$2:$E$20000,설정!$B$7)-1),"")</f>
        <v/>
      </c>
      <c r="J149">
        <f>IF(C149="","",C149+ROW()*0.000000001)</f>
        <v/>
      </c>
      <c r="K149">
        <f>IF(D149="","",D149+ROW()*0.000000001)</f>
        <v/>
      </c>
      <c r="L149">
        <f>IF(E149="","",E149+ROW()*0.000000001)</f>
        <v/>
      </c>
      <c r="M149">
        <f>IF(F149="","",F149+ROW()*0.000000001)</f>
        <v/>
      </c>
      <c r="N149">
        <f>IF(G149="","",G149+ROW()*0.000000001)</f>
        <v/>
      </c>
      <c r="O149">
        <f>IF(H149="","",H149+ROW()*0.000000001)</f>
        <v/>
      </c>
    </row>
    <row r="150">
      <c r="B150" s="4">
        <f>IF($A150="","",IF(COUNTIFS(데이터!$A$2:$A$20000,$A150,데이터!$E$2:$E$20000,1)=0,"",SUMIFS(데이터!$C$2:$C$20000,데이터!$A$2:$A$20000,$A150,데이터!$E$2:$E$20000,1)))</f>
        <v/>
      </c>
      <c r="C150" s="5">
        <f>IFERROR(IF(OR($B150="",COUNTIFS(데이터!$A$2:$A$20000,$A150,데이터!$E$2:$E$20000,설정!$B$2)=0),"",$B150/SUMIFS(데이터!$C$2:$C$20000,데이터!$A$2:$A$20000,$A150,데이터!$E$2:$E$20000,설정!$B$2)-1),"")</f>
        <v/>
      </c>
      <c r="D150" s="5">
        <f>IFERROR(IF(OR($B150="",COUNTIFS(데이터!$A$2:$A$20000,$A150,데이터!$E$2:$E$20000,설정!$B$3)=0),"",$B150/SUMIFS(데이터!$C$2:$C$20000,데이터!$A$2:$A$20000,$A150,데이터!$E$2:$E$20000,설정!$B$3)-1),"")</f>
        <v/>
      </c>
      <c r="E150" s="5">
        <f>IFERROR(IF(OR($B150="",COUNTIFS(데이터!$A$2:$A$20000,$A150,데이터!$E$2:$E$20000,설정!$B$4)=0),"",$B150/SUMIFS(데이터!$C$2:$C$20000,데이터!$A$2:$A$20000,$A150,데이터!$E$2:$E$20000,설정!$B$4)-1),"")</f>
        <v/>
      </c>
      <c r="F150" s="5">
        <f>IFERROR(IF(OR($B150="",COUNTIFS(데이터!$A$2:$A$20000,$A150,데이터!$E$2:$E$20000,설정!$B$5)=0),"",$B150/SUMIFS(데이터!$C$2:$C$20000,데이터!$A$2:$A$20000,$A150,데이터!$E$2:$E$20000,설정!$B$5)-1),"")</f>
        <v/>
      </c>
      <c r="G150" s="5">
        <f>IFERROR(IF(OR($B150="",COUNTIFS(데이터!$A$2:$A$20000,$A150,데이터!$E$2:$E$20000,설정!$B$6)=0),"",$B150/SUMIFS(데이터!$C$2:$C$20000,데이터!$A$2:$A$20000,$A150,데이터!$E$2:$E$20000,설정!$B$6)-1),"")</f>
        <v/>
      </c>
      <c r="H150" s="5">
        <f>IFERROR(IF(OR($B150="",COUNTIFS(데이터!$A$2:$A$20000,$A150,데이터!$E$2:$E$20000,설정!$B$7)=0),"",$B150/SUMIFS(데이터!$C$2:$C$20000,데이터!$A$2:$A$20000,$A150,데이터!$E$2:$E$20000,설정!$B$7)-1),"")</f>
        <v/>
      </c>
      <c r="J150">
        <f>IF(C150="","",C150+ROW()*0.000000001)</f>
        <v/>
      </c>
      <c r="K150">
        <f>IF(D150="","",D150+ROW()*0.000000001)</f>
        <v/>
      </c>
      <c r="L150">
        <f>IF(E150="","",E150+ROW()*0.000000001)</f>
        <v/>
      </c>
      <c r="M150">
        <f>IF(F150="","",F150+ROW()*0.000000001)</f>
        <v/>
      </c>
      <c r="N150">
        <f>IF(G150="","",G150+ROW()*0.000000001)</f>
        <v/>
      </c>
      <c r="O150">
        <f>IF(H150="","",H150+ROW()*0.000000001)</f>
        <v/>
      </c>
    </row>
    <row r="151">
      <c r="B151" s="4">
        <f>IF($A151="","",IF(COUNTIFS(데이터!$A$2:$A$20000,$A151,데이터!$E$2:$E$20000,1)=0,"",SUMIFS(데이터!$C$2:$C$20000,데이터!$A$2:$A$20000,$A151,데이터!$E$2:$E$20000,1)))</f>
        <v/>
      </c>
      <c r="C151" s="5">
        <f>IFERROR(IF(OR($B151="",COUNTIFS(데이터!$A$2:$A$20000,$A151,데이터!$E$2:$E$20000,설정!$B$2)=0),"",$B151/SUMIFS(데이터!$C$2:$C$20000,데이터!$A$2:$A$20000,$A151,데이터!$E$2:$E$20000,설정!$B$2)-1),"")</f>
        <v/>
      </c>
      <c r="D151" s="5">
        <f>IFERROR(IF(OR($B151="",COUNTIFS(데이터!$A$2:$A$20000,$A151,데이터!$E$2:$E$20000,설정!$B$3)=0),"",$B151/SUMIFS(데이터!$C$2:$C$20000,데이터!$A$2:$A$20000,$A151,데이터!$E$2:$E$20000,설정!$B$3)-1),"")</f>
        <v/>
      </c>
      <c r="E151" s="5">
        <f>IFERROR(IF(OR($B151="",COUNTIFS(데이터!$A$2:$A$20000,$A151,데이터!$E$2:$E$20000,설정!$B$4)=0),"",$B151/SUMIFS(데이터!$C$2:$C$20000,데이터!$A$2:$A$20000,$A151,데이터!$E$2:$E$20000,설정!$B$4)-1),"")</f>
        <v/>
      </c>
      <c r="F151" s="5">
        <f>IFERROR(IF(OR($B151="",COUNTIFS(데이터!$A$2:$A$20000,$A151,데이터!$E$2:$E$20000,설정!$B$5)=0),"",$B151/SUMIFS(데이터!$C$2:$C$20000,데이터!$A$2:$A$20000,$A151,데이터!$E$2:$E$20000,설정!$B$5)-1),"")</f>
        <v/>
      </c>
      <c r="G151" s="5">
        <f>IFERROR(IF(OR($B151="",COUNTIFS(데이터!$A$2:$A$20000,$A151,데이터!$E$2:$E$20000,설정!$B$6)=0),"",$B151/SUMIFS(데이터!$C$2:$C$20000,데이터!$A$2:$A$20000,$A151,데이터!$E$2:$E$20000,설정!$B$6)-1),"")</f>
        <v/>
      </c>
      <c r="H151" s="5">
        <f>IFERROR(IF(OR($B151="",COUNTIFS(데이터!$A$2:$A$20000,$A151,데이터!$E$2:$E$20000,설정!$B$7)=0),"",$B151/SUMIFS(데이터!$C$2:$C$20000,데이터!$A$2:$A$20000,$A151,데이터!$E$2:$E$20000,설정!$B$7)-1),"")</f>
        <v/>
      </c>
      <c r="J151">
        <f>IF(C151="","",C151+ROW()*0.000000001)</f>
        <v/>
      </c>
      <c r="K151">
        <f>IF(D151="","",D151+ROW()*0.000000001)</f>
        <v/>
      </c>
      <c r="L151">
        <f>IF(E151="","",E151+ROW()*0.000000001)</f>
        <v/>
      </c>
      <c r="M151">
        <f>IF(F151="","",F151+ROW()*0.000000001)</f>
        <v/>
      </c>
      <c r="N151">
        <f>IF(G151="","",G151+ROW()*0.000000001)</f>
        <v/>
      </c>
      <c r="O151">
        <f>IF(H151="","",H151+ROW()*0.000000001)</f>
        <v/>
      </c>
    </row>
    <row r="152">
      <c r="B152" s="4">
        <f>IF($A152="","",IF(COUNTIFS(데이터!$A$2:$A$20000,$A152,데이터!$E$2:$E$20000,1)=0,"",SUMIFS(데이터!$C$2:$C$20000,데이터!$A$2:$A$20000,$A152,데이터!$E$2:$E$20000,1)))</f>
        <v/>
      </c>
      <c r="C152" s="5">
        <f>IFERROR(IF(OR($B152="",COUNTIFS(데이터!$A$2:$A$20000,$A152,데이터!$E$2:$E$20000,설정!$B$2)=0),"",$B152/SUMIFS(데이터!$C$2:$C$20000,데이터!$A$2:$A$20000,$A152,데이터!$E$2:$E$20000,설정!$B$2)-1),"")</f>
        <v/>
      </c>
      <c r="D152" s="5">
        <f>IFERROR(IF(OR($B152="",COUNTIFS(데이터!$A$2:$A$20000,$A152,데이터!$E$2:$E$20000,설정!$B$3)=0),"",$B152/SUMIFS(데이터!$C$2:$C$20000,데이터!$A$2:$A$20000,$A152,데이터!$E$2:$E$20000,설정!$B$3)-1),"")</f>
        <v/>
      </c>
      <c r="E152" s="5">
        <f>IFERROR(IF(OR($B152="",COUNTIFS(데이터!$A$2:$A$20000,$A152,데이터!$E$2:$E$20000,설정!$B$4)=0),"",$B152/SUMIFS(데이터!$C$2:$C$20000,데이터!$A$2:$A$20000,$A152,데이터!$E$2:$E$20000,설정!$B$4)-1),"")</f>
        <v/>
      </c>
      <c r="F152" s="5">
        <f>IFERROR(IF(OR($B152="",COUNTIFS(데이터!$A$2:$A$20000,$A152,데이터!$E$2:$E$20000,설정!$B$5)=0),"",$B152/SUMIFS(데이터!$C$2:$C$20000,데이터!$A$2:$A$20000,$A152,데이터!$E$2:$E$20000,설정!$B$5)-1),"")</f>
        <v/>
      </c>
      <c r="G152" s="5">
        <f>IFERROR(IF(OR($B152="",COUNTIFS(데이터!$A$2:$A$20000,$A152,데이터!$E$2:$E$20000,설정!$B$6)=0),"",$B152/SUMIFS(데이터!$C$2:$C$20000,데이터!$A$2:$A$20000,$A152,데이터!$E$2:$E$20000,설정!$B$6)-1),"")</f>
        <v/>
      </c>
      <c r="H152" s="5">
        <f>IFERROR(IF(OR($B152="",COUNTIFS(데이터!$A$2:$A$20000,$A152,데이터!$E$2:$E$20000,설정!$B$7)=0),"",$B152/SUMIFS(데이터!$C$2:$C$20000,데이터!$A$2:$A$20000,$A152,데이터!$E$2:$E$20000,설정!$B$7)-1),"")</f>
        <v/>
      </c>
      <c r="J152">
        <f>IF(C152="","",C152+ROW()*0.000000001)</f>
        <v/>
      </c>
      <c r="K152">
        <f>IF(D152="","",D152+ROW()*0.000000001)</f>
        <v/>
      </c>
      <c r="L152">
        <f>IF(E152="","",E152+ROW()*0.000000001)</f>
        <v/>
      </c>
      <c r="M152">
        <f>IF(F152="","",F152+ROW()*0.000000001)</f>
        <v/>
      </c>
      <c r="N152">
        <f>IF(G152="","",G152+ROW()*0.000000001)</f>
        <v/>
      </c>
      <c r="O152">
        <f>IF(H152="","",H152+ROW()*0.000000001)</f>
        <v/>
      </c>
    </row>
    <row r="153">
      <c r="B153" s="4">
        <f>IF($A153="","",IF(COUNTIFS(데이터!$A$2:$A$20000,$A153,데이터!$E$2:$E$20000,1)=0,"",SUMIFS(데이터!$C$2:$C$20000,데이터!$A$2:$A$20000,$A153,데이터!$E$2:$E$20000,1)))</f>
        <v/>
      </c>
      <c r="C153" s="5">
        <f>IFERROR(IF(OR($B153="",COUNTIFS(데이터!$A$2:$A$20000,$A153,데이터!$E$2:$E$20000,설정!$B$2)=0),"",$B153/SUMIFS(데이터!$C$2:$C$20000,데이터!$A$2:$A$20000,$A153,데이터!$E$2:$E$20000,설정!$B$2)-1),"")</f>
        <v/>
      </c>
      <c r="D153" s="5">
        <f>IFERROR(IF(OR($B153="",COUNTIFS(데이터!$A$2:$A$20000,$A153,데이터!$E$2:$E$20000,설정!$B$3)=0),"",$B153/SUMIFS(데이터!$C$2:$C$20000,데이터!$A$2:$A$20000,$A153,데이터!$E$2:$E$20000,설정!$B$3)-1),"")</f>
        <v/>
      </c>
      <c r="E153" s="5">
        <f>IFERROR(IF(OR($B153="",COUNTIFS(데이터!$A$2:$A$20000,$A153,데이터!$E$2:$E$20000,설정!$B$4)=0),"",$B153/SUMIFS(데이터!$C$2:$C$20000,데이터!$A$2:$A$20000,$A153,데이터!$E$2:$E$20000,설정!$B$4)-1),"")</f>
        <v/>
      </c>
      <c r="F153" s="5">
        <f>IFERROR(IF(OR($B153="",COUNTIFS(데이터!$A$2:$A$20000,$A153,데이터!$E$2:$E$20000,설정!$B$5)=0),"",$B153/SUMIFS(데이터!$C$2:$C$20000,데이터!$A$2:$A$20000,$A153,데이터!$E$2:$E$20000,설정!$B$5)-1),"")</f>
        <v/>
      </c>
      <c r="G153" s="5">
        <f>IFERROR(IF(OR($B153="",COUNTIFS(데이터!$A$2:$A$20000,$A153,데이터!$E$2:$E$20000,설정!$B$6)=0),"",$B153/SUMIFS(데이터!$C$2:$C$20000,데이터!$A$2:$A$20000,$A153,데이터!$E$2:$E$20000,설정!$B$6)-1),"")</f>
        <v/>
      </c>
      <c r="H153" s="5">
        <f>IFERROR(IF(OR($B153="",COUNTIFS(데이터!$A$2:$A$20000,$A153,데이터!$E$2:$E$20000,설정!$B$7)=0),"",$B153/SUMIFS(데이터!$C$2:$C$20000,데이터!$A$2:$A$20000,$A153,데이터!$E$2:$E$20000,설정!$B$7)-1),"")</f>
        <v/>
      </c>
      <c r="J153">
        <f>IF(C153="","",C153+ROW()*0.000000001)</f>
        <v/>
      </c>
      <c r="K153">
        <f>IF(D153="","",D153+ROW()*0.000000001)</f>
        <v/>
      </c>
      <c r="L153">
        <f>IF(E153="","",E153+ROW()*0.000000001)</f>
        <v/>
      </c>
      <c r="M153">
        <f>IF(F153="","",F153+ROW()*0.000000001)</f>
        <v/>
      </c>
      <c r="N153">
        <f>IF(G153="","",G153+ROW()*0.000000001)</f>
        <v/>
      </c>
      <c r="O153">
        <f>IF(H153="","",H153+ROW()*0.000000001)</f>
        <v/>
      </c>
    </row>
    <row r="154">
      <c r="B154" s="4">
        <f>IF($A154="","",IF(COUNTIFS(데이터!$A$2:$A$20000,$A154,데이터!$E$2:$E$20000,1)=0,"",SUMIFS(데이터!$C$2:$C$20000,데이터!$A$2:$A$20000,$A154,데이터!$E$2:$E$20000,1)))</f>
        <v/>
      </c>
      <c r="C154" s="5">
        <f>IFERROR(IF(OR($B154="",COUNTIFS(데이터!$A$2:$A$20000,$A154,데이터!$E$2:$E$20000,설정!$B$2)=0),"",$B154/SUMIFS(데이터!$C$2:$C$20000,데이터!$A$2:$A$20000,$A154,데이터!$E$2:$E$20000,설정!$B$2)-1),"")</f>
        <v/>
      </c>
      <c r="D154" s="5">
        <f>IFERROR(IF(OR($B154="",COUNTIFS(데이터!$A$2:$A$20000,$A154,데이터!$E$2:$E$20000,설정!$B$3)=0),"",$B154/SUMIFS(데이터!$C$2:$C$20000,데이터!$A$2:$A$20000,$A154,데이터!$E$2:$E$20000,설정!$B$3)-1),"")</f>
        <v/>
      </c>
      <c r="E154" s="5">
        <f>IFERROR(IF(OR($B154="",COUNTIFS(데이터!$A$2:$A$20000,$A154,데이터!$E$2:$E$20000,설정!$B$4)=0),"",$B154/SUMIFS(데이터!$C$2:$C$20000,데이터!$A$2:$A$20000,$A154,데이터!$E$2:$E$20000,설정!$B$4)-1),"")</f>
        <v/>
      </c>
      <c r="F154" s="5">
        <f>IFERROR(IF(OR($B154="",COUNTIFS(데이터!$A$2:$A$20000,$A154,데이터!$E$2:$E$20000,설정!$B$5)=0),"",$B154/SUMIFS(데이터!$C$2:$C$20000,데이터!$A$2:$A$20000,$A154,데이터!$E$2:$E$20000,설정!$B$5)-1),"")</f>
        <v/>
      </c>
      <c r="G154" s="5">
        <f>IFERROR(IF(OR($B154="",COUNTIFS(데이터!$A$2:$A$20000,$A154,데이터!$E$2:$E$20000,설정!$B$6)=0),"",$B154/SUMIFS(데이터!$C$2:$C$20000,데이터!$A$2:$A$20000,$A154,데이터!$E$2:$E$20000,설정!$B$6)-1),"")</f>
        <v/>
      </c>
      <c r="H154" s="5">
        <f>IFERROR(IF(OR($B154="",COUNTIFS(데이터!$A$2:$A$20000,$A154,데이터!$E$2:$E$20000,설정!$B$7)=0),"",$B154/SUMIFS(데이터!$C$2:$C$20000,데이터!$A$2:$A$20000,$A154,데이터!$E$2:$E$20000,설정!$B$7)-1),"")</f>
        <v/>
      </c>
      <c r="J154">
        <f>IF(C154="","",C154+ROW()*0.000000001)</f>
        <v/>
      </c>
      <c r="K154">
        <f>IF(D154="","",D154+ROW()*0.000000001)</f>
        <v/>
      </c>
      <c r="L154">
        <f>IF(E154="","",E154+ROW()*0.000000001)</f>
        <v/>
      </c>
      <c r="M154">
        <f>IF(F154="","",F154+ROW()*0.000000001)</f>
        <v/>
      </c>
      <c r="N154">
        <f>IF(G154="","",G154+ROW()*0.000000001)</f>
        <v/>
      </c>
      <c r="O154">
        <f>IF(H154="","",H154+ROW()*0.000000001)</f>
        <v/>
      </c>
    </row>
    <row r="155">
      <c r="B155" s="4">
        <f>IF($A155="","",IF(COUNTIFS(데이터!$A$2:$A$20000,$A155,데이터!$E$2:$E$20000,1)=0,"",SUMIFS(데이터!$C$2:$C$20000,데이터!$A$2:$A$20000,$A155,데이터!$E$2:$E$20000,1)))</f>
        <v/>
      </c>
      <c r="C155" s="5">
        <f>IFERROR(IF(OR($B155="",COUNTIFS(데이터!$A$2:$A$20000,$A155,데이터!$E$2:$E$20000,설정!$B$2)=0),"",$B155/SUMIFS(데이터!$C$2:$C$20000,데이터!$A$2:$A$20000,$A155,데이터!$E$2:$E$20000,설정!$B$2)-1),"")</f>
        <v/>
      </c>
      <c r="D155" s="5">
        <f>IFERROR(IF(OR($B155="",COUNTIFS(데이터!$A$2:$A$20000,$A155,데이터!$E$2:$E$20000,설정!$B$3)=0),"",$B155/SUMIFS(데이터!$C$2:$C$20000,데이터!$A$2:$A$20000,$A155,데이터!$E$2:$E$20000,설정!$B$3)-1),"")</f>
        <v/>
      </c>
      <c r="E155" s="5">
        <f>IFERROR(IF(OR($B155="",COUNTIFS(데이터!$A$2:$A$20000,$A155,데이터!$E$2:$E$20000,설정!$B$4)=0),"",$B155/SUMIFS(데이터!$C$2:$C$20000,데이터!$A$2:$A$20000,$A155,데이터!$E$2:$E$20000,설정!$B$4)-1),"")</f>
        <v/>
      </c>
      <c r="F155" s="5">
        <f>IFERROR(IF(OR($B155="",COUNTIFS(데이터!$A$2:$A$20000,$A155,데이터!$E$2:$E$20000,설정!$B$5)=0),"",$B155/SUMIFS(데이터!$C$2:$C$20000,데이터!$A$2:$A$20000,$A155,데이터!$E$2:$E$20000,설정!$B$5)-1),"")</f>
        <v/>
      </c>
      <c r="G155" s="5">
        <f>IFERROR(IF(OR($B155="",COUNTIFS(데이터!$A$2:$A$20000,$A155,데이터!$E$2:$E$20000,설정!$B$6)=0),"",$B155/SUMIFS(데이터!$C$2:$C$20000,데이터!$A$2:$A$20000,$A155,데이터!$E$2:$E$20000,설정!$B$6)-1),"")</f>
        <v/>
      </c>
      <c r="H155" s="5">
        <f>IFERROR(IF(OR($B155="",COUNTIFS(데이터!$A$2:$A$20000,$A155,데이터!$E$2:$E$20000,설정!$B$7)=0),"",$B155/SUMIFS(데이터!$C$2:$C$20000,데이터!$A$2:$A$20000,$A155,데이터!$E$2:$E$20000,설정!$B$7)-1),"")</f>
        <v/>
      </c>
      <c r="J155">
        <f>IF(C155="","",C155+ROW()*0.000000001)</f>
        <v/>
      </c>
      <c r="K155">
        <f>IF(D155="","",D155+ROW()*0.000000001)</f>
        <v/>
      </c>
      <c r="L155">
        <f>IF(E155="","",E155+ROW()*0.000000001)</f>
        <v/>
      </c>
      <c r="M155">
        <f>IF(F155="","",F155+ROW()*0.000000001)</f>
        <v/>
      </c>
      <c r="N155">
        <f>IF(G155="","",G155+ROW()*0.000000001)</f>
        <v/>
      </c>
      <c r="O155">
        <f>IF(H155="","",H155+ROW()*0.000000001)</f>
        <v/>
      </c>
    </row>
    <row r="156">
      <c r="B156" s="4">
        <f>IF($A156="","",IF(COUNTIFS(데이터!$A$2:$A$20000,$A156,데이터!$E$2:$E$20000,1)=0,"",SUMIFS(데이터!$C$2:$C$20000,데이터!$A$2:$A$20000,$A156,데이터!$E$2:$E$20000,1)))</f>
        <v/>
      </c>
      <c r="C156" s="5">
        <f>IFERROR(IF(OR($B156="",COUNTIFS(데이터!$A$2:$A$20000,$A156,데이터!$E$2:$E$20000,설정!$B$2)=0),"",$B156/SUMIFS(데이터!$C$2:$C$20000,데이터!$A$2:$A$20000,$A156,데이터!$E$2:$E$20000,설정!$B$2)-1),"")</f>
        <v/>
      </c>
      <c r="D156" s="5">
        <f>IFERROR(IF(OR($B156="",COUNTIFS(데이터!$A$2:$A$20000,$A156,데이터!$E$2:$E$20000,설정!$B$3)=0),"",$B156/SUMIFS(데이터!$C$2:$C$20000,데이터!$A$2:$A$20000,$A156,데이터!$E$2:$E$20000,설정!$B$3)-1),"")</f>
        <v/>
      </c>
      <c r="E156" s="5">
        <f>IFERROR(IF(OR($B156="",COUNTIFS(데이터!$A$2:$A$20000,$A156,데이터!$E$2:$E$20000,설정!$B$4)=0),"",$B156/SUMIFS(데이터!$C$2:$C$20000,데이터!$A$2:$A$20000,$A156,데이터!$E$2:$E$20000,설정!$B$4)-1),"")</f>
        <v/>
      </c>
      <c r="F156" s="5">
        <f>IFERROR(IF(OR($B156="",COUNTIFS(데이터!$A$2:$A$20000,$A156,데이터!$E$2:$E$20000,설정!$B$5)=0),"",$B156/SUMIFS(데이터!$C$2:$C$20000,데이터!$A$2:$A$20000,$A156,데이터!$E$2:$E$20000,설정!$B$5)-1),"")</f>
        <v/>
      </c>
      <c r="G156" s="5">
        <f>IFERROR(IF(OR($B156="",COUNTIFS(데이터!$A$2:$A$20000,$A156,데이터!$E$2:$E$20000,설정!$B$6)=0),"",$B156/SUMIFS(데이터!$C$2:$C$20000,데이터!$A$2:$A$20000,$A156,데이터!$E$2:$E$20000,설정!$B$6)-1),"")</f>
        <v/>
      </c>
      <c r="H156" s="5">
        <f>IFERROR(IF(OR($B156="",COUNTIFS(데이터!$A$2:$A$20000,$A156,데이터!$E$2:$E$20000,설정!$B$7)=0),"",$B156/SUMIFS(데이터!$C$2:$C$20000,데이터!$A$2:$A$20000,$A156,데이터!$E$2:$E$20000,설정!$B$7)-1),"")</f>
        <v/>
      </c>
      <c r="J156">
        <f>IF(C156="","",C156+ROW()*0.000000001)</f>
        <v/>
      </c>
      <c r="K156">
        <f>IF(D156="","",D156+ROW()*0.000000001)</f>
        <v/>
      </c>
      <c r="L156">
        <f>IF(E156="","",E156+ROW()*0.000000001)</f>
        <v/>
      </c>
      <c r="M156">
        <f>IF(F156="","",F156+ROW()*0.000000001)</f>
        <v/>
      </c>
      <c r="N156">
        <f>IF(G156="","",G156+ROW()*0.000000001)</f>
        <v/>
      </c>
      <c r="O156">
        <f>IF(H156="","",H156+ROW()*0.000000001)</f>
        <v/>
      </c>
    </row>
    <row r="157">
      <c r="B157" s="4">
        <f>IF($A157="","",IF(COUNTIFS(데이터!$A$2:$A$20000,$A157,데이터!$E$2:$E$20000,1)=0,"",SUMIFS(데이터!$C$2:$C$20000,데이터!$A$2:$A$20000,$A157,데이터!$E$2:$E$20000,1)))</f>
        <v/>
      </c>
      <c r="C157" s="5">
        <f>IFERROR(IF(OR($B157="",COUNTIFS(데이터!$A$2:$A$20000,$A157,데이터!$E$2:$E$20000,설정!$B$2)=0),"",$B157/SUMIFS(데이터!$C$2:$C$20000,데이터!$A$2:$A$20000,$A157,데이터!$E$2:$E$20000,설정!$B$2)-1),"")</f>
        <v/>
      </c>
      <c r="D157" s="5">
        <f>IFERROR(IF(OR($B157="",COUNTIFS(데이터!$A$2:$A$20000,$A157,데이터!$E$2:$E$20000,설정!$B$3)=0),"",$B157/SUMIFS(데이터!$C$2:$C$20000,데이터!$A$2:$A$20000,$A157,데이터!$E$2:$E$20000,설정!$B$3)-1),"")</f>
        <v/>
      </c>
      <c r="E157" s="5">
        <f>IFERROR(IF(OR($B157="",COUNTIFS(데이터!$A$2:$A$20000,$A157,데이터!$E$2:$E$20000,설정!$B$4)=0),"",$B157/SUMIFS(데이터!$C$2:$C$20000,데이터!$A$2:$A$20000,$A157,데이터!$E$2:$E$20000,설정!$B$4)-1),"")</f>
        <v/>
      </c>
      <c r="F157" s="5">
        <f>IFERROR(IF(OR($B157="",COUNTIFS(데이터!$A$2:$A$20000,$A157,데이터!$E$2:$E$20000,설정!$B$5)=0),"",$B157/SUMIFS(데이터!$C$2:$C$20000,데이터!$A$2:$A$20000,$A157,데이터!$E$2:$E$20000,설정!$B$5)-1),"")</f>
        <v/>
      </c>
      <c r="G157" s="5">
        <f>IFERROR(IF(OR($B157="",COUNTIFS(데이터!$A$2:$A$20000,$A157,데이터!$E$2:$E$20000,설정!$B$6)=0),"",$B157/SUMIFS(데이터!$C$2:$C$20000,데이터!$A$2:$A$20000,$A157,데이터!$E$2:$E$20000,설정!$B$6)-1),"")</f>
        <v/>
      </c>
      <c r="H157" s="5">
        <f>IFERROR(IF(OR($B157="",COUNTIFS(데이터!$A$2:$A$20000,$A157,데이터!$E$2:$E$20000,설정!$B$7)=0),"",$B157/SUMIFS(데이터!$C$2:$C$20000,데이터!$A$2:$A$20000,$A157,데이터!$E$2:$E$20000,설정!$B$7)-1),"")</f>
        <v/>
      </c>
      <c r="J157">
        <f>IF(C157="","",C157+ROW()*0.000000001)</f>
        <v/>
      </c>
      <c r="K157">
        <f>IF(D157="","",D157+ROW()*0.000000001)</f>
        <v/>
      </c>
      <c r="L157">
        <f>IF(E157="","",E157+ROW()*0.000000001)</f>
        <v/>
      </c>
      <c r="M157">
        <f>IF(F157="","",F157+ROW()*0.000000001)</f>
        <v/>
      </c>
      <c r="N157">
        <f>IF(G157="","",G157+ROW()*0.000000001)</f>
        <v/>
      </c>
      <c r="O157">
        <f>IF(H157="","",H157+ROW()*0.000000001)</f>
        <v/>
      </c>
    </row>
    <row r="158">
      <c r="B158" s="4">
        <f>IF($A158="","",IF(COUNTIFS(데이터!$A$2:$A$20000,$A158,데이터!$E$2:$E$20000,1)=0,"",SUMIFS(데이터!$C$2:$C$20000,데이터!$A$2:$A$20000,$A158,데이터!$E$2:$E$20000,1)))</f>
        <v/>
      </c>
      <c r="C158" s="5">
        <f>IFERROR(IF(OR($B158="",COUNTIFS(데이터!$A$2:$A$20000,$A158,데이터!$E$2:$E$20000,설정!$B$2)=0),"",$B158/SUMIFS(데이터!$C$2:$C$20000,데이터!$A$2:$A$20000,$A158,데이터!$E$2:$E$20000,설정!$B$2)-1),"")</f>
        <v/>
      </c>
      <c r="D158" s="5">
        <f>IFERROR(IF(OR($B158="",COUNTIFS(데이터!$A$2:$A$20000,$A158,데이터!$E$2:$E$20000,설정!$B$3)=0),"",$B158/SUMIFS(데이터!$C$2:$C$20000,데이터!$A$2:$A$20000,$A158,데이터!$E$2:$E$20000,설정!$B$3)-1),"")</f>
        <v/>
      </c>
      <c r="E158" s="5">
        <f>IFERROR(IF(OR($B158="",COUNTIFS(데이터!$A$2:$A$20000,$A158,데이터!$E$2:$E$20000,설정!$B$4)=0),"",$B158/SUMIFS(데이터!$C$2:$C$20000,데이터!$A$2:$A$20000,$A158,데이터!$E$2:$E$20000,설정!$B$4)-1),"")</f>
        <v/>
      </c>
      <c r="F158" s="5">
        <f>IFERROR(IF(OR($B158="",COUNTIFS(데이터!$A$2:$A$20000,$A158,데이터!$E$2:$E$20000,설정!$B$5)=0),"",$B158/SUMIFS(데이터!$C$2:$C$20000,데이터!$A$2:$A$20000,$A158,데이터!$E$2:$E$20000,설정!$B$5)-1),"")</f>
        <v/>
      </c>
      <c r="G158" s="5">
        <f>IFERROR(IF(OR($B158="",COUNTIFS(데이터!$A$2:$A$20000,$A158,데이터!$E$2:$E$20000,설정!$B$6)=0),"",$B158/SUMIFS(데이터!$C$2:$C$20000,데이터!$A$2:$A$20000,$A158,데이터!$E$2:$E$20000,설정!$B$6)-1),"")</f>
        <v/>
      </c>
      <c r="H158" s="5">
        <f>IFERROR(IF(OR($B158="",COUNTIFS(데이터!$A$2:$A$20000,$A158,데이터!$E$2:$E$20000,설정!$B$7)=0),"",$B158/SUMIFS(데이터!$C$2:$C$20000,데이터!$A$2:$A$20000,$A158,데이터!$E$2:$E$20000,설정!$B$7)-1),"")</f>
        <v/>
      </c>
      <c r="J158">
        <f>IF(C158="","",C158+ROW()*0.000000001)</f>
        <v/>
      </c>
      <c r="K158">
        <f>IF(D158="","",D158+ROW()*0.000000001)</f>
        <v/>
      </c>
      <c r="L158">
        <f>IF(E158="","",E158+ROW()*0.000000001)</f>
        <v/>
      </c>
      <c r="M158">
        <f>IF(F158="","",F158+ROW()*0.000000001)</f>
        <v/>
      </c>
      <c r="N158">
        <f>IF(G158="","",G158+ROW()*0.000000001)</f>
        <v/>
      </c>
      <c r="O158">
        <f>IF(H158="","",H158+ROW()*0.000000001)</f>
        <v/>
      </c>
    </row>
    <row r="159">
      <c r="B159" s="4">
        <f>IF($A159="","",IF(COUNTIFS(데이터!$A$2:$A$20000,$A159,데이터!$E$2:$E$20000,1)=0,"",SUMIFS(데이터!$C$2:$C$20000,데이터!$A$2:$A$20000,$A159,데이터!$E$2:$E$20000,1)))</f>
        <v/>
      </c>
      <c r="C159" s="5">
        <f>IFERROR(IF(OR($B159="",COUNTIFS(데이터!$A$2:$A$20000,$A159,데이터!$E$2:$E$20000,설정!$B$2)=0),"",$B159/SUMIFS(데이터!$C$2:$C$20000,데이터!$A$2:$A$20000,$A159,데이터!$E$2:$E$20000,설정!$B$2)-1),"")</f>
        <v/>
      </c>
      <c r="D159" s="5">
        <f>IFERROR(IF(OR($B159="",COUNTIFS(데이터!$A$2:$A$20000,$A159,데이터!$E$2:$E$20000,설정!$B$3)=0),"",$B159/SUMIFS(데이터!$C$2:$C$20000,데이터!$A$2:$A$20000,$A159,데이터!$E$2:$E$20000,설정!$B$3)-1),"")</f>
        <v/>
      </c>
      <c r="E159" s="5">
        <f>IFERROR(IF(OR($B159="",COUNTIFS(데이터!$A$2:$A$20000,$A159,데이터!$E$2:$E$20000,설정!$B$4)=0),"",$B159/SUMIFS(데이터!$C$2:$C$20000,데이터!$A$2:$A$20000,$A159,데이터!$E$2:$E$20000,설정!$B$4)-1),"")</f>
        <v/>
      </c>
      <c r="F159" s="5">
        <f>IFERROR(IF(OR($B159="",COUNTIFS(데이터!$A$2:$A$20000,$A159,데이터!$E$2:$E$20000,설정!$B$5)=0),"",$B159/SUMIFS(데이터!$C$2:$C$20000,데이터!$A$2:$A$20000,$A159,데이터!$E$2:$E$20000,설정!$B$5)-1),"")</f>
        <v/>
      </c>
      <c r="G159" s="5">
        <f>IFERROR(IF(OR($B159="",COUNTIFS(데이터!$A$2:$A$20000,$A159,데이터!$E$2:$E$20000,설정!$B$6)=0),"",$B159/SUMIFS(데이터!$C$2:$C$20000,데이터!$A$2:$A$20000,$A159,데이터!$E$2:$E$20000,설정!$B$6)-1),"")</f>
        <v/>
      </c>
      <c r="H159" s="5">
        <f>IFERROR(IF(OR($B159="",COUNTIFS(데이터!$A$2:$A$20000,$A159,데이터!$E$2:$E$20000,설정!$B$7)=0),"",$B159/SUMIFS(데이터!$C$2:$C$20000,데이터!$A$2:$A$20000,$A159,데이터!$E$2:$E$20000,설정!$B$7)-1),"")</f>
        <v/>
      </c>
      <c r="J159">
        <f>IF(C159="","",C159+ROW()*0.000000001)</f>
        <v/>
      </c>
      <c r="K159">
        <f>IF(D159="","",D159+ROW()*0.000000001)</f>
        <v/>
      </c>
      <c r="L159">
        <f>IF(E159="","",E159+ROW()*0.000000001)</f>
        <v/>
      </c>
      <c r="M159">
        <f>IF(F159="","",F159+ROW()*0.000000001)</f>
        <v/>
      </c>
      <c r="N159">
        <f>IF(G159="","",G159+ROW()*0.000000001)</f>
        <v/>
      </c>
      <c r="O159">
        <f>IF(H159="","",H159+ROW()*0.000000001)</f>
        <v/>
      </c>
    </row>
    <row r="160">
      <c r="B160" s="4">
        <f>IF($A160="","",IF(COUNTIFS(데이터!$A$2:$A$20000,$A160,데이터!$E$2:$E$20000,1)=0,"",SUMIFS(데이터!$C$2:$C$20000,데이터!$A$2:$A$20000,$A160,데이터!$E$2:$E$20000,1)))</f>
        <v/>
      </c>
      <c r="C160" s="5">
        <f>IFERROR(IF(OR($B160="",COUNTIFS(데이터!$A$2:$A$20000,$A160,데이터!$E$2:$E$20000,설정!$B$2)=0),"",$B160/SUMIFS(데이터!$C$2:$C$20000,데이터!$A$2:$A$20000,$A160,데이터!$E$2:$E$20000,설정!$B$2)-1),"")</f>
        <v/>
      </c>
      <c r="D160" s="5">
        <f>IFERROR(IF(OR($B160="",COUNTIFS(데이터!$A$2:$A$20000,$A160,데이터!$E$2:$E$20000,설정!$B$3)=0),"",$B160/SUMIFS(데이터!$C$2:$C$20000,데이터!$A$2:$A$20000,$A160,데이터!$E$2:$E$20000,설정!$B$3)-1),"")</f>
        <v/>
      </c>
      <c r="E160" s="5">
        <f>IFERROR(IF(OR($B160="",COUNTIFS(데이터!$A$2:$A$20000,$A160,데이터!$E$2:$E$20000,설정!$B$4)=0),"",$B160/SUMIFS(데이터!$C$2:$C$20000,데이터!$A$2:$A$20000,$A160,데이터!$E$2:$E$20000,설정!$B$4)-1),"")</f>
        <v/>
      </c>
      <c r="F160" s="5">
        <f>IFERROR(IF(OR($B160="",COUNTIFS(데이터!$A$2:$A$20000,$A160,데이터!$E$2:$E$20000,설정!$B$5)=0),"",$B160/SUMIFS(데이터!$C$2:$C$20000,데이터!$A$2:$A$20000,$A160,데이터!$E$2:$E$20000,설정!$B$5)-1),"")</f>
        <v/>
      </c>
      <c r="G160" s="5">
        <f>IFERROR(IF(OR($B160="",COUNTIFS(데이터!$A$2:$A$20000,$A160,데이터!$E$2:$E$20000,설정!$B$6)=0),"",$B160/SUMIFS(데이터!$C$2:$C$20000,데이터!$A$2:$A$20000,$A160,데이터!$E$2:$E$20000,설정!$B$6)-1),"")</f>
        <v/>
      </c>
      <c r="H160" s="5">
        <f>IFERROR(IF(OR($B160="",COUNTIFS(데이터!$A$2:$A$20000,$A160,데이터!$E$2:$E$20000,설정!$B$7)=0),"",$B160/SUMIFS(데이터!$C$2:$C$20000,데이터!$A$2:$A$20000,$A160,데이터!$E$2:$E$20000,설정!$B$7)-1),"")</f>
        <v/>
      </c>
      <c r="J160">
        <f>IF(C160="","",C160+ROW()*0.000000001)</f>
        <v/>
      </c>
      <c r="K160">
        <f>IF(D160="","",D160+ROW()*0.000000001)</f>
        <v/>
      </c>
      <c r="L160">
        <f>IF(E160="","",E160+ROW()*0.000000001)</f>
        <v/>
      </c>
      <c r="M160">
        <f>IF(F160="","",F160+ROW()*0.000000001)</f>
        <v/>
      </c>
      <c r="N160">
        <f>IF(G160="","",G160+ROW()*0.000000001)</f>
        <v/>
      </c>
      <c r="O160">
        <f>IF(H160="","",H160+ROW()*0.000000001)</f>
        <v/>
      </c>
    </row>
    <row r="161">
      <c r="B161" s="4">
        <f>IF($A161="","",IF(COUNTIFS(데이터!$A$2:$A$20000,$A161,데이터!$E$2:$E$20000,1)=0,"",SUMIFS(데이터!$C$2:$C$20000,데이터!$A$2:$A$20000,$A161,데이터!$E$2:$E$20000,1)))</f>
        <v/>
      </c>
      <c r="C161" s="5">
        <f>IFERROR(IF(OR($B161="",COUNTIFS(데이터!$A$2:$A$20000,$A161,데이터!$E$2:$E$20000,설정!$B$2)=0),"",$B161/SUMIFS(데이터!$C$2:$C$20000,데이터!$A$2:$A$20000,$A161,데이터!$E$2:$E$20000,설정!$B$2)-1),"")</f>
        <v/>
      </c>
      <c r="D161" s="5">
        <f>IFERROR(IF(OR($B161="",COUNTIFS(데이터!$A$2:$A$20000,$A161,데이터!$E$2:$E$20000,설정!$B$3)=0),"",$B161/SUMIFS(데이터!$C$2:$C$20000,데이터!$A$2:$A$20000,$A161,데이터!$E$2:$E$20000,설정!$B$3)-1),"")</f>
        <v/>
      </c>
      <c r="E161" s="5">
        <f>IFERROR(IF(OR($B161="",COUNTIFS(데이터!$A$2:$A$20000,$A161,데이터!$E$2:$E$20000,설정!$B$4)=0),"",$B161/SUMIFS(데이터!$C$2:$C$20000,데이터!$A$2:$A$20000,$A161,데이터!$E$2:$E$20000,설정!$B$4)-1),"")</f>
        <v/>
      </c>
      <c r="F161" s="5">
        <f>IFERROR(IF(OR($B161="",COUNTIFS(데이터!$A$2:$A$20000,$A161,데이터!$E$2:$E$20000,설정!$B$5)=0),"",$B161/SUMIFS(데이터!$C$2:$C$20000,데이터!$A$2:$A$20000,$A161,데이터!$E$2:$E$20000,설정!$B$5)-1),"")</f>
        <v/>
      </c>
      <c r="G161" s="5">
        <f>IFERROR(IF(OR($B161="",COUNTIFS(데이터!$A$2:$A$20000,$A161,데이터!$E$2:$E$20000,설정!$B$6)=0),"",$B161/SUMIFS(데이터!$C$2:$C$20000,데이터!$A$2:$A$20000,$A161,데이터!$E$2:$E$20000,설정!$B$6)-1),"")</f>
        <v/>
      </c>
      <c r="H161" s="5">
        <f>IFERROR(IF(OR($B161="",COUNTIFS(데이터!$A$2:$A$20000,$A161,데이터!$E$2:$E$20000,설정!$B$7)=0),"",$B161/SUMIFS(데이터!$C$2:$C$20000,데이터!$A$2:$A$20000,$A161,데이터!$E$2:$E$20000,설정!$B$7)-1),"")</f>
        <v/>
      </c>
      <c r="J161">
        <f>IF(C161="","",C161+ROW()*0.000000001)</f>
        <v/>
      </c>
      <c r="K161">
        <f>IF(D161="","",D161+ROW()*0.000000001)</f>
        <v/>
      </c>
      <c r="L161">
        <f>IF(E161="","",E161+ROW()*0.000000001)</f>
        <v/>
      </c>
      <c r="M161">
        <f>IF(F161="","",F161+ROW()*0.000000001)</f>
        <v/>
      </c>
      <c r="N161">
        <f>IF(G161="","",G161+ROW()*0.000000001)</f>
        <v/>
      </c>
      <c r="O161">
        <f>IF(H161="","",H161+ROW()*0.000000001)</f>
        <v/>
      </c>
    </row>
    <row r="162">
      <c r="B162" s="4">
        <f>IF($A162="","",IF(COUNTIFS(데이터!$A$2:$A$20000,$A162,데이터!$E$2:$E$20000,1)=0,"",SUMIFS(데이터!$C$2:$C$20000,데이터!$A$2:$A$20000,$A162,데이터!$E$2:$E$20000,1)))</f>
        <v/>
      </c>
      <c r="C162" s="5">
        <f>IFERROR(IF(OR($B162="",COUNTIFS(데이터!$A$2:$A$20000,$A162,데이터!$E$2:$E$20000,설정!$B$2)=0),"",$B162/SUMIFS(데이터!$C$2:$C$20000,데이터!$A$2:$A$20000,$A162,데이터!$E$2:$E$20000,설정!$B$2)-1),"")</f>
        <v/>
      </c>
      <c r="D162" s="5">
        <f>IFERROR(IF(OR($B162="",COUNTIFS(데이터!$A$2:$A$20000,$A162,데이터!$E$2:$E$20000,설정!$B$3)=0),"",$B162/SUMIFS(데이터!$C$2:$C$20000,데이터!$A$2:$A$20000,$A162,데이터!$E$2:$E$20000,설정!$B$3)-1),"")</f>
        <v/>
      </c>
      <c r="E162" s="5">
        <f>IFERROR(IF(OR($B162="",COUNTIFS(데이터!$A$2:$A$20000,$A162,데이터!$E$2:$E$20000,설정!$B$4)=0),"",$B162/SUMIFS(데이터!$C$2:$C$20000,데이터!$A$2:$A$20000,$A162,데이터!$E$2:$E$20000,설정!$B$4)-1),"")</f>
        <v/>
      </c>
      <c r="F162" s="5">
        <f>IFERROR(IF(OR($B162="",COUNTIFS(데이터!$A$2:$A$20000,$A162,데이터!$E$2:$E$20000,설정!$B$5)=0),"",$B162/SUMIFS(데이터!$C$2:$C$20000,데이터!$A$2:$A$20000,$A162,데이터!$E$2:$E$20000,설정!$B$5)-1),"")</f>
        <v/>
      </c>
      <c r="G162" s="5">
        <f>IFERROR(IF(OR($B162="",COUNTIFS(데이터!$A$2:$A$20000,$A162,데이터!$E$2:$E$20000,설정!$B$6)=0),"",$B162/SUMIFS(데이터!$C$2:$C$20000,데이터!$A$2:$A$20000,$A162,데이터!$E$2:$E$20000,설정!$B$6)-1),"")</f>
        <v/>
      </c>
      <c r="H162" s="5">
        <f>IFERROR(IF(OR($B162="",COUNTIFS(데이터!$A$2:$A$20000,$A162,데이터!$E$2:$E$20000,설정!$B$7)=0),"",$B162/SUMIFS(데이터!$C$2:$C$20000,데이터!$A$2:$A$20000,$A162,데이터!$E$2:$E$20000,설정!$B$7)-1),"")</f>
        <v/>
      </c>
      <c r="J162">
        <f>IF(C162="","",C162+ROW()*0.000000001)</f>
        <v/>
      </c>
      <c r="K162">
        <f>IF(D162="","",D162+ROW()*0.000000001)</f>
        <v/>
      </c>
      <c r="L162">
        <f>IF(E162="","",E162+ROW()*0.000000001)</f>
        <v/>
      </c>
      <c r="M162">
        <f>IF(F162="","",F162+ROW()*0.000000001)</f>
        <v/>
      </c>
      <c r="N162">
        <f>IF(G162="","",G162+ROW()*0.000000001)</f>
        <v/>
      </c>
      <c r="O162">
        <f>IF(H162="","",H162+ROW()*0.000000001)</f>
        <v/>
      </c>
    </row>
    <row r="163">
      <c r="B163" s="4">
        <f>IF($A163="","",IF(COUNTIFS(데이터!$A$2:$A$20000,$A163,데이터!$E$2:$E$20000,1)=0,"",SUMIFS(데이터!$C$2:$C$20000,데이터!$A$2:$A$20000,$A163,데이터!$E$2:$E$20000,1)))</f>
        <v/>
      </c>
      <c r="C163" s="5">
        <f>IFERROR(IF(OR($B163="",COUNTIFS(데이터!$A$2:$A$20000,$A163,데이터!$E$2:$E$20000,설정!$B$2)=0),"",$B163/SUMIFS(데이터!$C$2:$C$20000,데이터!$A$2:$A$20000,$A163,데이터!$E$2:$E$20000,설정!$B$2)-1),"")</f>
        <v/>
      </c>
      <c r="D163" s="5">
        <f>IFERROR(IF(OR($B163="",COUNTIFS(데이터!$A$2:$A$20000,$A163,데이터!$E$2:$E$20000,설정!$B$3)=0),"",$B163/SUMIFS(데이터!$C$2:$C$20000,데이터!$A$2:$A$20000,$A163,데이터!$E$2:$E$20000,설정!$B$3)-1),"")</f>
        <v/>
      </c>
      <c r="E163" s="5">
        <f>IFERROR(IF(OR($B163="",COUNTIFS(데이터!$A$2:$A$20000,$A163,데이터!$E$2:$E$20000,설정!$B$4)=0),"",$B163/SUMIFS(데이터!$C$2:$C$20000,데이터!$A$2:$A$20000,$A163,데이터!$E$2:$E$20000,설정!$B$4)-1),"")</f>
        <v/>
      </c>
      <c r="F163" s="5">
        <f>IFERROR(IF(OR($B163="",COUNTIFS(데이터!$A$2:$A$20000,$A163,데이터!$E$2:$E$20000,설정!$B$5)=0),"",$B163/SUMIFS(데이터!$C$2:$C$20000,데이터!$A$2:$A$20000,$A163,데이터!$E$2:$E$20000,설정!$B$5)-1),"")</f>
        <v/>
      </c>
      <c r="G163" s="5">
        <f>IFERROR(IF(OR($B163="",COUNTIFS(데이터!$A$2:$A$20000,$A163,데이터!$E$2:$E$20000,설정!$B$6)=0),"",$B163/SUMIFS(데이터!$C$2:$C$20000,데이터!$A$2:$A$20000,$A163,데이터!$E$2:$E$20000,설정!$B$6)-1),"")</f>
        <v/>
      </c>
      <c r="H163" s="5">
        <f>IFERROR(IF(OR($B163="",COUNTIFS(데이터!$A$2:$A$20000,$A163,데이터!$E$2:$E$20000,설정!$B$7)=0),"",$B163/SUMIFS(데이터!$C$2:$C$20000,데이터!$A$2:$A$20000,$A163,데이터!$E$2:$E$20000,설정!$B$7)-1),"")</f>
        <v/>
      </c>
      <c r="J163">
        <f>IF(C163="","",C163+ROW()*0.000000001)</f>
        <v/>
      </c>
      <c r="K163">
        <f>IF(D163="","",D163+ROW()*0.000000001)</f>
        <v/>
      </c>
      <c r="L163">
        <f>IF(E163="","",E163+ROW()*0.000000001)</f>
        <v/>
      </c>
      <c r="M163">
        <f>IF(F163="","",F163+ROW()*0.000000001)</f>
        <v/>
      </c>
      <c r="N163">
        <f>IF(G163="","",G163+ROW()*0.000000001)</f>
        <v/>
      </c>
      <c r="O163">
        <f>IF(H163="","",H163+ROW()*0.000000001)</f>
        <v/>
      </c>
    </row>
    <row r="164">
      <c r="B164" s="4">
        <f>IF($A164="","",IF(COUNTIFS(데이터!$A$2:$A$20000,$A164,데이터!$E$2:$E$20000,1)=0,"",SUMIFS(데이터!$C$2:$C$20000,데이터!$A$2:$A$20000,$A164,데이터!$E$2:$E$20000,1)))</f>
        <v/>
      </c>
      <c r="C164" s="5">
        <f>IFERROR(IF(OR($B164="",COUNTIFS(데이터!$A$2:$A$20000,$A164,데이터!$E$2:$E$20000,설정!$B$2)=0),"",$B164/SUMIFS(데이터!$C$2:$C$20000,데이터!$A$2:$A$20000,$A164,데이터!$E$2:$E$20000,설정!$B$2)-1),"")</f>
        <v/>
      </c>
      <c r="D164" s="5">
        <f>IFERROR(IF(OR($B164="",COUNTIFS(데이터!$A$2:$A$20000,$A164,데이터!$E$2:$E$20000,설정!$B$3)=0),"",$B164/SUMIFS(데이터!$C$2:$C$20000,데이터!$A$2:$A$20000,$A164,데이터!$E$2:$E$20000,설정!$B$3)-1),"")</f>
        <v/>
      </c>
      <c r="E164" s="5">
        <f>IFERROR(IF(OR($B164="",COUNTIFS(데이터!$A$2:$A$20000,$A164,데이터!$E$2:$E$20000,설정!$B$4)=0),"",$B164/SUMIFS(데이터!$C$2:$C$20000,데이터!$A$2:$A$20000,$A164,데이터!$E$2:$E$20000,설정!$B$4)-1),"")</f>
        <v/>
      </c>
      <c r="F164" s="5">
        <f>IFERROR(IF(OR($B164="",COUNTIFS(데이터!$A$2:$A$20000,$A164,데이터!$E$2:$E$20000,설정!$B$5)=0),"",$B164/SUMIFS(데이터!$C$2:$C$20000,데이터!$A$2:$A$20000,$A164,데이터!$E$2:$E$20000,설정!$B$5)-1),"")</f>
        <v/>
      </c>
      <c r="G164" s="5">
        <f>IFERROR(IF(OR($B164="",COUNTIFS(데이터!$A$2:$A$20000,$A164,데이터!$E$2:$E$20000,설정!$B$6)=0),"",$B164/SUMIFS(데이터!$C$2:$C$20000,데이터!$A$2:$A$20000,$A164,데이터!$E$2:$E$20000,설정!$B$6)-1),"")</f>
        <v/>
      </c>
      <c r="H164" s="5">
        <f>IFERROR(IF(OR($B164="",COUNTIFS(데이터!$A$2:$A$20000,$A164,데이터!$E$2:$E$20000,설정!$B$7)=0),"",$B164/SUMIFS(데이터!$C$2:$C$20000,데이터!$A$2:$A$20000,$A164,데이터!$E$2:$E$20000,설정!$B$7)-1),"")</f>
        <v/>
      </c>
      <c r="J164">
        <f>IF(C164="","",C164+ROW()*0.000000001)</f>
        <v/>
      </c>
      <c r="K164">
        <f>IF(D164="","",D164+ROW()*0.000000001)</f>
        <v/>
      </c>
      <c r="L164">
        <f>IF(E164="","",E164+ROW()*0.000000001)</f>
        <v/>
      </c>
      <c r="M164">
        <f>IF(F164="","",F164+ROW()*0.000000001)</f>
        <v/>
      </c>
      <c r="N164">
        <f>IF(G164="","",G164+ROW()*0.000000001)</f>
        <v/>
      </c>
      <c r="O164">
        <f>IF(H164="","",H164+ROW()*0.000000001)</f>
        <v/>
      </c>
    </row>
    <row r="165">
      <c r="B165" s="4">
        <f>IF($A165="","",IF(COUNTIFS(데이터!$A$2:$A$20000,$A165,데이터!$E$2:$E$20000,1)=0,"",SUMIFS(데이터!$C$2:$C$20000,데이터!$A$2:$A$20000,$A165,데이터!$E$2:$E$20000,1)))</f>
        <v/>
      </c>
      <c r="C165" s="5">
        <f>IFERROR(IF(OR($B165="",COUNTIFS(데이터!$A$2:$A$20000,$A165,데이터!$E$2:$E$20000,설정!$B$2)=0),"",$B165/SUMIFS(데이터!$C$2:$C$20000,데이터!$A$2:$A$20000,$A165,데이터!$E$2:$E$20000,설정!$B$2)-1),"")</f>
        <v/>
      </c>
      <c r="D165" s="5">
        <f>IFERROR(IF(OR($B165="",COUNTIFS(데이터!$A$2:$A$20000,$A165,데이터!$E$2:$E$20000,설정!$B$3)=0),"",$B165/SUMIFS(데이터!$C$2:$C$20000,데이터!$A$2:$A$20000,$A165,데이터!$E$2:$E$20000,설정!$B$3)-1),"")</f>
        <v/>
      </c>
      <c r="E165" s="5">
        <f>IFERROR(IF(OR($B165="",COUNTIFS(데이터!$A$2:$A$20000,$A165,데이터!$E$2:$E$20000,설정!$B$4)=0),"",$B165/SUMIFS(데이터!$C$2:$C$20000,데이터!$A$2:$A$20000,$A165,데이터!$E$2:$E$20000,설정!$B$4)-1),"")</f>
        <v/>
      </c>
      <c r="F165" s="5">
        <f>IFERROR(IF(OR($B165="",COUNTIFS(데이터!$A$2:$A$20000,$A165,데이터!$E$2:$E$20000,설정!$B$5)=0),"",$B165/SUMIFS(데이터!$C$2:$C$20000,데이터!$A$2:$A$20000,$A165,데이터!$E$2:$E$20000,설정!$B$5)-1),"")</f>
        <v/>
      </c>
      <c r="G165" s="5">
        <f>IFERROR(IF(OR($B165="",COUNTIFS(데이터!$A$2:$A$20000,$A165,데이터!$E$2:$E$20000,설정!$B$6)=0),"",$B165/SUMIFS(데이터!$C$2:$C$20000,데이터!$A$2:$A$20000,$A165,데이터!$E$2:$E$20000,설정!$B$6)-1),"")</f>
        <v/>
      </c>
      <c r="H165" s="5">
        <f>IFERROR(IF(OR($B165="",COUNTIFS(데이터!$A$2:$A$20000,$A165,데이터!$E$2:$E$20000,설정!$B$7)=0),"",$B165/SUMIFS(데이터!$C$2:$C$20000,데이터!$A$2:$A$20000,$A165,데이터!$E$2:$E$20000,설정!$B$7)-1),"")</f>
        <v/>
      </c>
      <c r="J165">
        <f>IF(C165="","",C165+ROW()*0.000000001)</f>
        <v/>
      </c>
      <c r="K165">
        <f>IF(D165="","",D165+ROW()*0.000000001)</f>
        <v/>
      </c>
      <c r="L165">
        <f>IF(E165="","",E165+ROW()*0.000000001)</f>
        <v/>
      </c>
      <c r="M165">
        <f>IF(F165="","",F165+ROW()*0.000000001)</f>
        <v/>
      </c>
      <c r="N165">
        <f>IF(G165="","",G165+ROW()*0.000000001)</f>
        <v/>
      </c>
      <c r="O165">
        <f>IF(H165="","",H165+ROW()*0.000000001)</f>
        <v/>
      </c>
    </row>
    <row r="166">
      <c r="B166" s="4">
        <f>IF($A166="","",IF(COUNTIFS(데이터!$A$2:$A$20000,$A166,데이터!$E$2:$E$20000,1)=0,"",SUMIFS(데이터!$C$2:$C$20000,데이터!$A$2:$A$20000,$A166,데이터!$E$2:$E$20000,1)))</f>
        <v/>
      </c>
      <c r="C166" s="5">
        <f>IFERROR(IF(OR($B166="",COUNTIFS(데이터!$A$2:$A$20000,$A166,데이터!$E$2:$E$20000,설정!$B$2)=0),"",$B166/SUMIFS(데이터!$C$2:$C$20000,데이터!$A$2:$A$20000,$A166,데이터!$E$2:$E$20000,설정!$B$2)-1),"")</f>
        <v/>
      </c>
      <c r="D166" s="5">
        <f>IFERROR(IF(OR($B166="",COUNTIFS(데이터!$A$2:$A$20000,$A166,데이터!$E$2:$E$20000,설정!$B$3)=0),"",$B166/SUMIFS(데이터!$C$2:$C$20000,데이터!$A$2:$A$20000,$A166,데이터!$E$2:$E$20000,설정!$B$3)-1),"")</f>
        <v/>
      </c>
      <c r="E166" s="5">
        <f>IFERROR(IF(OR($B166="",COUNTIFS(데이터!$A$2:$A$20000,$A166,데이터!$E$2:$E$20000,설정!$B$4)=0),"",$B166/SUMIFS(데이터!$C$2:$C$20000,데이터!$A$2:$A$20000,$A166,데이터!$E$2:$E$20000,설정!$B$4)-1),"")</f>
        <v/>
      </c>
      <c r="F166" s="5">
        <f>IFERROR(IF(OR($B166="",COUNTIFS(데이터!$A$2:$A$20000,$A166,데이터!$E$2:$E$20000,설정!$B$5)=0),"",$B166/SUMIFS(데이터!$C$2:$C$20000,데이터!$A$2:$A$20000,$A166,데이터!$E$2:$E$20000,설정!$B$5)-1),"")</f>
        <v/>
      </c>
      <c r="G166" s="5">
        <f>IFERROR(IF(OR($B166="",COUNTIFS(데이터!$A$2:$A$20000,$A166,데이터!$E$2:$E$20000,설정!$B$6)=0),"",$B166/SUMIFS(데이터!$C$2:$C$20000,데이터!$A$2:$A$20000,$A166,데이터!$E$2:$E$20000,설정!$B$6)-1),"")</f>
        <v/>
      </c>
      <c r="H166" s="5">
        <f>IFERROR(IF(OR($B166="",COUNTIFS(데이터!$A$2:$A$20000,$A166,데이터!$E$2:$E$20000,설정!$B$7)=0),"",$B166/SUMIFS(데이터!$C$2:$C$20000,데이터!$A$2:$A$20000,$A166,데이터!$E$2:$E$20000,설정!$B$7)-1),"")</f>
        <v/>
      </c>
      <c r="J166">
        <f>IF(C166="","",C166+ROW()*0.000000001)</f>
        <v/>
      </c>
      <c r="K166">
        <f>IF(D166="","",D166+ROW()*0.000000001)</f>
        <v/>
      </c>
      <c r="L166">
        <f>IF(E166="","",E166+ROW()*0.000000001)</f>
        <v/>
      </c>
      <c r="M166">
        <f>IF(F166="","",F166+ROW()*0.000000001)</f>
        <v/>
      </c>
      <c r="N166">
        <f>IF(G166="","",G166+ROW()*0.000000001)</f>
        <v/>
      </c>
      <c r="O166">
        <f>IF(H166="","",H166+ROW()*0.000000001)</f>
        <v/>
      </c>
    </row>
    <row r="167">
      <c r="B167" s="4">
        <f>IF($A167="","",IF(COUNTIFS(데이터!$A$2:$A$20000,$A167,데이터!$E$2:$E$20000,1)=0,"",SUMIFS(데이터!$C$2:$C$20000,데이터!$A$2:$A$20000,$A167,데이터!$E$2:$E$20000,1)))</f>
        <v/>
      </c>
      <c r="C167" s="5">
        <f>IFERROR(IF(OR($B167="",COUNTIFS(데이터!$A$2:$A$20000,$A167,데이터!$E$2:$E$20000,설정!$B$2)=0),"",$B167/SUMIFS(데이터!$C$2:$C$20000,데이터!$A$2:$A$20000,$A167,데이터!$E$2:$E$20000,설정!$B$2)-1),"")</f>
        <v/>
      </c>
      <c r="D167" s="5">
        <f>IFERROR(IF(OR($B167="",COUNTIFS(데이터!$A$2:$A$20000,$A167,데이터!$E$2:$E$20000,설정!$B$3)=0),"",$B167/SUMIFS(데이터!$C$2:$C$20000,데이터!$A$2:$A$20000,$A167,데이터!$E$2:$E$20000,설정!$B$3)-1),"")</f>
        <v/>
      </c>
      <c r="E167" s="5">
        <f>IFERROR(IF(OR($B167="",COUNTIFS(데이터!$A$2:$A$20000,$A167,데이터!$E$2:$E$20000,설정!$B$4)=0),"",$B167/SUMIFS(데이터!$C$2:$C$20000,데이터!$A$2:$A$20000,$A167,데이터!$E$2:$E$20000,설정!$B$4)-1),"")</f>
        <v/>
      </c>
      <c r="F167" s="5">
        <f>IFERROR(IF(OR($B167="",COUNTIFS(데이터!$A$2:$A$20000,$A167,데이터!$E$2:$E$20000,설정!$B$5)=0),"",$B167/SUMIFS(데이터!$C$2:$C$20000,데이터!$A$2:$A$20000,$A167,데이터!$E$2:$E$20000,설정!$B$5)-1),"")</f>
        <v/>
      </c>
      <c r="G167" s="5">
        <f>IFERROR(IF(OR($B167="",COUNTIFS(데이터!$A$2:$A$20000,$A167,데이터!$E$2:$E$20000,설정!$B$6)=0),"",$B167/SUMIFS(데이터!$C$2:$C$20000,데이터!$A$2:$A$20000,$A167,데이터!$E$2:$E$20000,설정!$B$6)-1),"")</f>
        <v/>
      </c>
      <c r="H167" s="5">
        <f>IFERROR(IF(OR($B167="",COUNTIFS(데이터!$A$2:$A$20000,$A167,데이터!$E$2:$E$20000,설정!$B$7)=0),"",$B167/SUMIFS(데이터!$C$2:$C$20000,데이터!$A$2:$A$20000,$A167,데이터!$E$2:$E$20000,설정!$B$7)-1),"")</f>
        <v/>
      </c>
      <c r="J167">
        <f>IF(C167="","",C167+ROW()*0.000000001)</f>
        <v/>
      </c>
      <c r="K167">
        <f>IF(D167="","",D167+ROW()*0.000000001)</f>
        <v/>
      </c>
      <c r="L167">
        <f>IF(E167="","",E167+ROW()*0.000000001)</f>
        <v/>
      </c>
      <c r="M167">
        <f>IF(F167="","",F167+ROW()*0.000000001)</f>
        <v/>
      </c>
      <c r="N167">
        <f>IF(G167="","",G167+ROW()*0.000000001)</f>
        <v/>
      </c>
      <c r="O167">
        <f>IF(H167="","",H167+ROW()*0.000000001)</f>
        <v/>
      </c>
    </row>
    <row r="168">
      <c r="B168" s="4">
        <f>IF($A168="","",IF(COUNTIFS(데이터!$A$2:$A$20000,$A168,데이터!$E$2:$E$20000,1)=0,"",SUMIFS(데이터!$C$2:$C$20000,데이터!$A$2:$A$20000,$A168,데이터!$E$2:$E$20000,1)))</f>
        <v/>
      </c>
      <c r="C168" s="5">
        <f>IFERROR(IF(OR($B168="",COUNTIFS(데이터!$A$2:$A$20000,$A168,데이터!$E$2:$E$20000,설정!$B$2)=0),"",$B168/SUMIFS(데이터!$C$2:$C$20000,데이터!$A$2:$A$20000,$A168,데이터!$E$2:$E$20000,설정!$B$2)-1),"")</f>
        <v/>
      </c>
      <c r="D168" s="5">
        <f>IFERROR(IF(OR($B168="",COUNTIFS(데이터!$A$2:$A$20000,$A168,데이터!$E$2:$E$20000,설정!$B$3)=0),"",$B168/SUMIFS(데이터!$C$2:$C$20000,데이터!$A$2:$A$20000,$A168,데이터!$E$2:$E$20000,설정!$B$3)-1),"")</f>
        <v/>
      </c>
      <c r="E168" s="5">
        <f>IFERROR(IF(OR($B168="",COUNTIFS(데이터!$A$2:$A$20000,$A168,데이터!$E$2:$E$20000,설정!$B$4)=0),"",$B168/SUMIFS(데이터!$C$2:$C$20000,데이터!$A$2:$A$20000,$A168,데이터!$E$2:$E$20000,설정!$B$4)-1),"")</f>
        <v/>
      </c>
      <c r="F168" s="5">
        <f>IFERROR(IF(OR($B168="",COUNTIFS(데이터!$A$2:$A$20000,$A168,데이터!$E$2:$E$20000,설정!$B$5)=0),"",$B168/SUMIFS(데이터!$C$2:$C$20000,데이터!$A$2:$A$20000,$A168,데이터!$E$2:$E$20000,설정!$B$5)-1),"")</f>
        <v/>
      </c>
      <c r="G168" s="5">
        <f>IFERROR(IF(OR($B168="",COUNTIFS(데이터!$A$2:$A$20000,$A168,데이터!$E$2:$E$20000,설정!$B$6)=0),"",$B168/SUMIFS(데이터!$C$2:$C$20000,데이터!$A$2:$A$20000,$A168,데이터!$E$2:$E$20000,설정!$B$6)-1),"")</f>
        <v/>
      </c>
      <c r="H168" s="5">
        <f>IFERROR(IF(OR($B168="",COUNTIFS(데이터!$A$2:$A$20000,$A168,데이터!$E$2:$E$20000,설정!$B$7)=0),"",$B168/SUMIFS(데이터!$C$2:$C$20000,데이터!$A$2:$A$20000,$A168,데이터!$E$2:$E$20000,설정!$B$7)-1),"")</f>
        <v/>
      </c>
      <c r="J168">
        <f>IF(C168="","",C168+ROW()*0.000000001)</f>
        <v/>
      </c>
      <c r="K168">
        <f>IF(D168="","",D168+ROW()*0.000000001)</f>
        <v/>
      </c>
      <c r="L168">
        <f>IF(E168="","",E168+ROW()*0.000000001)</f>
        <v/>
      </c>
      <c r="M168">
        <f>IF(F168="","",F168+ROW()*0.000000001)</f>
        <v/>
      </c>
      <c r="N168">
        <f>IF(G168="","",G168+ROW()*0.000000001)</f>
        <v/>
      </c>
      <c r="O168">
        <f>IF(H168="","",H168+ROW()*0.000000001)</f>
        <v/>
      </c>
    </row>
    <row r="169">
      <c r="B169" s="4">
        <f>IF($A169="","",IF(COUNTIFS(데이터!$A$2:$A$20000,$A169,데이터!$E$2:$E$20000,1)=0,"",SUMIFS(데이터!$C$2:$C$20000,데이터!$A$2:$A$20000,$A169,데이터!$E$2:$E$20000,1)))</f>
        <v/>
      </c>
      <c r="C169" s="5">
        <f>IFERROR(IF(OR($B169="",COUNTIFS(데이터!$A$2:$A$20000,$A169,데이터!$E$2:$E$20000,설정!$B$2)=0),"",$B169/SUMIFS(데이터!$C$2:$C$20000,데이터!$A$2:$A$20000,$A169,데이터!$E$2:$E$20000,설정!$B$2)-1),"")</f>
        <v/>
      </c>
      <c r="D169" s="5">
        <f>IFERROR(IF(OR($B169="",COUNTIFS(데이터!$A$2:$A$20000,$A169,데이터!$E$2:$E$20000,설정!$B$3)=0),"",$B169/SUMIFS(데이터!$C$2:$C$20000,데이터!$A$2:$A$20000,$A169,데이터!$E$2:$E$20000,설정!$B$3)-1),"")</f>
        <v/>
      </c>
      <c r="E169" s="5">
        <f>IFERROR(IF(OR($B169="",COUNTIFS(데이터!$A$2:$A$20000,$A169,데이터!$E$2:$E$20000,설정!$B$4)=0),"",$B169/SUMIFS(데이터!$C$2:$C$20000,데이터!$A$2:$A$20000,$A169,데이터!$E$2:$E$20000,설정!$B$4)-1),"")</f>
        <v/>
      </c>
      <c r="F169" s="5">
        <f>IFERROR(IF(OR($B169="",COUNTIFS(데이터!$A$2:$A$20000,$A169,데이터!$E$2:$E$20000,설정!$B$5)=0),"",$B169/SUMIFS(데이터!$C$2:$C$20000,데이터!$A$2:$A$20000,$A169,데이터!$E$2:$E$20000,설정!$B$5)-1),"")</f>
        <v/>
      </c>
      <c r="G169" s="5">
        <f>IFERROR(IF(OR($B169="",COUNTIFS(데이터!$A$2:$A$20000,$A169,데이터!$E$2:$E$20000,설정!$B$6)=0),"",$B169/SUMIFS(데이터!$C$2:$C$20000,데이터!$A$2:$A$20000,$A169,데이터!$E$2:$E$20000,설정!$B$6)-1),"")</f>
        <v/>
      </c>
      <c r="H169" s="5">
        <f>IFERROR(IF(OR($B169="",COUNTIFS(데이터!$A$2:$A$20000,$A169,데이터!$E$2:$E$20000,설정!$B$7)=0),"",$B169/SUMIFS(데이터!$C$2:$C$20000,데이터!$A$2:$A$20000,$A169,데이터!$E$2:$E$20000,설정!$B$7)-1),"")</f>
        <v/>
      </c>
      <c r="J169">
        <f>IF(C169="","",C169+ROW()*0.000000001)</f>
        <v/>
      </c>
      <c r="K169">
        <f>IF(D169="","",D169+ROW()*0.000000001)</f>
        <v/>
      </c>
      <c r="L169">
        <f>IF(E169="","",E169+ROW()*0.000000001)</f>
        <v/>
      </c>
      <c r="M169">
        <f>IF(F169="","",F169+ROW()*0.000000001)</f>
        <v/>
      </c>
      <c r="N169">
        <f>IF(G169="","",G169+ROW()*0.000000001)</f>
        <v/>
      </c>
      <c r="O169">
        <f>IF(H169="","",H169+ROW()*0.000000001)</f>
        <v/>
      </c>
    </row>
    <row r="170">
      <c r="B170" s="4">
        <f>IF($A170="","",IF(COUNTIFS(데이터!$A$2:$A$20000,$A170,데이터!$E$2:$E$20000,1)=0,"",SUMIFS(데이터!$C$2:$C$20000,데이터!$A$2:$A$20000,$A170,데이터!$E$2:$E$20000,1)))</f>
        <v/>
      </c>
      <c r="C170" s="5">
        <f>IFERROR(IF(OR($B170="",COUNTIFS(데이터!$A$2:$A$20000,$A170,데이터!$E$2:$E$20000,설정!$B$2)=0),"",$B170/SUMIFS(데이터!$C$2:$C$20000,데이터!$A$2:$A$20000,$A170,데이터!$E$2:$E$20000,설정!$B$2)-1),"")</f>
        <v/>
      </c>
      <c r="D170" s="5">
        <f>IFERROR(IF(OR($B170="",COUNTIFS(데이터!$A$2:$A$20000,$A170,데이터!$E$2:$E$20000,설정!$B$3)=0),"",$B170/SUMIFS(데이터!$C$2:$C$20000,데이터!$A$2:$A$20000,$A170,데이터!$E$2:$E$20000,설정!$B$3)-1),"")</f>
        <v/>
      </c>
      <c r="E170" s="5">
        <f>IFERROR(IF(OR($B170="",COUNTIFS(데이터!$A$2:$A$20000,$A170,데이터!$E$2:$E$20000,설정!$B$4)=0),"",$B170/SUMIFS(데이터!$C$2:$C$20000,데이터!$A$2:$A$20000,$A170,데이터!$E$2:$E$20000,설정!$B$4)-1),"")</f>
        <v/>
      </c>
      <c r="F170" s="5">
        <f>IFERROR(IF(OR($B170="",COUNTIFS(데이터!$A$2:$A$20000,$A170,데이터!$E$2:$E$20000,설정!$B$5)=0),"",$B170/SUMIFS(데이터!$C$2:$C$20000,데이터!$A$2:$A$20000,$A170,데이터!$E$2:$E$20000,설정!$B$5)-1),"")</f>
        <v/>
      </c>
      <c r="G170" s="5">
        <f>IFERROR(IF(OR($B170="",COUNTIFS(데이터!$A$2:$A$20000,$A170,데이터!$E$2:$E$20000,설정!$B$6)=0),"",$B170/SUMIFS(데이터!$C$2:$C$20000,데이터!$A$2:$A$20000,$A170,데이터!$E$2:$E$20000,설정!$B$6)-1),"")</f>
        <v/>
      </c>
      <c r="H170" s="5">
        <f>IFERROR(IF(OR($B170="",COUNTIFS(데이터!$A$2:$A$20000,$A170,데이터!$E$2:$E$20000,설정!$B$7)=0),"",$B170/SUMIFS(데이터!$C$2:$C$20000,데이터!$A$2:$A$20000,$A170,데이터!$E$2:$E$20000,설정!$B$7)-1),"")</f>
        <v/>
      </c>
      <c r="J170">
        <f>IF(C170="","",C170+ROW()*0.000000001)</f>
        <v/>
      </c>
      <c r="K170">
        <f>IF(D170="","",D170+ROW()*0.000000001)</f>
        <v/>
      </c>
      <c r="L170">
        <f>IF(E170="","",E170+ROW()*0.000000001)</f>
        <v/>
      </c>
      <c r="M170">
        <f>IF(F170="","",F170+ROW()*0.000000001)</f>
        <v/>
      </c>
      <c r="N170">
        <f>IF(G170="","",G170+ROW()*0.000000001)</f>
        <v/>
      </c>
      <c r="O170">
        <f>IF(H170="","",H170+ROW()*0.000000001)</f>
        <v/>
      </c>
    </row>
    <row r="171">
      <c r="B171" s="4">
        <f>IF($A171="","",IF(COUNTIFS(데이터!$A$2:$A$20000,$A171,데이터!$E$2:$E$20000,1)=0,"",SUMIFS(데이터!$C$2:$C$20000,데이터!$A$2:$A$20000,$A171,데이터!$E$2:$E$20000,1)))</f>
        <v/>
      </c>
      <c r="C171" s="5">
        <f>IFERROR(IF(OR($B171="",COUNTIFS(데이터!$A$2:$A$20000,$A171,데이터!$E$2:$E$20000,설정!$B$2)=0),"",$B171/SUMIFS(데이터!$C$2:$C$20000,데이터!$A$2:$A$20000,$A171,데이터!$E$2:$E$20000,설정!$B$2)-1),"")</f>
        <v/>
      </c>
      <c r="D171" s="5">
        <f>IFERROR(IF(OR($B171="",COUNTIFS(데이터!$A$2:$A$20000,$A171,데이터!$E$2:$E$20000,설정!$B$3)=0),"",$B171/SUMIFS(데이터!$C$2:$C$20000,데이터!$A$2:$A$20000,$A171,데이터!$E$2:$E$20000,설정!$B$3)-1),"")</f>
        <v/>
      </c>
      <c r="E171" s="5">
        <f>IFERROR(IF(OR($B171="",COUNTIFS(데이터!$A$2:$A$20000,$A171,데이터!$E$2:$E$20000,설정!$B$4)=0),"",$B171/SUMIFS(데이터!$C$2:$C$20000,데이터!$A$2:$A$20000,$A171,데이터!$E$2:$E$20000,설정!$B$4)-1),"")</f>
        <v/>
      </c>
      <c r="F171" s="5">
        <f>IFERROR(IF(OR($B171="",COUNTIFS(데이터!$A$2:$A$20000,$A171,데이터!$E$2:$E$20000,설정!$B$5)=0),"",$B171/SUMIFS(데이터!$C$2:$C$20000,데이터!$A$2:$A$20000,$A171,데이터!$E$2:$E$20000,설정!$B$5)-1),"")</f>
        <v/>
      </c>
      <c r="G171" s="5">
        <f>IFERROR(IF(OR($B171="",COUNTIFS(데이터!$A$2:$A$20000,$A171,데이터!$E$2:$E$20000,설정!$B$6)=0),"",$B171/SUMIFS(데이터!$C$2:$C$20000,데이터!$A$2:$A$20000,$A171,데이터!$E$2:$E$20000,설정!$B$6)-1),"")</f>
        <v/>
      </c>
      <c r="H171" s="5">
        <f>IFERROR(IF(OR($B171="",COUNTIFS(데이터!$A$2:$A$20000,$A171,데이터!$E$2:$E$20000,설정!$B$7)=0),"",$B171/SUMIFS(데이터!$C$2:$C$20000,데이터!$A$2:$A$20000,$A171,데이터!$E$2:$E$20000,설정!$B$7)-1),"")</f>
        <v/>
      </c>
      <c r="J171">
        <f>IF(C171="","",C171+ROW()*0.000000001)</f>
        <v/>
      </c>
      <c r="K171">
        <f>IF(D171="","",D171+ROW()*0.000000001)</f>
        <v/>
      </c>
      <c r="L171">
        <f>IF(E171="","",E171+ROW()*0.000000001)</f>
        <v/>
      </c>
      <c r="M171">
        <f>IF(F171="","",F171+ROW()*0.000000001)</f>
        <v/>
      </c>
      <c r="N171">
        <f>IF(G171="","",G171+ROW()*0.000000001)</f>
        <v/>
      </c>
      <c r="O171">
        <f>IF(H171="","",H171+ROW()*0.000000001)</f>
        <v/>
      </c>
    </row>
    <row r="172">
      <c r="B172" s="4">
        <f>IF($A172="","",IF(COUNTIFS(데이터!$A$2:$A$20000,$A172,데이터!$E$2:$E$20000,1)=0,"",SUMIFS(데이터!$C$2:$C$20000,데이터!$A$2:$A$20000,$A172,데이터!$E$2:$E$20000,1)))</f>
        <v/>
      </c>
      <c r="C172" s="5">
        <f>IFERROR(IF(OR($B172="",COUNTIFS(데이터!$A$2:$A$20000,$A172,데이터!$E$2:$E$20000,설정!$B$2)=0),"",$B172/SUMIFS(데이터!$C$2:$C$20000,데이터!$A$2:$A$20000,$A172,데이터!$E$2:$E$20000,설정!$B$2)-1),"")</f>
        <v/>
      </c>
      <c r="D172" s="5">
        <f>IFERROR(IF(OR($B172="",COUNTIFS(데이터!$A$2:$A$20000,$A172,데이터!$E$2:$E$20000,설정!$B$3)=0),"",$B172/SUMIFS(데이터!$C$2:$C$20000,데이터!$A$2:$A$20000,$A172,데이터!$E$2:$E$20000,설정!$B$3)-1),"")</f>
        <v/>
      </c>
      <c r="E172" s="5">
        <f>IFERROR(IF(OR($B172="",COUNTIFS(데이터!$A$2:$A$20000,$A172,데이터!$E$2:$E$20000,설정!$B$4)=0),"",$B172/SUMIFS(데이터!$C$2:$C$20000,데이터!$A$2:$A$20000,$A172,데이터!$E$2:$E$20000,설정!$B$4)-1),"")</f>
        <v/>
      </c>
      <c r="F172" s="5">
        <f>IFERROR(IF(OR($B172="",COUNTIFS(데이터!$A$2:$A$20000,$A172,데이터!$E$2:$E$20000,설정!$B$5)=0),"",$B172/SUMIFS(데이터!$C$2:$C$20000,데이터!$A$2:$A$20000,$A172,데이터!$E$2:$E$20000,설정!$B$5)-1),"")</f>
        <v/>
      </c>
      <c r="G172" s="5">
        <f>IFERROR(IF(OR($B172="",COUNTIFS(데이터!$A$2:$A$20000,$A172,데이터!$E$2:$E$20000,설정!$B$6)=0),"",$B172/SUMIFS(데이터!$C$2:$C$20000,데이터!$A$2:$A$20000,$A172,데이터!$E$2:$E$20000,설정!$B$6)-1),"")</f>
        <v/>
      </c>
      <c r="H172" s="5">
        <f>IFERROR(IF(OR($B172="",COUNTIFS(데이터!$A$2:$A$20000,$A172,데이터!$E$2:$E$20000,설정!$B$7)=0),"",$B172/SUMIFS(데이터!$C$2:$C$20000,데이터!$A$2:$A$20000,$A172,데이터!$E$2:$E$20000,설정!$B$7)-1),"")</f>
        <v/>
      </c>
      <c r="J172">
        <f>IF(C172="","",C172+ROW()*0.000000001)</f>
        <v/>
      </c>
      <c r="K172">
        <f>IF(D172="","",D172+ROW()*0.000000001)</f>
        <v/>
      </c>
      <c r="L172">
        <f>IF(E172="","",E172+ROW()*0.000000001)</f>
        <v/>
      </c>
      <c r="M172">
        <f>IF(F172="","",F172+ROW()*0.000000001)</f>
        <v/>
      </c>
      <c r="N172">
        <f>IF(G172="","",G172+ROW()*0.000000001)</f>
        <v/>
      </c>
      <c r="O172">
        <f>IF(H172="","",H172+ROW()*0.000000001)</f>
        <v/>
      </c>
    </row>
    <row r="173">
      <c r="B173" s="4">
        <f>IF($A173="","",IF(COUNTIFS(데이터!$A$2:$A$20000,$A173,데이터!$E$2:$E$20000,1)=0,"",SUMIFS(데이터!$C$2:$C$20000,데이터!$A$2:$A$20000,$A173,데이터!$E$2:$E$20000,1)))</f>
        <v/>
      </c>
      <c r="C173" s="5">
        <f>IFERROR(IF(OR($B173="",COUNTIFS(데이터!$A$2:$A$20000,$A173,데이터!$E$2:$E$20000,설정!$B$2)=0),"",$B173/SUMIFS(데이터!$C$2:$C$20000,데이터!$A$2:$A$20000,$A173,데이터!$E$2:$E$20000,설정!$B$2)-1),"")</f>
        <v/>
      </c>
      <c r="D173" s="5">
        <f>IFERROR(IF(OR($B173="",COUNTIFS(데이터!$A$2:$A$20000,$A173,데이터!$E$2:$E$20000,설정!$B$3)=0),"",$B173/SUMIFS(데이터!$C$2:$C$20000,데이터!$A$2:$A$20000,$A173,데이터!$E$2:$E$20000,설정!$B$3)-1),"")</f>
        <v/>
      </c>
      <c r="E173" s="5">
        <f>IFERROR(IF(OR($B173="",COUNTIFS(데이터!$A$2:$A$20000,$A173,데이터!$E$2:$E$20000,설정!$B$4)=0),"",$B173/SUMIFS(데이터!$C$2:$C$20000,데이터!$A$2:$A$20000,$A173,데이터!$E$2:$E$20000,설정!$B$4)-1),"")</f>
        <v/>
      </c>
      <c r="F173" s="5">
        <f>IFERROR(IF(OR($B173="",COUNTIFS(데이터!$A$2:$A$20000,$A173,데이터!$E$2:$E$20000,설정!$B$5)=0),"",$B173/SUMIFS(데이터!$C$2:$C$20000,데이터!$A$2:$A$20000,$A173,데이터!$E$2:$E$20000,설정!$B$5)-1),"")</f>
        <v/>
      </c>
      <c r="G173" s="5">
        <f>IFERROR(IF(OR($B173="",COUNTIFS(데이터!$A$2:$A$20000,$A173,데이터!$E$2:$E$20000,설정!$B$6)=0),"",$B173/SUMIFS(데이터!$C$2:$C$20000,데이터!$A$2:$A$20000,$A173,데이터!$E$2:$E$20000,설정!$B$6)-1),"")</f>
        <v/>
      </c>
      <c r="H173" s="5">
        <f>IFERROR(IF(OR($B173="",COUNTIFS(데이터!$A$2:$A$20000,$A173,데이터!$E$2:$E$20000,설정!$B$7)=0),"",$B173/SUMIFS(데이터!$C$2:$C$20000,데이터!$A$2:$A$20000,$A173,데이터!$E$2:$E$20000,설정!$B$7)-1),"")</f>
        <v/>
      </c>
      <c r="J173">
        <f>IF(C173="","",C173+ROW()*0.000000001)</f>
        <v/>
      </c>
      <c r="K173">
        <f>IF(D173="","",D173+ROW()*0.000000001)</f>
        <v/>
      </c>
      <c r="L173">
        <f>IF(E173="","",E173+ROW()*0.000000001)</f>
        <v/>
      </c>
      <c r="M173">
        <f>IF(F173="","",F173+ROW()*0.000000001)</f>
        <v/>
      </c>
      <c r="N173">
        <f>IF(G173="","",G173+ROW()*0.000000001)</f>
        <v/>
      </c>
      <c r="O173">
        <f>IF(H173="","",H173+ROW()*0.000000001)</f>
        <v/>
      </c>
    </row>
    <row r="174">
      <c r="B174" s="4">
        <f>IF($A174="","",IF(COUNTIFS(데이터!$A$2:$A$20000,$A174,데이터!$E$2:$E$20000,1)=0,"",SUMIFS(데이터!$C$2:$C$20000,데이터!$A$2:$A$20000,$A174,데이터!$E$2:$E$20000,1)))</f>
        <v/>
      </c>
      <c r="C174" s="5">
        <f>IFERROR(IF(OR($B174="",COUNTIFS(데이터!$A$2:$A$20000,$A174,데이터!$E$2:$E$20000,설정!$B$2)=0),"",$B174/SUMIFS(데이터!$C$2:$C$20000,데이터!$A$2:$A$20000,$A174,데이터!$E$2:$E$20000,설정!$B$2)-1),"")</f>
        <v/>
      </c>
      <c r="D174" s="5">
        <f>IFERROR(IF(OR($B174="",COUNTIFS(데이터!$A$2:$A$20000,$A174,데이터!$E$2:$E$20000,설정!$B$3)=0),"",$B174/SUMIFS(데이터!$C$2:$C$20000,데이터!$A$2:$A$20000,$A174,데이터!$E$2:$E$20000,설정!$B$3)-1),"")</f>
        <v/>
      </c>
      <c r="E174" s="5">
        <f>IFERROR(IF(OR($B174="",COUNTIFS(데이터!$A$2:$A$20000,$A174,데이터!$E$2:$E$20000,설정!$B$4)=0),"",$B174/SUMIFS(데이터!$C$2:$C$20000,데이터!$A$2:$A$20000,$A174,데이터!$E$2:$E$20000,설정!$B$4)-1),"")</f>
        <v/>
      </c>
      <c r="F174" s="5">
        <f>IFERROR(IF(OR($B174="",COUNTIFS(데이터!$A$2:$A$20000,$A174,데이터!$E$2:$E$20000,설정!$B$5)=0),"",$B174/SUMIFS(데이터!$C$2:$C$20000,데이터!$A$2:$A$20000,$A174,데이터!$E$2:$E$20000,설정!$B$5)-1),"")</f>
        <v/>
      </c>
      <c r="G174" s="5">
        <f>IFERROR(IF(OR($B174="",COUNTIFS(데이터!$A$2:$A$20000,$A174,데이터!$E$2:$E$20000,설정!$B$6)=0),"",$B174/SUMIFS(데이터!$C$2:$C$20000,데이터!$A$2:$A$20000,$A174,데이터!$E$2:$E$20000,설정!$B$6)-1),"")</f>
        <v/>
      </c>
      <c r="H174" s="5">
        <f>IFERROR(IF(OR($B174="",COUNTIFS(데이터!$A$2:$A$20000,$A174,데이터!$E$2:$E$20000,설정!$B$7)=0),"",$B174/SUMIFS(데이터!$C$2:$C$20000,데이터!$A$2:$A$20000,$A174,데이터!$E$2:$E$20000,설정!$B$7)-1),"")</f>
        <v/>
      </c>
      <c r="J174">
        <f>IF(C174="","",C174+ROW()*0.000000001)</f>
        <v/>
      </c>
      <c r="K174">
        <f>IF(D174="","",D174+ROW()*0.000000001)</f>
        <v/>
      </c>
      <c r="L174">
        <f>IF(E174="","",E174+ROW()*0.000000001)</f>
        <v/>
      </c>
      <c r="M174">
        <f>IF(F174="","",F174+ROW()*0.000000001)</f>
        <v/>
      </c>
      <c r="N174">
        <f>IF(G174="","",G174+ROW()*0.000000001)</f>
        <v/>
      </c>
      <c r="O174">
        <f>IF(H174="","",H174+ROW()*0.000000001)</f>
        <v/>
      </c>
    </row>
    <row r="175">
      <c r="B175" s="4">
        <f>IF($A175="","",IF(COUNTIFS(데이터!$A$2:$A$20000,$A175,데이터!$E$2:$E$20000,1)=0,"",SUMIFS(데이터!$C$2:$C$20000,데이터!$A$2:$A$20000,$A175,데이터!$E$2:$E$20000,1)))</f>
        <v/>
      </c>
      <c r="C175" s="5">
        <f>IFERROR(IF(OR($B175="",COUNTIFS(데이터!$A$2:$A$20000,$A175,데이터!$E$2:$E$20000,설정!$B$2)=0),"",$B175/SUMIFS(데이터!$C$2:$C$20000,데이터!$A$2:$A$20000,$A175,데이터!$E$2:$E$20000,설정!$B$2)-1),"")</f>
        <v/>
      </c>
      <c r="D175" s="5">
        <f>IFERROR(IF(OR($B175="",COUNTIFS(데이터!$A$2:$A$20000,$A175,데이터!$E$2:$E$20000,설정!$B$3)=0),"",$B175/SUMIFS(데이터!$C$2:$C$20000,데이터!$A$2:$A$20000,$A175,데이터!$E$2:$E$20000,설정!$B$3)-1),"")</f>
        <v/>
      </c>
      <c r="E175" s="5">
        <f>IFERROR(IF(OR($B175="",COUNTIFS(데이터!$A$2:$A$20000,$A175,데이터!$E$2:$E$20000,설정!$B$4)=0),"",$B175/SUMIFS(데이터!$C$2:$C$20000,데이터!$A$2:$A$20000,$A175,데이터!$E$2:$E$20000,설정!$B$4)-1),"")</f>
        <v/>
      </c>
      <c r="F175" s="5">
        <f>IFERROR(IF(OR($B175="",COUNTIFS(데이터!$A$2:$A$20000,$A175,데이터!$E$2:$E$20000,설정!$B$5)=0),"",$B175/SUMIFS(데이터!$C$2:$C$20000,데이터!$A$2:$A$20000,$A175,데이터!$E$2:$E$20000,설정!$B$5)-1),"")</f>
        <v/>
      </c>
      <c r="G175" s="5">
        <f>IFERROR(IF(OR($B175="",COUNTIFS(데이터!$A$2:$A$20000,$A175,데이터!$E$2:$E$20000,설정!$B$6)=0),"",$B175/SUMIFS(데이터!$C$2:$C$20000,데이터!$A$2:$A$20000,$A175,데이터!$E$2:$E$20000,설정!$B$6)-1),"")</f>
        <v/>
      </c>
      <c r="H175" s="5">
        <f>IFERROR(IF(OR($B175="",COUNTIFS(데이터!$A$2:$A$20000,$A175,데이터!$E$2:$E$20000,설정!$B$7)=0),"",$B175/SUMIFS(데이터!$C$2:$C$20000,데이터!$A$2:$A$20000,$A175,데이터!$E$2:$E$20000,설정!$B$7)-1),"")</f>
        <v/>
      </c>
      <c r="J175">
        <f>IF(C175="","",C175+ROW()*0.000000001)</f>
        <v/>
      </c>
      <c r="K175">
        <f>IF(D175="","",D175+ROW()*0.000000001)</f>
        <v/>
      </c>
      <c r="L175">
        <f>IF(E175="","",E175+ROW()*0.000000001)</f>
        <v/>
      </c>
      <c r="M175">
        <f>IF(F175="","",F175+ROW()*0.000000001)</f>
        <v/>
      </c>
      <c r="N175">
        <f>IF(G175="","",G175+ROW()*0.000000001)</f>
        <v/>
      </c>
      <c r="O175">
        <f>IF(H175="","",H175+ROW()*0.000000001)</f>
        <v/>
      </c>
    </row>
    <row r="176">
      <c r="B176" s="4">
        <f>IF($A176="","",IF(COUNTIFS(데이터!$A$2:$A$20000,$A176,데이터!$E$2:$E$20000,1)=0,"",SUMIFS(데이터!$C$2:$C$20000,데이터!$A$2:$A$20000,$A176,데이터!$E$2:$E$20000,1)))</f>
        <v/>
      </c>
      <c r="C176" s="5">
        <f>IFERROR(IF(OR($B176="",COUNTIFS(데이터!$A$2:$A$20000,$A176,데이터!$E$2:$E$20000,설정!$B$2)=0),"",$B176/SUMIFS(데이터!$C$2:$C$20000,데이터!$A$2:$A$20000,$A176,데이터!$E$2:$E$20000,설정!$B$2)-1),"")</f>
        <v/>
      </c>
      <c r="D176" s="5">
        <f>IFERROR(IF(OR($B176="",COUNTIFS(데이터!$A$2:$A$20000,$A176,데이터!$E$2:$E$20000,설정!$B$3)=0),"",$B176/SUMIFS(데이터!$C$2:$C$20000,데이터!$A$2:$A$20000,$A176,데이터!$E$2:$E$20000,설정!$B$3)-1),"")</f>
        <v/>
      </c>
      <c r="E176" s="5">
        <f>IFERROR(IF(OR($B176="",COUNTIFS(데이터!$A$2:$A$20000,$A176,데이터!$E$2:$E$20000,설정!$B$4)=0),"",$B176/SUMIFS(데이터!$C$2:$C$20000,데이터!$A$2:$A$20000,$A176,데이터!$E$2:$E$20000,설정!$B$4)-1),"")</f>
        <v/>
      </c>
      <c r="F176" s="5">
        <f>IFERROR(IF(OR($B176="",COUNTIFS(데이터!$A$2:$A$20000,$A176,데이터!$E$2:$E$20000,설정!$B$5)=0),"",$B176/SUMIFS(데이터!$C$2:$C$20000,데이터!$A$2:$A$20000,$A176,데이터!$E$2:$E$20000,설정!$B$5)-1),"")</f>
        <v/>
      </c>
      <c r="G176" s="5">
        <f>IFERROR(IF(OR($B176="",COUNTIFS(데이터!$A$2:$A$20000,$A176,데이터!$E$2:$E$20000,설정!$B$6)=0),"",$B176/SUMIFS(데이터!$C$2:$C$20000,데이터!$A$2:$A$20000,$A176,데이터!$E$2:$E$20000,설정!$B$6)-1),"")</f>
        <v/>
      </c>
      <c r="H176" s="5">
        <f>IFERROR(IF(OR($B176="",COUNTIFS(데이터!$A$2:$A$20000,$A176,데이터!$E$2:$E$20000,설정!$B$7)=0),"",$B176/SUMIFS(데이터!$C$2:$C$20000,데이터!$A$2:$A$20000,$A176,데이터!$E$2:$E$20000,설정!$B$7)-1),"")</f>
        <v/>
      </c>
      <c r="J176">
        <f>IF(C176="","",C176+ROW()*0.000000001)</f>
        <v/>
      </c>
      <c r="K176">
        <f>IF(D176="","",D176+ROW()*0.000000001)</f>
        <v/>
      </c>
      <c r="L176">
        <f>IF(E176="","",E176+ROW()*0.000000001)</f>
        <v/>
      </c>
      <c r="M176">
        <f>IF(F176="","",F176+ROW()*0.000000001)</f>
        <v/>
      </c>
      <c r="N176">
        <f>IF(G176="","",G176+ROW()*0.000000001)</f>
        <v/>
      </c>
      <c r="O176">
        <f>IF(H176="","",H176+ROW()*0.000000001)</f>
        <v/>
      </c>
    </row>
    <row r="177">
      <c r="B177" s="4">
        <f>IF($A177="","",IF(COUNTIFS(데이터!$A$2:$A$20000,$A177,데이터!$E$2:$E$20000,1)=0,"",SUMIFS(데이터!$C$2:$C$20000,데이터!$A$2:$A$20000,$A177,데이터!$E$2:$E$20000,1)))</f>
        <v/>
      </c>
      <c r="C177" s="5">
        <f>IFERROR(IF(OR($B177="",COUNTIFS(데이터!$A$2:$A$20000,$A177,데이터!$E$2:$E$20000,설정!$B$2)=0),"",$B177/SUMIFS(데이터!$C$2:$C$20000,데이터!$A$2:$A$20000,$A177,데이터!$E$2:$E$20000,설정!$B$2)-1),"")</f>
        <v/>
      </c>
      <c r="D177" s="5">
        <f>IFERROR(IF(OR($B177="",COUNTIFS(데이터!$A$2:$A$20000,$A177,데이터!$E$2:$E$20000,설정!$B$3)=0),"",$B177/SUMIFS(데이터!$C$2:$C$20000,데이터!$A$2:$A$20000,$A177,데이터!$E$2:$E$20000,설정!$B$3)-1),"")</f>
        <v/>
      </c>
      <c r="E177" s="5">
        <f>IFERROR(IF(OR($B177="",COUNTIFS(데이터!$A$2:$A$20000,$A177,데이터!$E$2:$E$20000,설정!$B$4)=0),"",$B177/SUMIFS(데이터!$C$2:$C$20000,데이터!$A$2:$A$20000,$A177,데이터!$E$2:$E$20000,설정!$B$4)-1),"")</f>
        <v/>
      </c>
      <c r="F177" s="5">
        <f>IFERROR(IF(OR($B177="",COUNTIFS(데이터!$A$2:$A$20000,$A177,데이터!$E$2:$E$20000,설정!$B$5)=0),"",$B177/SUMIFS(데이터!$C$2:$C$20000,데이터!$A$2:$A$20000,$A177,데이터!$E$2:$E$20000,설정!$B$5)-1),"")</f>
        <v/>
      </c>
      <c r="G177" s="5">
        <f>IFERROR(IF(OR($B177="",COUNTIFS(데이터!$A$2:$A$20000,$A177,데이터!$E$2:$E$20000,설정!$B$6)=0),"",$B177/SUMIFS(데이터!$C$2:$C$20000,데이터!$A$2:$A$20000,$A177,데이터!$E$2:$E$20000,설정!$B$6)-1),"")</f>
        <v/>
      </c>
      <c r="H177" s="5">
        <f>IFERROR(IF(OR($B177="",COUNTIFS(데이터!$A$2:$A$20000,$A177,데이터!$E$2:$E$20000,설정!$B$7)=0),"",$B177/SUMIFS(데이터!$C$2:$C$20000,데이터!$A$2:$A$20000,$A177,데이터!$E$2:$E$20000,설정!$B$7)-1),"")</f>
        <v/>
      </c>
      <c r="J177">
        <f>IF(C177="","",C177+ROW()*0.000000001)</f>
        <v/>
      </c>
      <c r="K177">
        <f>IF(D177="","",D177+ROW()*0.000000001)</f>
        <v/>
      </c>
      <c r="L177">
        <f>IF(E177="","",E177+ROW()*0.000000001)</f>
        <v/>
      </c>
      <c r="M177">
        <f>IF(F177="","",F177+ROW()*0.000000001)</f>
        <v/>
      </c>
      <c r="N177">
        <f>IF(G177="","",G177+ROW()*0.000000001)</f>
        <v/>
      </c>
      <c r="O177">
        <f>IF(H177="","",H177+ROW()*0.000000001)</f>
        <v/>
      </c>
    </row>
    <row r="178">
      <c r="B178" s="4">
        <f>IF($A178="","",IF(COUNTIFS(데이터!$A$2:$A$20000,$A178,데이터!$E$2:$E$20000,1)=0,"",SUMIFS(데이터!$C$2:$C$20000,데이터!$A$2:$A$20000,$A178,데이터!$E$2:$E$20000,1)))</f>
        <v/>
      </c>
      <c r="C178" s="5">
        <f>IFERROR(IF(OR($B178="",COUNTIFS(데이터!$A$2:$A$20000,$A178,데이터!$E$2:$E$20000,설정!$B$2)=0),"",$B178/SUMIFS(데이터!$C$2:$C$20000,데이터!$A$2:$A$20000,$A178,데이터!$E$2:$E$20000,설정!$B$2)-1),"")</f>
        <v/>
      </c>
      <c r="D178" s="5">
        <f>IFERROR(IF(OR($B178="",COUNTIFS(데이터!$A$2:$A$20000,$A178,데이터!$E$2:$E$20000,설정!$B$3)=0),"",$B178/SUMIFS(데이터!$C$2:$C$20000,데이터!$A$2:$A$20000,$A178,데이터!$E$2:$E$20000,설정!$B$3)-1),"")</f>
        <v/>
      </c>
      <c r="E178" s="5">
        <f>IFERROR(IF(OR($B178="",COUNTIFS(데이터!$A$2:$A$20000,$A178,데이터!$E$2:$E$20000,설정!$B$4)=0),"",$B178/SUMIFS(데이터!$C$2:$C$20000,데이터!$A$2:$A$20000,$A178,데이터!$E$2:$E$20000,설정!$B$4)-1),"")</f>
        <v/>
      </c>
      <c r="F178" s="5">
        <f>IFERROR(IF(OR($B178="",COUNTIFS(데이터!$A$2:$A$20000,$A178,데이터!$E$2:$E$20000,설정!$B$5)=0),"",$B178/SUMIFS(데이터!$C$2:$C$20000,데이터!$A$2:$A$20000,$A178,데이터!$E$2:$E$20000,설정!$B$5)-1),"")</f>
        <v/>
      </c>
      <c r="G178" s="5">
        <f>IFERROR(IF(OR($B178="",COUNTIFS(데이터!$A$2:$A$20000,$A178,데이터!$E$2:$E$20000,설정!$B$6)=0),"",$B178/SUMIFS(데이터!$C$2:$C$20000,데이터!$A$2:$A$20000,$A178,데이터!$E$2:$E$20000,설정!$B$6)-1),"")</f>
        <v/>
      </c>
      <c r="H178" s="5">
        <f>IFERROR(IF(OR($B178="",COUNTIFS(데이터!$A$2:$A$20000,$A178,데이터!$E$2:$E$20000,설정!$B$7)=0),"",$B178/SUMIFS(데이터!$C$2:$C$20000,데이터!$A$2:$A$20000,$A178,데이터!$E$2:$E$20000,설정!$B$7)-1),"")</f>
        <v/>
      </c>
      <c r="J178">
        <f>IF(C178="","",C178+ROW()*0.000000001)</f>
        <v/>
      </c>
      <c r="K178">
        <f>IF(D178="","",D178+ROW()*0.000000001)</f>
        <v/>
      </c>
      <c r="L178">
        <f>IF(E178="","",E178+ROW()*0.000000001)</f>
        <v/>
      </c>
      <c r="M178">
        <f>IF(F178="","",F178+ROW()*0.000000001)</f>
        <v/>
      </c>
      <c r="N178">
        <f>IF(G178="","",G178+ROW()*0.000000001)</f>
        <v/>
      </c>
      <c r="O178">
        <f>IF(H178="","",H178+ROW()*0.000000001)</f>
        <v/>
      </c>
    </row>
    <row r="179">
      <c r="B179" s="4">
        <f>IF($A179="","",IF(COUNTIFS(데이터!$A$2:$A$20000,$A179,데이터!$E$2:$E$20000,1)=0,"",SUMIFS(데이터!$C$2:$C$20000,데이터!$A$2:$A$20000,$A179,데이터!$E$2:$E$20000,1)))</f>
        <v/>
      </c>
      <c r="C179" s="5">
        <f>IFERROR(IF(OR($B179="",COUNTIFS(데이터!$A$2:$A$20000,$A179,데이터!$E$2:$E$20000,설정!$B$2)=0),"",$B179/SUMIFS(데이터!$C$2:$C$20000,데이터!$A$2:$A$20000,$A179,데이터!$E$2:$E$20000,설정!$B$2)-1),"")</f>
        <v/>
      </c>
      <c r="D179" s="5">
        <f>IFERROR(IF(OR($B179="",COUNTIFS(데이터!$A$2:$A$20000,$A179,데이터!$E$2:$E$20000,설정!$B$3)=0),"",$B179/SUMIFS(데이터!$C$2:$C$20000,데이터!$A$2:$A$20000,$A179,데이터!$E$2:$E$20000,설정!$B$3)-1),"")</f>
        <v/>
      </c>
      <c r="E179" s="5">
        <f>IFERROR(IF(OR($B179="",COUNTIFS(데이터!$A$2:$A$20000,$A179,데이터!$E$2:$E$20000,설정!$B$4)=0),"",$B179/SUMIFS(데이터!$C$2:$C$20000,데이터!$A$2:$A$20000,$A179,데이터!$E$2:$E$20000,설정!$B$4)-1),"")</f>
        <v/>
      </c>
      <c r="F179" s="5">
        <f>IFERROR(IF(OR($B179="",COUNTIFS(데이터!$A$2:$A$20000,$A179,데이터!$E$2:$E$20000,설정!$B$5)=0),"",$B179/SUMIFS(데이터!$C$2:$C$20000,데이터!$A$2:$A$20000,$A179,데이터!$E$2:$E$20000,설정!$B$5)-1),"")</f>
        <v/>
      </c>
      <c r="G179" s="5">
        <f>IFERROR(IF(OR($B179="",COUNTIFS(데이터!$A$2:$A$20000,$A179,데이터!$E$2:$E$20000,설정!$B$6)=0),"",$B179/SUMIFS(데이터!$C$2:$C$20000,데이터!$A$2:$A$20000,$A179,데이터!$E$2:$E$20000,설정!$B$6)-1),"")</f>
        <v/>
      </c>
      <c r="H179" s="5">
        <f>IFERROR(IF(OR($B179="",COUNTIFS(데이터!$A$2:$A$20000,$A179,데이터!$E$2:$E$20000,설정!$B$7)=0),"",$B179/SUMIFS(데이터!$C$2:$C$20000,데이터!$A$2:$A$20000,$A179,데이터!$E$2:$E$20000,설정!$B$7)-1),"")</f>
        <v/>
      </c>
      <c r="J179">
        <f>IF(C179="","",C179+ROW()*0.000000001)</f>
        <v/>
      </c>
      <c r="K179">
        <f>IF(D179="","",D179+ROW()*0.000000001)</f>
        <v/>
      </c>
      <c r="L179">
        <f>IF(E179="","",E179+ROW()*0.000000001)</f>
        <v/>
      </c>
      <c r="M179">
        <f>IF(F179="","",F179+ROW()*0.000000001)</f>
        <v/>
      </c>
      <c r="N179">
        <f>IF(G179="","",G179+ROW()*0.000000001)</f>
        <v/>
      </c>
      <c r="O179">
        <f>IF(H179="","",H179+ROW()*0.000000001)</f>
        <v/>
      </c>
    </row>
    <row r="180">
      <c r="B180" s="4">
        <f>IF($A180="","",IF(COUNTIFS(데이터!$A$2:$A$20000,$A180,데이터!$E$2:$E$20000,1)=0,"",SUMIFS(데이터!$C$2:$C$20000,데이터!$A$2:$A$20000,$A180,데이터!$E$2:$E$20000,1)))</f>
        <v/>
      </c>
      <c r="C180" s="5">
        <f>IFERROR(IF(OR($B180="",COUNTIFS(데이터!$A$2:$A$20000,$A180,데이터!$E$2:$E$20000,설정!$B$2)=0),"",$B180/SUMIFS(데이터!$C$2:$C$20000,데이터!$A$2:$A$20000,$A180,데이터!$E$2:$E$20000,설정!$B$2)-1),"")</f>
        <v/>
      </c>
      <c r="D180" s="5">
        <f>IFERROR(IF(OR($B180="",COUNTIFS(데이터!$A$2:$A$20000,$A180,데이터!$E$2:$E$20000,설정!$B$3)=0),"",$B180/SUMIFS(데이터!$C$2:$C$20000,데이터!$A$2:$A$20000,$A180,데이터!$E$2:$E$20000,설정!$B$3)-1),"")</f>
        <v/>
      </c>
      <c r="E180" s="5">
        <f>IFERROR(IF(OR($B180="",COUNTIFS(데이터!$A$2:$A$20000,$A180,데이터!$E$2:$E$20000,설정!$B$4)=0),"",$B180/SUMIFS(데이터!$C$2:$C$20000,데이터!$A$2:$A$20000,$A180,데이터!$E$2:$E$20000,설정!$B$4)-1),"")</f>
        <v/>
      </c>
      <c r="F180" s="5">
        <f>IFERROR(IF(OR($B180="",COUNTIFS(데이터!$A$2:$A$20000,$A180,데이터!$E$2:$E$20000,설정!$B$5)=0),"",$B180/SUMIFS(데이터!$C$2:$C$20000,데이터!$A$2:$A$20000,$A180,데이터!$E$2:$E$20000,설정!$B$5)-1),"")</f>
        <v/>
      </c>
      <c r="G180" s="5">
        <f>IFERROR(IF(OR($B180="",COUNTIFS(데이터!$A$2:$A$20000,$A180,데이터!$E$2:$E$20000,설정!$B$6)=0),"",$B180/SUMIFS(데이터!$C$2:$C$20000,데이터!$A$2:$A$20000,$A180,데이터!$E$2:$E$20000,설정!$B$6)-1),"")</f>
        <v/>
      </c>
      <c r="H180" s="5">
        <f>IFERROR(IF(OR($B180="",COUNTIFS(데이터!$A$2:$A$20000,$A180,데이터!$E$2:$E$20000,설정!$B$7)=0),"",$B180/SUMIFS(데이터!$C$2:$C$20000,데이터!$A$2:$A$20000,$A180,데이터!$E$2:$E$20000,설정!$B$7)-1),"")</f>
        <v/>
      </c>
      <c r="J180">
        <f>IF(C180="","",C180+ROW()*0.000000001)</f>
        <v/>
      </c>
      <c r="K180">
        <f>IF(D180="","",D180+ROW()*0.000000001)</f>
        <v/>
      </c>
      <c r="L180">
        <f>IF(E180="","",E180+ROW()*0.000000001)</f>
        <v/>
      </c>
      <c r="M180">
        <f>IF(F180="","",F180+ROW()*0.000000001)</f>
        <v/>
      </c>
      <c r="N180">
        <f>IF(G180="","",G180+ROW()*0.000000001)</f>
        <v/>
      </c>
      <c r="O180">
        <f>IF(H180="","",H180+ROW()*0.000000001)</f>
        <v/>
      </c>
    </row>
    <row r="181">
      <c r="B181" s="4">
        <f>IF($A181="","",IF(COUNTIFS(데이터!$A$2:$A$20000,$A181,데이터!$E$2:$E$20000,1)=0,"",SUMIFS(데이터!$C$2:$C$20000,데이터!$A$2:$A$20000,$A181,데이터!$E$2:$E$20000,1)))</f>
        <v/>
      </c>
      <c r="C181" s="5">
        <f>IFERROR(IF(OR($B181="",COUNTIFS(데이터!$A$2:$A$20000,$A181,데이터!$E$2:$E$20000,설정!$B$2)=0),"",$B181/SUMIFS(데이터!$C$2:$C$20000,데이터!$A$2:$A$20000,$A181,데이터!$E$2:$E$20000,설정!$B$2)-1),"")</f>
        <v/>
      </c>
      <c r="D181" s="5">
        <f>IFERROR(IF(OR($B181="",COUNTIFS(데이터!$A$2:$A$20000,$A181,데이터!$E$2:$E$20000,설정!$B$3)=0),"",$B181/SUMIFS(데이터!$C$2:$C$20000,데이터!$A$2:$A$20000,$A181,데이터!$E$2:$E$20000,설정!$B$3)-1),"")</f>
        <v/>
      </c>
      <c r="E181" s="5">
        <f>IFERROR(IF(OR($B181="",COUNTIFS(데이터!$A$2:$A$20000,$A181,데이터!$E$2:$E$20000,설정!$B$4)=0),"",$B181/SUMIFS(데이터!$C$2:$C$20000,데이터!$A$2:$A$20000,$A181,데이터!$E$2:$E$20000,설정!$B$4)-1),"")</f>
        <v/>
      </c>
      <c r="F181" s="5">
        <f>IFERROR(IF(OR($B181="",COUNTIFS(데이터!$A$2:$A$20000,$A181,데이터!$E$2:$E$20000,설정!$B$5)=0),"",$B181/SUMIFS(데이터!$C$2:$C$20000,데이터!$A$2:$A$20000,$A181,데이터!$E$2:$E$20000,설정!$B$5)-1),"")</f>
        <v/>
      </c>
      <c r="G181" s="5">
        <f>IFERROR(IF(OR($B181="",COUNTIFS(데이터!$A$2:$A$20000,$A181,데이터!$E$2:$E$20000,설정!$B$6)=0),"",$B181/SUMIFS(데이터!$C$2:$C$20000,데이터!$A$2:$A$20000,$A181,데이터!$E$2:$E$20000,설정!$B$6)-1),"")</f>
        <v/>
      </c>
      <c r="H181" s="5">
        <f>IFERROR(IF(OR($B181="",COUNTIFS(데이터!$A$2:$A$20000,$A181,데이터!$E$2:$E$20000,설정!$B$7)=0),"",$B181/SUMIFS(데이터!$C$2:$C$20000,데이터!$A$2:$A$20000,$A181,데이터!$E$2:$E$20000,설정!$B$7)-1),"")</f>
        <v/>
      </c>
      <c r="J181">
        <f>IF(C181="","",C181+ROW()*0.000000001)</f>
        <v/>
      </c>
      <c r="K181">
        <f>IF(D181="","",D181+ROW()*0.000000001)</f>
        <v/>
      </c>
      <c r="L181">
        <f>IF(E181="","",E181+ROW()*0.000000001)</f>
        <v/>
      </c>
      <c r="M181">
        <f>IF(F181="","",F181+ROW()*0.000000001)</f>
        <v/>
      </c>
      <c r="N181">
        <f>IF(G181="","",G181+ROW()*0.000000001)</f>
        <v/>
      </c>
      <c r="O181">
        <f>IF(H181="","",H181+ROW()*0.000000001)</f>
        <v/>
      </c>
    </row>
    <row r="182">
      <c r="B182" s="4">
        <f>IF($A182="","",IF(COUNTIFS(데이터!$A$2:$A$20000,$A182,데이터!$E$2:$E$20000,1)=0,"",SUMIFS(데이터!$C$2:$C$20000,데이터!$A$2:$A$20000,$A182,데이터!$E$2:$E$20000,1)))</f>
        <v/>
      </c>
      <c r="C182" s="5">
        <f>IFERROR(IF(OR($B182="",COUNTIFS(데이터!$A$2:$A$20000,$A182,데이터!$E$2:$E$20000,설정!$B$2)=0),"",$B182/SUMIFS(데이터!$C$2:$C$20000,데이터!$A$2:$A$20000,$A182,데이터!$E$2:$E$20000,설정!$B$2)-1),"")</f>
        <v/>
      </c>
      <c r="D182" s="5">
        <f>IFERROR(IF(OR($B182="",COUNTIFS(데이터!$A$2:$A$20000,$A182,데이터!$E$2:$E$20000,설정!$B$3)=0),"",$B182/SUMIFS(데이터!$C$2:$C$20000,데이터!$A$2:$A$20000,$A182,데이터!$E$2:$E$20000,설정!$B$3)-1),"")</f>
        <v/>
      </c>
      <c r="E182" s="5">
        <f>IFERROR(IF(OR($B182="",COUNTIFS(데이터!$A$2:$A$20000,$A182,데이터!$E$2:$E$20000,설정!$B$4)=0),"",$B182/SUMIFS(데이터!$C$2:$C$20000,데이터!$A$2:$A$20000,$A182,데이터!$E$2:$E$20000,설정!$B$4)-1),"")</f>
        <v/>
      </c>
      <c r="F182" s="5">
        <f>IFERROR(IF(OR($B182="",COUNTIFS(데이터!$A$2:$A$20000,$A182,데이터!$E$2:$E$20000,설정!$B$5)=0),"",$B182/SUMIFS(데이터!$C$2:$C$20000,데이터!$A$2:$A$20000,$A182,데이터!$E$2:$E$20000,설정!$B$5)-1),"")</f>
        <v/>
      </c>
      <c r="G182" s="5">
        <f>IFERROR(IF(OR($B182="",COUNTIFS(데이터!$A$2:$A$20000,$A182,데이터!$E$2:$E$20000,설정!$B$6)=0),"",$B182/SUMIFS(데이터!$C$2:$C$20000,데이터!$A$2:$A$20000,$A182,데이터!$E$2:$E$20000,설정!$B$6)-1),"")</f>
        <v/>
      </c>
      <c r="H182" s="5">
        <f>IFERROR(IF(OR($B182="",COUNTIFS(데이터!$A$2:$A$20000,$A182,데이터!$E$2:$E$20000,설정!$B$7)=0),"",$B182/SUMIFS(데이터!$C$2:$C$20000,데이터!$A$2:$A$20000,$A182,데이터!$E$2:$E$20000,설정!$B$7)-1),"")</f>
        <v/>
      </c>
      <c r="J182">
        <f>IF(C182="","",C182+ROW()*0.000000001)</f>
        <v/>
      </c>
      <c r="K182">
        <f>IF(D182="","",D182+ROW()*0.000000001)</f>
        <v/>
      </c>
      <c r="L182">
        <f>IF(E182="","",E182+ROW()*0.000000001)</f>
        <v/>
      </c>
      <c r="M182">
        <f>IF(F182="","",F182+ROW()*0.000000001)</f>
        <v/>
      </c>
      <c r="N182">
        <f>IF(G182="","",G182+ROW()*0.000000001)</f>
        <v/>
      </c>
      <c r="O182">
        <f>IF(H182="","",H182+ROW()*0.000000001)</f>
        <v/>
      </c>
    </row>
    <row r="183">
      <c r="B183" s="4">
        <f>IF($A183="","",IF(COUNTIFS(데이터!$A$2:$A$20000,$A183,데이터!$E$2:$E$20000,1)=0,"",SUMIFS(데이터!$C$2:$C$20000,데이터!$A$2:$A$20000,$A183,데이터!$E$2:$E$20000,1)))</f>
        <v/>
      </c>
      <c r="C183" s="5">
        <f>IFERROR(IF(OR($B183="",COUNTIFS(데이터!$A$2:$A$20000,$A183,데이터!$E$2:$E$20000,설정!$B$2)=0),"",$B183/SUMIFS(데이터!$C$2:$C$20000,데이터!$A$2:$A$20000,$A183,데이터!$E$2:$E$20000,설정!$B$2)-1),"")</f>
        <v/>
      </c>
      <c r="D183" s="5">
        <f>IFERROR(IF(OR($B183="",COUNTIFS(데이터!$A$2:$A$20000,$A183,데이터!$E$2:$E$20000,설정!$B$3)=0),"",$B183/SUMIFS(데이터!$C$2:$C$20000,데이터!$A$2:$A$20000,$A183,데이터!$E$2:$E$20000,설정!$B$3)-1),"")</f>
        <v/>
      </c>
      <c r="E183" s="5">
        <f>IFERROR(IF(OR($B183="",COUNTIFS(데이터!$A$2:$A$20000,$A183,데이터!$E$2:$E$20000,설정!$B$4)=0),"",$B183/SUMIFS(데이터!$C$2:$C$20000,데이터!$A$2:$A$20000,$A183,데이터!$E$2:$E$20000,설정!$B$4)-1),"")</f>
        <v/>
      </c>
      <c r="F183" s="5">
        <f>IFERROR(IF(OR($B183="",COUNTIFS(데이터!$A$2:$A$20000,$A183,데이터!$E$2:$E$20000,설정!$B$5)=0),"",$B183/SUMIFS(데이터!$C$2:$C$20000,데이터!$A$2:$A$20000,$A183,데이터!$E$2:$E$20000,설정!$B$5)-1),"")</f>
        <v/>
      </c>
      <c r="G183" s="5">
        <f>IFERROR(IF(OR($B183="",COUNTIFS(데이터!$A$2:$A$20000,$A183,데이터!$E$2:$E$20000,설정!$B$6)=0),"",$B183/SUMIFS(데이터!$C$2:$C$20000,데이터!$A$2:$A$20000,$A183,데이터!$E$2:$E$20000,설정!$B$6)-1),"")</f>
        <v/>
      </c>
      <c r="H183" s="5">
        <f>IFERROR(IF(OR($B183="",COUNTIFS(데이터!$A$2:$A$20000,$A183,데이터!$E$2:$E$20000,설정!$B$7)=0),"",$B183/SUMIFS(데이터!$C$2:$C$20000,데이터!$A$2:$A$20000,$A183,데이터!$E$2:$E$20000,설정!$B$7)-1),"")</f>
        <v/>
      </c>
      <c r="J183">
        <f>IF(C183="","",C183+ROW()*0.000000001)</f>
        <v/>
      </c>
      <c r="K183">
        <f>IF(D183="","",D183+ROW()*0.000000001)</f>
        <v/>
      </c>
      <c r="L183">
        <f>IF(E183="","",E183+ROW()*0.000000001)</f>
        <v/>
      </c>
      <c r="M183">
        <f>IF(F183="","",F183+ROW()*0.000000001)</f>
        <v/>
      </c>
      <c r="N183">
        <f>IF(G183="","",G183+ROW()*0.000000001)</f>
        <v/>
      </c>
      <c r="O183">
        <f>IF(H183="","",H183+ROW()*0.000000001)</f>
        <v/>
      </c>
    </row>
    <row r="184">
      <c r="B184" s="4">
        <f>IF($A184="","",IF(COUNTIFS(데이터!$A$2:$A$20000,$A184,데이터!$E$2:$E$20000,1)=0,"",SUMIFS(데이터!$C$2:$C$20000,데이터!$A$2:$A$20000,$A184,데이터!$E$2:$E$20000,1)))</f>
        <v/>
      </c>
      <c r="C184" s="5">
        <f>IFERROR(IF(OR($B184="",COUNTIFS(데이터!$A$2:$A$20000,$A184,데이터!$E$2:$E$20000,설정!$B$2)=0),"",$B184/SUMIFS(데이터!$C$2:$C$20000,데이터!$A$2:$A$20000,$A184,데이터!$E$2:$E$20000,설정!$B$2)-1),"")</f>
        <v/>
      </c>
      <c r="D184" s="5">
        <f>IFERROR(IF(OR($B184="",COUNTIFS(데이터!$A$2:$A$20000,$A184,데이터!$E$2:$E$20000,설정!$B$3)=0),"",$B184/SUMIFS(데이터!$C$2:$C$20000,데이터!$A$2:$A$20000,$A184,데이터!$E$2:$E$20000,설정!$B$3)-1),"")</f>
        <v/>
      </c>
      <c r="E184" s="5">
        <f>IFERROR(IF(OR($B184="",COUNTIFS(데이터!$A$2:$A$20000,$A184,데이터!$E$2:$E$20000,설정!$B$4)=0),"",$B184/SUMIFS(데이터!$C$2:$C$20000,데이터!$A$2:$A$20000,$A184,데이터!$E$2:$E$20000,설정!$B$4)-1),"")</f>
        <v/>
      </c>
      <c r="F184" s="5">
        <f>IFERROR(IF(OR($B184="",COUNTIFS(데이터!$A$2:$A$20000,$A184,데이터!$E$2:$E$20000,설정!$B$5)=0),"",$B184/SUMIFS(데이터!$C$2:$C$20000,데이터!$A$2:$A$20000,$A184,데이터!$E$2:$E$20000,설정!$B$5)-1),"")</f>
        <v/>
      </c>
      <c r="G184" s="5">
        <f>IFERROR(IF(OR($B184="",COUNTIFS(데이터!$A$2:$A$20000,$A184,데이터!$E$2:$E$20000,설정!$B$6)=0),"",$B184/SUMIFS(데이터!$C$2:$C$20000,데이터!$A$2:$A$20000,$A184,데이터!$E$2:$E$20000,설정!$B$6)-1),"")</f>
        <v/>
      </c>
      <c r="H184" s="5">
        <f>IFERROR(IF(OR($B184="",COUNTIFS(데이터!$A$2:$A$20000,$A184,데이터!$E$2:$E$20000,설정!$B$7)=0),"",$B184/SUMIFS(데이터!$C$2:$C$20000,데이터!$A$2:$A$20000,$A184,데이터!$E$2:$E$20000,설정!$B$7)-1),"")</f>
        <v/>
      </c>
      <c r="J184">
        <f>IF(C184="","",C184+ROW()*0.000000001)</f>
        <v/>
      </c>
      <c r="K184">
        <f>IF(D184="","",D184+ROW()*0.000000001)</f>
        <v/>
      </c>
      <c r="L184">
        <f>IF(E184="","",E184+ROW()*0.000000001)</f>
        <v/>
      </c>
      <c r="M184">
        <f>IF(F184="","",F184+ROW()*0.000000001)</f>
        <v/>
      </c>
      <c r="N184">
        <f>IF(G184="","",G184+ROW()*0.000000001)</f>
        <v/>
      </c>
      <c r="O184">
        <f>IF(H184="","",H184+ROW()*0.000000001)</f>
        <v/>
      </c>
    </row>
    <row r="185">
      <c r="B185" s="4">
        <f>IF($A185="","",IF(COUNTIFS(데이터!$A$2:$A$20000,$A185,데이터!$E$2:$E$20000,1)=0,"",SUMIFS(데이터!$C$2:$C$20000,데이터!$A$2:$A$20000,$A185,데이터!$E$2:$E$20000,1)))</f>
        <v/>
      </c>
      <c r="C185" s="5">
        <f>IFERROR(IF(OR($B185="",COUNTIFS(데이터!$A$2:$A$20000,$A185,데이터!$E$2:$E$20000,설정!$B$2)=0),"",$B185/SUMIFS(데이터!$C$2:$C$20000,데이터!$A$2:$A$20000,$A185,데이터!$E$2:$E$20000,설정!$B$2)-1),"")</f>
        <v/>
      </c>
      <c r="D185" s="5">
        <f>IFERROR(IF(OR($B185="",COUNTIFS(데이터!$A$2:$A$20000,$A185,데이터!$E$2:$E$20000,설정!$B$3)=0),"",$B185/SUMIFS(데이터!$C$2:$C$20000,데이터!$A$2:$A$20000,$A185,데이터!$E$2:$E$20000,설정!$B$3)-1),"")</f>
        <v/>
      </c>
      <c r="E185" s="5">
        <f>IFERROR(IF(OR($B185="",COUNTIFS(데이터!$A$2:$A$20000,$A185,데이터!$E$2:$E$20000,설정!$B$4)=0),"",$B185/SUMIFS(데이터!$C$2:$C$20000,데이터!$A$2:$A$20000,$A185,데이터!$E$2:$E$20000,설정!$B$4)-1),"")</f>
        <v/>
      </c>
      <c r="F185" s="5">
        <f>IFERROR(IF(OR($B185="",COUNTIFS(데이터!$A$2:$A$20000,$A185,데이터!$E$2:$E$20000,설정!$B$5)=0),"",$B185/SUMIFS(데이터!$C$2:$C$20000,데이터!$A$2:$A$20000,$A185,데이터!$E$2:$E$20000,설정!$B$5)-1),"")</f>
        <v/>
      </c>
      <c r="G185" s="5">
        <f>IFERROR(IF(OR($B185="",COUNTIFS(데이터!$A$2:$A$20000,$A185,데이터!$E$2:$E$20000,설정!$B$6)=0),"",$B185/SUMIFS(데이터!$C$2:$C$20000,데이터!$A$2:$A$20000,$A185,데이터!$E$2:$E$20000,설정!$B$6)-1),"")</f>
        <v/>
      </c>
      <c r="H185" s="5">
        <f>IFERROR(IF(OR($B185="",COUNTIFS(데이터!$A$2:$A$20000,$A185,데이터!$E$2:$E$20000,설정!$B$7)=0),"",$B185/SUMIFS(데이터!$C$2:$C$20000,데이터!$A$2:$A$20000,$A185,데이터!$E$2:$E$20000,설정!$B$7)-1),"")</f>
        <v/>
      </c>
      <c r="J185">
        <f>IF(C185="","",C185+ROW()*0.000000001)</f>
        <v/>
      </c>
      <c r="K185">
        <f>IF(D185="","",D185+ROW()*0.000000001)</f>
        <v/>
      </c>
      <c r="L185">
        <f>IF(E185="","",E185+ROW()*0.000000001)</f>
        <v/>
      </c>
      <c r="M185">
        <f>IF(F185="","",F185+ROW()*0.000000001)</f>
        <v/>
      </c>
      <c r="N185">
        <f>IF(G185="","",G185+ROW()*0.000000001)</f>
        <v/>
      </c>
      <c r="O185">
        <f>IF(H185="","",H185+ROW()*0.000000001)</f>
        <v/>
      </c>
    </row>
    <row r="186">
      <c r="B186" s="4">
        <f>IF($A186="","",IF(COUNTIFS(데이터!$A$2:$A$20000,$A186,데이터!$E$2:$E$20000,1)=0,"",SUMIFS(데이터!$C$2:$C$20000,데이터!$A$2:$A$20000,$A186,데이터!$E$2:$E$20000,1)))</f>
        <v/>
      </c>
      <c r="C186" s="5">
        <f>IFERROR(IF(OR($B186="",COUNTIFS(데이터!$A$2:$A$20000,$A186,데이터!$E$2:$E$20000,설정!$B$2)=0),"",$B186/SUMIFS(데이터!$C$2:$C$20000,데이터!$A$2:$A$20000,$A186,데이터!$E$2:$E$20000,설정!$B$2)-1),"")</f>
        <v/>
      </c>
      <c r="D186" s="5">
        <f>IFERROR(IF(OR($B186="",COUNTIFS(데이터!$A$2:$A$20000,$A186,데이터!$E$2:$E$20000,설정!$B$3)=0),"",$B186/SUMIFS(데이터!$C$2:$C$20000,데이터!$A$2:$A$20000,$A186,데이터!$E$2:$E$20000,설정!$B$3)-1),"")</f>
        <v/>
      </c>
      <c r="E186" s="5">
        <f>IFERROR(IF(OR($B186="",COUNTIFS(데이터!$A$2:$A$20000,$A186,데이터!$E$2:$E$20000,설정!$B$4)=0),"",$B186/SUMIFS(데이터!$C$2:$C$20000,데이터!$A$2:$A$20000,$A186,데이터!$E$2:$E$20000,설정!$B$4)-1),"")</f>
        <v/>
      </c>
      <c r="F186" s="5">
        <f>IFERROR(IF(OR($B186="",COUNTIFS(데이터!$A$2:$A$20000,$A186,데이터!$E$2:$E$20000,설정!$B$5)=0),"",$B186/SUMIFS(데이터!$C$2:$C$20000,데이터!$A$2:$A$20000,$A186,데이터!$E$2:$E$20000,설정!$B$5)-1),"")</f>
        <v/>
      </c>
      <c r="G186" s="5">
        <f>IFERROR(IF(OR($B186="",COUNTIFS(데이터!$A$2:$A$20000,$A186,데이터!$E$2:$E$20000,설정!$B$6)=0),"",$B186/SUMIFS(데이터!$C$2:$C$20000,데이터!$A$2:$A$20000,$A186,데이터!$E$2:$E$20000,설정!$B$6)-1),"")</f>
        <v/>
      </c>
      <c r="H186" s="5">
        <f>IFERROR(IF(OR($B186="",COUNTIFS(데이터!$A$2:$A$20000,$A186,데이터!$E$2:$E$20000,설정!$B$7)=0),"",$B186/SUMIFS(데이터!$C$2:$C$20000,데이터!$A$2:$A$20000,$A186,데이터!$E$2:$E$20000,설정!$B$7)-1),"")</f>
        <v/>
      </c>
      <c r="J186">
        <f>IF(C186="","",C186+ROW()*0.000000001)</f>
        <v/>
      </c>
      <c r="K186">
        <f>IF(D186="","",D186+ROW()*0.000000001)</f>
        <v/>
      </c>
      <c r="L186">
        <f>IF(E186="","",E186+ROW()*0.000000001)</f>
        <v/>
      </c>
      <c r="M186">
        <f>IF(F186="","",F186+ROW()*0.000000001)</f>
        <v/>
      </c>
      <c r="N186">
        <f>IF(G186="","",G186+ROW()*0.000000001)</f>
        <v/>
      </c>
      <c r="O186">
        <f>IF(H186="","",H186+ROW()*0.000000001)</f>
        <v/>
      </c>
    </row>
    <row r="187">
      <c r="B187" s="4">
        <f>IF($A187="","",IF(COUNTIFS(데이터!$A$2:$A$20000,$A187,데이터!$E$2:$E$20000,1)=0,"",SUMIFS(데이터!$C$2:$C$20000,데이터!$A$2:$A$20000,$A187,데이터!$E$2:$E$20000,1)))</f>
        <v/>
      </c>
      <c r="C187" s="5">
        <f>IFERROR(IF(OR($B187="",COUNTIFS(데이터!$A$2:$A$20000,$A187,데이터!$E$2:$E$20000,설정!$B$2)=0),"",$B187/SUMIFS(데이터!$C$2:$C$20000,데이터!$A$2:$A$20000,$A187,데이터!$E$2:$E$20000,설정!$B$2)-1),"")</f>
        <v/>
      </c>
      <c r="D187" s="5">
        <f>IFERROR(IF(OR($B187="",COUNTIFS(데이터!$A$2:$A$20000,$A187,데이터!$E$2:$E$20000,설정!$B$3)=0),"",$B187/SUMIFS(데이터!$C$2:$C$20000,데이터!$A$2:$A$20000,$A187,데이터!$E$2:$E$20000,설정!$B$3)-1),"")</f>
        <v/>
      </c>
      <c r="E187" s="5">
        <f>IFERROR(IF(OR($B187="",COUNTIFS(데이터!$A$2:$A$20000,$A187,데이터!$E$2:$E$20000,설정!$B$4)=0),"",$B187/SUMIFS(데이터!$C$2:$C$20000,데이터!$A$2:$A$20000,$A187,데이터!$E$2:$E$20000,설정!$B$4)-1),"")</f>
        <v/>
      </c>
      <c r="F187" s="5">
        <f>IFERROR(IF(OR($B187="",COUNTIFS(데이터!$A$2:$A$20000,$A187,데이터!$E$2:$E$20000,설정!$B$5)=0),"",$B187/SUMIFS(데이터!$C$2:$C$20000,데이터!$A$2:$A$20000,$A187,데이터!$E$2:$E$20000,설정!$B$5)-1),"")</f>
        <v/>
      </c>
      <c r="G187" s="5">
        <f>IFERROR(IF(OR($B187="",COUNTIFS(데이터!$A$2:$A$20000,$A187,데이터!$E$2:$E$20000,설정!$B$6)=0),"",$B187/SUMIFS(데이터!$C$2:$C$20000,데이터!$A$2:$A$20000,$A187,데이터!$E$2:$E$20000,설정!$B$6)-1),"")</f>
        <v/>
      </c>
      <c r="H187" s="5">
        <f>IFERROR(IF(OR($B187="",COUNTIFS(데이터!$A$2:$A$20000,$A187,데이터!$E$2:$E$20000,설정!$B$7)=0),"",$B187/SUMIFS(데이터!$C$2:$C$20000,데이터!$A$2:$A$20000,$A187,데이터!$E$2:$E$20000,설정!$B$7)-1),"")</f>
        <v/>
      </c>
      <c r="J187">
        <f>IF(C187="","",C187+ROW()*0.000000001)</f>
        <v/>
      </c>
      <c r="K187">
        <f>IF(D187="","",D187+ROW()*0.000000001)</f>
        <v/>
      </c>
      <c r="L187">
        <f>IF(E187="","",E187+ROW()*0.000000001)</f>
        <v/>
      </c>
      <c r="M187">
        <f>IF(F187="","",F187+ROW()*0.000000001)</f>
        <v/>
      </c>
      <c r="N187">
        <f>IF(G187="","",G187+ROW()*0.000000001)</f>
        <v/>
      </c>
      <c r="O187">
        <f>IF(H187="","",H187+ROW()*0.000000001)</f>
        <v/>
      </c>
    </row>
    <row r="188">
      <c r="B188" s="4">
        <f>IF($A188="","",IF(COUNTIFS(데이터!$A$2:$A$20000,$A188,데이터!$E$2:$E$20000,1)=0,"",SUMIFS(데이터!$C$2:$C$20000,데이터!$A$2:$A$20000,$A188,데이터!$E$2:$E$20000,1)))</f>
        <v/>
      </c>
      <c r="C188" s="5">
        <f>IFERROR(IF(OR($B188="",COUNTIFS(데이터!$A$2:$A$20000,$A188,데이터!$E$2:$E$20000,설정!$B$2)=0),"",$B188/SUMIFS(데이터!$C$2:$C$20000,데이터!$A$2:$A$20000,$A188,데이터!$E$2:$E$20000,설정!$B$2)-1),"")</f>
        <v/>
      </c>
      <c r="D188" s="5">
        <f>IFERROR(IF(OR($B188="",COUNTIFS(데이터!$A$2:$A$20000,$A188,데이터!$E$2:$E$20000,설정!$B$3)=0),"",$B188/SUMIFS(데이터!$C$2:$C$20000,데이터!$A$2:$A$20000,$A188,데이터!$E$2:$E$20000,설정!$B$3)-1),"")</f>
        <v/>
      </c>
      <c r="E188" s="5">
        <f>IFERROR(IF(OR($B188="",COUNTIFS(데이터!$A$2:$A$20000,$A188,데이터!$E$2:$E$20000,설정!$B$4)=0),"",$B188/SUMIFS(데이터!$C$2:$C$20000,데이터!$A$2:$A$20000,$A188,데이터!$E$2:$E$20000,설정!$B$4)-1),"")</f>
        <v/>
      </c>
      <c r="F188" s="5">
        <f>IFERROR(IF(OR($B188="",COUNTIFS(데이터!$A$2:$A$20000,$A188,데이터!$E$2:$E$20000,설정!$B$5)=0),"",$B188/SUMIFS(데이터!$C$2:$C$20000,데이터!$A$2:$A$20000,$A188,데이터!$E$2:$E$20000,설정!$B$5)-1),"")</f>
        <v/>
      </c>
      <c r="G188" s="5">
        <f>IFERROR(IF(OR($B188="",COUNTIFS(데이터!$A$2:$A$20000,$A188,데이터!$E$2:$E$20000,설정!$B$6)=0),"",$B188/SUMIFS(데이터!$C$2:$C$20000,데이터!$A$2:$A$20000,$A188,데이터!$E$2:$E$20000,설정!$B$6)-1),"")</f>
        <v/>
      </c>
      <c r="H188" s="5">
        <f>IFERROR(IF(OR($B188="",COUNTIFS(데이터!$A$2:$A$20000,$A188,데이터!$E$2:$E$20000,설정!$B$7)=0),"",$B188/SUMIFS(데이터!$C$2:$C$20000,데이터!$A$2:$A$20000,$A188,데이터!$E$2:$E$20000,설정!$B$7)-1),"")</f>
        <v/>
      </c>
      <c r="J188">
        <f>IF(C188="","",C188+ROW()*0.000000001)</f>
        <v/>
      </c>
      <c r="K188">
        <f>IF(D188="","",D188+ROW()*0.000000001)</f>
        <v/>
      </c>
      <c r="L188">
        <f>IF(E188="","",E188+ROW()*0.000000001)</f>
        <v/>
      </c>
      <c r="M188">
        <f>IF(F188="","",F188+ROW()*0.000000001)</f>
        <v/>
      </c>
      <c r="N188">
        <f>IF(G188="","",G188+ROW()*0.000000001)</f>
        <v/>
      </c>
      <c r="O188">
        <f>IF(H188="","",H188+ROW()*0.000000001)</f>
        <v/>
      </c>
    </row>
    <row r="189">
      <c r="B189" s="4">
        <f>IF($A189="","",IF(COUNTIFS(데이터!$A$2:$A$20000,$A189,데이터!$E$2:$E$20000,1)=0,"",SUMIFS(데이터!$C$2:$C$20000,데이터!$A$2:$A$20000,$A189,데이터!$E$2:$E$20000,1)))</f>
        <v/>
      </c>
      <c r="C189" s="5">
        <f>IFERROR(IF(OR($B189="",COUNTIFS(데이터!$A$2:$A$20000,$A189,데이터!$E$2:$E$20000,설정!$B$2)=0),"",$B189/SUMIFS(데이터!$C$2:$C$20000,데이터!$A$2:$A$20000,$A189,데이터!$E$2:$E$20000,설정!$B$2)-1),"")</f>
        <v/>
      </c>
      <c r="D189" s="5">
        <f>IFERROR(IF(OR($B189="",COUNTIFS(데이터!$A$2:$A$20000,$A189,데이터!$E$2:$E$20000,설정!$B$3)=0),"",$B189/SUMIFS(데이터!$C$2:$C$20000,데이터!$A$2:$A$20000,$A189,데이터!$E$2:$E$20000,설정!$B$3)-1),"")</f>
        <v/>
      </c>
      <c r="E189" s="5">
        <f>IFERROR(IF(OR($B189="",COUNTIFS(데이터!$A$2:$A$20000,$A189,데이터!$E$2:$E$20000,설정!$B$4)=0),"",$B189/SUMIFS(데이터!$C$2:$C$20000,데이터!$A$2:$A$20000,$A189,데이터!$E$2:$E$20000,설정!$B$4)-1),"")</f>
        <v/>
      </c>
      <c r="F189" s="5">
        <f>IFERROR(IF(OR($B189="",COUNTIFS(데이터!$A$2:$A$20000,$A189,데이터!$E$2:$E$20000,설정!$B$5)=0),"",$B189/SUMIFS(데이터!$C$2:$C$20000,데이터!$A$2:$A$20000,$A189,데이터!$E$2:$E$20000,설정!$B$5)-1),"")</f>
        <v/>
      </c>
      <c r="G189" s="5">
        <f>IFERROR(IF(OR($B189="",COUNTIFS(데이터!$A$2:$A$20000,$A189,데이터!$E$2:$E$20000,설정!$B$6)=0),"",$B189/SUMIFS(데이터!$C$2:$C$20000,데이터!$A$2:$A$20000,$A189,데이터!$E$2:$E$20000,설정!$B$6)-1),"")</f>
        <v/>
      </c>
      <c r="H189" s="5">
        <f>IFERROR(IF(OR($B189="",COUNTIFS(데이터!$A$2:$A$20000,$A189,데이터!$E$2:$E$20000,설정!$B$7)=0),"",$B189/SUMIFS(데이터!$C$2:$C$20000,데이터!$A$2:$A$20000,$A189,데이터!$E$2:$E$20000,설정!$B$7)-1),"")</f>
        <v/>
      </c>
      <c r="J189">
        <f>IF(C189="","",C189+ROW()*0.000000001)</f>
        <v/>
      </c>
      <c r="K189">
        <f>IF(D189="","",D189+ROW()*0.000000001)</f>
        <v/>
      </c>
      <c r="L189">
        <f>IF(E189="","",E189+ROW()*0.000000001)</f>
        <v/>
      </c>
      <c r="M189">
        <f>IF(F189="","",F189+ROW()*0.000000001)</f>
        <v/>
      </c>
      <c r="N189">
        <f>IF(G189="","",G189+ROW()*0.000000001)</f>
        <v/>
      </c>
      <c r="O189">
        <f>IF(H189="","",H189+ROW()*0.000000001)</f>
        <v/>
      </c>
    </row>
    <row r="190">
      <c r="B190" s="4">
        <f>IF($A190="","",IF(COUNTIFS(데이터!$A$2:$A$20000,$A190,데이터!$E$2:$E$20000,1)=0,"",SUMIFS(데이터!$C$2:$C$20000,데이터!$A$2:$A$20000,$A190,데이터!$E$2:$E$20000,1)))</f>
        <v/>
      </c>
      <c r="C190" s="5">
        <f>IFERROR(IF(OR($B190="",COUNTIFS(데이터!$A$2:$A$20000,$A190,데이터!$E$2:$E$20000,설정!$B$2)=0),"",$B190/SUMIFS(데이터!$C$2:$C$20000,데이터!$A$2:$A$20000,$A190,데이터!$E$2:$E$20000,설정!$B$2)-1),"")</f>
        <v/>
      </c>
      <c r="D190" s="5">
        <f>IFERROR(IF(OR($B190="",COUNTIFS(데이터!$A$2:$A$20000,$A190,데이터!$E$2:$E$20000,설정!$B$3)=0),"",$B190/SUMIFS(데이터!$C$2:$C$20000,데이터!$A$2:$A$20000,$A190,데이터!$E$2:$E$20000,설정!$B$3)-1),"")</f>
        <v/>
      </c>
      <c r="E190" s="5">
        <f>IFERROR(IF(OR($B190="",COUNTIFS(데이터!$A$2:$A$20000,$A190,데이터!$E$2:$E$20000,설정!$B$4)=0),"",$B190/SUMIFS(데이터!$C$2:$C$20000,데이터!$A$2:$A$20000,$A190,데이터!$E$2:$E$20000,설정!$B$4)-1),"")</f>
        <v/>
      </c>
      <c r="F190" s="5">
        <f>IFERROR(IF(OR($B190="",COUNTIFS(데이터!$A$2:$A$20000,$A190,데이터!$E$2:$E$20000,설정!$B$5)=0),"",$B190/SUMIFS(데이터!$C$2:$C$20000,데이터!$A$2:$A$20000,$A190,데이터!$E$2:$E$20000,설정!$B$5)-1),"")</f>
        <v/>
      </c>
      <c r="G190" s="5">
        <f>IFERROR(IF(OR($B190="",COUNTIFS(데이터!$A$2:$A$20000,$A190,데이터!$E$2:$E$20000,설정!$B$6)=0),"",$B190/SUMIFS(데이터!$C$2:$C$20000,데이터!$A$2:$A$20000,$A190,데이터!$E$2:$E$20000,설정!$B$6)-1),"")</f>
        <v/>
      </c>
      <c r="H190" s="5">
        <f>IFERROR(IF(OR($B190="",COUNTIFS(데이터!$A$2:$A$20000,$A190,데이터!$E$2:$E$20000,설정!$B$7)=0),"",$B190/SUMIFS(데이터!$C$2:$C$20000,데이터!$A$2:$A$20000,$A190,데이터!$E$2:$E$20000,설정!$B$7)-1),"")</f>
        <v/>
      </c>
      <c r="J190">
        <f>IF(C190="","",C190+ROW()*0.000000001)</f>
        <v/>
      </c>
      <c r="K190">
        <f>IF(D190="","",D190+ROW()*0.000000001)</f>
        <v/>
      </c>
      <c r="L190">
        <f>IF(E190="","",E190+ROW()*0.000000001)</f>
        <v/>
      </c>
      <c r="M190">
        <f>IF(F190="","",F190+ROW()*0.000000001)</f>
        <v/>
      </c>
      <c r="N190">
        <f>IF(G190="","",G190+ROW()*0.000000001)</f>
        <v/>
      </c>
      <c r="O190">
        <f>IF(H190="","",H190+ROW()*0.000000001)</f>
        <v/>
      </c>
    </row>
    <row r="191">
      <c r="B191" s="4">
        <f>IF($A191="","",IF(COUNTIFS(데이터!$A$2:$A$20000,$A191,데이터!$E$2:$E$20000,1)=0,"",SUMIFS(데이터!$C$2:$C$20000,데이터!$A$2:$A$20000,$A191,데이터!$E$2:$E$20000,1)))</f>
        <v/>
      </c>
      <c r="C191" s="5">
        <f>IFERROR(IF(OR($B191="",COUNTIFS(데이터!$A$2:$A$20000,$A191,데이터!$E$2:$E$20000,설정!$B$2)=0),"",$B191/SUMIFS(데이터!$C$2:$C$20000,데이터!$A$2:$A$20000,$A191,데이터!$E$2:$E$20000,설정!$B$2)-1),"")</f>
        <v/>
      </c>
      <c r="D191" s="5">
        <f>IFERROR(IF(OR($B191="",COUNTIFS(데이터!$A$2:$A$20000,$A191,데이터!$E$2:$E$20000,설정!$B$3)=0),"",$B191/SUMIFS(데이터!$C$2:$C$20000,데이터!$A$2:$A$20000,$A191,데이터!$E$2:$E$20000,설정!$B$3)-1),"")</f>
        <v/>
      </c>
      <c r="E191" s="5">
        <f>IFERROR(IF(OR($B191="",COUNTIFS(데이터!$A$2:$A$20000,$A191,데이터!$E$2:$E$20000,설정!$B$4)=0),"",$B191/SUMIFS(데이터!$C$2:$C$20000,데이터!$A$2:$A$20000,$A191,데이터!$E$2:$E$20000,설정!$B$4)-1),"")</f>
        <v/>
      </c>
      <c r="F191" s="5">
        <f>IFERROR(IF(OR($B191="",COUNTIFS(데이터!$A$2:$A$20000,$A191,데이터!$E$2:$E$20000,설정!$B$5)=0),"",$B191/SUMIFS(데이터!$C$2:$C$20000,데이터!$A$2:$A$20000,$A191,데이터!$E$2:$E$20000,설정!$B$5)-1),"")</f>
        <v/>
      </c>
      <c r="G191" s="5">
        <f>IFERROR(IF(OR($B191="",COUNTIFS(데이터!$A$2:$A$20000,$A191,데이터!$E$2:$E$20000,설정!$B$6)=0),"",$B191/SUMIFS(데이터!$C$2:$C$20000,데이터!$A$2:$A$20000,$A191,데이터!$E$2:$E$20000,설정!$B$6)-1),"")</f>
        <v/>
      </c>
      <c r="H191" s="5">
        <f>IFERROR(IF(OR($B191="",COUNTIFS(데이터!$A$2:$A$20000,$A191,데이터!$E$2:$E$20000,설정!$B$7)=0),"",$B191/SUMIFS(데이터!$C$2:$C$20000,데이터!$A$2:$A$20000,$A191,데이터!$E$2:$E$20000,설정!$B$7)-1),"")</f>
        <v/>
      </c>
      <c r="J191">
        <f>IF(C191="","",C191+ROW()*0.000000001)</f>
        <v/>
      </c>
      <c r="K191">
        <f>IF(D191="","",D191+ROW()*0.000000001)</f>
        <v/>
      </c>
      <c r="L191">
        <f>IF(E191="","",E191+ROW()*0.000000001)</f>
        <v/>
      </c>
      <c r="M191">
        <f>IF(F191="","",F191+ROW()*0.000000001)</f>
        <v/>
      </c>
      <c r="N191">
        <f>IF(G191="","",G191+ROW()*0.000000001)</f>
        <v/>
      </c>
      <c r="O191">
        <f>IF(H191="","",H191+ROW()*0.000000001)</f>
        <v/>
      </c>
    </row>
    <row r="192">
      <c r="B192" s="4">
        <f>IF($A192="","",IF(COUNTIFS(데이터!$A$2:$A$20000,$A192,데이터!$E$2:$E$20000,1)=0,"",SUMIFS(데이터!$C$2:$C$20000,데이터!$A$2:$A$20000,$A192,데이터!$E$2:$E$20000,1)))</f>
        <v/>
      </c>
      <c r="C192" s="5">
        <f>IFERROR(IF(OR($B192="",COUNTIFS(데이터!$A$2:$A$20000,$A192,데이터!$E$2:$E$20000,설정!$B$2)=0),"",$B192/SUMIFS(데이터!$C$2:$C$20000,데이터!$A$2:$A$20000,$A192,데이터!$E$2:$E$20000,설정!$B$2)-1),"")</f>
        <v/>
      </c>
      <c r="D192" s="5">
        <f>IFERROR(IF(OR($B192="",COUNTIFS(데이터!$A$2:$A$20000,$A192,데이터!$E$2:$E$20000,설정!$B$3)=0),"",$B192/SUMIFS(데이터!$C$2:$C$20000,데이터!$A$2:$A$20000,$A192,데이터!$E$2:$E$20000,설정!$B$3)-1),"")</f>
        <v/>
      </c>
      <c r="E192" s="5">
        <f>IFERROR(IF(OR($B192="",COUNTIFS(데이터!$A$2:$A$20000,$A192,데이터!$E$2:$E$20000,설정!$B$4)=0),"",$B192/SUMIFS(데이터!$C$2:$C$20000,데이터!$A$2:$A$20000,$A192,데이터!$E$2:$E$20000,설정!$B$4)-1),"")</f>
        <v/>
      </c>
      <c r="F192" s="5">
        <f>IFERROR(IF(OR($B192="",COUNTIFS(데이터!$A$2:$A$20000,$A192,데이터!$E$2:$E$20000,설정!$B$5)=0),"",$B192/SUMIFS(데이터!$C$2:$C$20000,데이터!$A$2:$A$20000,$A192,데이터!$E$2:$E$20000,설정!$B$5)-1),"")</f>
        <v/>
      </c>
      <c r="G192" s="5">
        <f>IFERROR(IF(OR($B192="",COUNTIFS(데이터!$A$2:$A$20000,$A192,데이터!$E$2:$E$20000,설정!$B$6)=0),"",$B192/SUMIFS(데이터!$C$2:$C$20000,데이터!$A$2:$A$20000,$A192,데이터!$E$2:$E$20000,설정!$B$6)-1),"")</f>
        <v/>
      </c>
      <c r="H192" s="5">
        <f>IFERROR(IF(OR($B192="",COUNTIFS(데이터!$A$2:$A$20000,$A192,데이터!$E$2:$E$20000,설정!$B$7)=0),"",$B192/SUMIFS(데이터!$C$2:$C$20000,데이터!$A$2:$A$20000,$A192,데이터!$E$2:$E$20000,설정!$B$7)-1),"")</f>
        <v/>
      </c>
      <c r="J192">
        <f>IF(C192="","",C192+ROW()*0.000000001)</f>
        <v/>
      </c>
      <c r="K192">
        <f>IF(D192="","",D192+ROW()*0.000000001)</f>
        <v/>
      </c>
      <c r="L192">
        <f>IF(E192="","",E192+ROW()*0.000000001)</f>
        <v/>
      </c>
      <c r="M192">
        <f>IF(F192="","",F192+ROW()*0.000000001)</f>
        <v/>
      </c>
      <c r="N192">
        <f>IF(G192="","",G192+ROW()*0.000000001)</f>
        <v/>
      </c>
      <c r="O192">
        <f>IF(H192="","",H192+ROW()*0.000000001)</f>
        <v/>
      </c>
    </row>
    <row r="193">
      <c r="B193" s="4">
        <f>IF($A193="","",IF(COUNTIFS(데이터!$A$2:$A$20000,$A193,데이터!$E$2:$E$20000,1)=0,"",SUMIFS(데이터!$C$2:$C$20000,데이터!$A$2:$A$20000,$A193,데이터!$E$2:$E$20000,1)))</f>
        <v/>
      </c>
      <c r="C193" s="5">
        <f>IFERROR(IF(OR($B193="",COUNTIFS(데이터!$A$2:$A$20000,$A193,데이터!$E$2:$E$20000,설정!$B$2)=0),"",$B193/SUMIFS(데이터!$C$2:$C$20000,데이터!$A$2:$A$20000,$A193,데이터!$E$2:$E$20000,설정!$B$2)-1),"")</f>
        <v/>
      </c>
      <c r="D193" s="5">
        <f>IFERROR(IF(OR($B193="",COUNTIFS(데이터!$A$2:$A$20000,$A193,데이터!$E$2:$E$20000,설정!$B$3)=0),"",$B193/SUMIFS(데이터!$C$2:$C$20000,데이터!$A$2:$A$20000,$A193,데이터!$E$2:$E$20000,설정!$B$3)-1),"")</f>
        <v/>
      </c>
      <c r="E193" s="5">
        <f>IFERROR(IF(OR($B193="",COUNTIFS(데이터!$A$2:$A$20000,$A193,데이터!$E$2:$E$20000,설정!$B$4)=0),"",$B193/SUMIFS(데이터!$C$2:$C$20000,데이터!$A$2:$A$20000,$A193,데이터!$E$2:$E$20000,설정!$B$4)-1),"")</f>
        <v/>
      </c>
      <c r="F193" s="5">
        <f>IFERROR(IF(OR($B193="",COUNTIFS(데이터!$A$2:$A$20000,$A193,데이터!$E$2:$E$20000,설정!$B$5)=0),"",$B193/SUMIFS(데이터!$C$2:$C$20000,데이터!$A$2:$A$20000,$A193,데이터!$E$2:$E$20000,설정!$B$5)-1),"")</f>
        <v/>
      </c>
      <c r="G193" s="5">
        <f>IFERROR(IF(OR($B193="",COUNTIFS(데이터!$A$2:$A$20000,$A193,데이터!$E$2:$E$20000,설정!$B$6)=0),"",$B193/SUMIFS(데이터!$C$2:$C$20000,데이터!$A$2:$A$20000,$A193,데이터!$E$2:$E$20000,설정!$B$6)-1),"")</f>
        <v/>
      </c>
      <c r="H193" s="5">
        <f>IFERROR(IF(OR($B193="",COUNTIFS(데이터!$A$2:$A$20000,$A193,데이터!$E$2:$E$20000,설정!$B$7)=0),"",$B193/SUMIFS(데이터!$C$2:$C$20000,데이터!$A$2:$A$20000,$A193,데이터!$E$2:$E$20000,설정!$B$7)-1),"")</f>
        <v/>
      </c>
      <c r="J193">
        <f>IF(C193="","",C193+ROW()*0.000000001)</f>
        <v/>
      </c>
      <c r="K193">
        <f>IF(D193="","",D193+ROW()*0.000000001)</f>
        <v/>
      </c>
      <c r="L193">
        <f>IF(E193="","",E193+ROW()*0.000000001)</f>
        <v/>
      </c>
      <c r="M193">
        <f>IF(F193="","",F193+ROW()*0.000000001)</f>
        <v/>
      </c>
      <c r="N193">
        <f>IF(G193="","",G193+ROW()*0.000000001)</f>
        <v/>
      </c>
      <c r="O193">
        <f>IF(H193="","",H193+ROW()*0.000000001)</f>
        <v/>
      </c>
    </row>
    <row r="194">
      <c r="B194" s="4">
        <f>IF($A194="","",IF(COUNTIFS(데이터!$A$2:$A$20000,$A194,데이터!$E$2:$E$20000,1)=0,"",SUMIFS(데이터!$C$2:$C$20000,데이터!$A$2:$A$20000,$A194,데이터!$E$2:$E$20000,1)))</f>
        <v/>
      </c>
      <c r="C194" s="5">
        <f>IFERROR(IF(OR($B194="",COUNTIFS(데이터!$A$2:$A$20000,$A194,데이터!$E$2:$E$20000,설정!$B$2)=0),"",$B194/SUMIFS(데이터!$C$2:$C$20000,데이터!$A$2:$A$20000,$A194,데이터!$E$2:$E$20000,설정!$B$2)-1),"")</f>
        <v/>
      </c>
      <c r="D194" s="5">
        <f>IFERROR(IF(OR($B194="",COUNTIFS(데이터!$A$2:$A$20000,$A194,데이터!$E$2:$E$20000,설정!$B$3)=0),"",$B194/SUMIFS(데이터!$C$2:$C$20000,데이터!$A$2:$A$20000,$A194,데이터!$E$2:$E$20000,설정!$B$3)-1),"")</f>
        <v/>
      </c>
      <c r="E194" s="5">
        <f>IFERROR(IF(OR($B194="",COUNTIFS(데이터!$A$2:$A$20000,$A194,데이터!$E$2:$E$20000,설정!$B$4)=0),"",$B194/SUMIFS(데이터!$C$2:$C$20000,데이터!$A$2:$A$20000,$A194,데이터!$E$2:$E$20000,설정!$B$4)-1),"")</f>
        <v/>
      </c>
      <c r="F194" s="5">
        <f>IFERROR(IF(OR($B194="",COUNTIFS(데이터!$A$2:$A$20000,$A194,데이터!$E$2:$E$20000,설정!$B$5)=0),"",$B194/SUMIFS(데이터!$C$2:$C$20000,데이터!$A$2:$A$20000,$A194,데이터!$E$2:$E$20000,설정!$B$5)-1),"")</f>
        <v/>
      </c>
      <c r="G194" s="5">
        <f>IFERROR(IF(OR($B194="",COUNTIFS(데이터!$A$2:$A$20000,$A194,데이터!$E$2:$E$20000,설정!$B$6)=0),"",$B194/SUMIFS(데이터!$C$2:$C$20000,데이터!$A$2:$A$20000,$A194,데이터!$E$2:$E$20000,설정!$B$6)-1),"")</f>
        <v/>
      </c>
      <c r="H194" s="5">
        <f>IFERROR(IF(OR($B194="",COUNTIFS(데이터!$A$2:$A$20000,$A194,데이터!$E$2:$E$20000,설정!$B$7)=0),"",$B194/SUMIFS(데이터!$C$2:$C$20000,데이터!$A$2:$A$20000,$A194,데이터!$E$2:$E$20000,설정!$B$7)-1),"")</f>
        <v/>
      </c>
      <c r="J194">
        <f>IF(C194="","",C194+ROW()*0.000000001)</f>
        <v/>
      </c>
      <c r="K194">
        <f>IF(D194="","",D194+ROW()*0.000000001)</f>
        <v/>
      </c>
      <c r="L194">
        <f>IF(E194="","",E194+ROW()*0.000000001)</f>
        <v/>
      </c>
      <c r="M194">
        <f>IF(F194="","",F194+ROW()*0.000000001)</f>
        <v/>
      </c>
      <c r="N194">
        <f>IF(G194="","",G194+ROW()*0.000000001)</f>
        <v/>
      </c>
      <c r="O194">
        <f>IF(H194="","",H194+ROW()*0.000000001)</f>
        <v/>
      </c>
    </row>
    <row r="195">
      <c r="B195" s="4">
        <f>IF($A195="","",IF(COUNTIFS(데이터!$A$2:$A$20000,$A195,데이터!$E$2:$E$20000,1)=0,"",SUMIFS(데이터!$C$2:$C$20000,데이터!$A$2:$A$20000,$A195,데이터!$E$2:$E$20000,1)))</f>
        <v/>
      </c>
      <c r="C195" s="5">
        <f>IFERROR(IF(OR($B195="",COUNTIFS(데이터!$A$2:$A$20000,$A195,데이터!$E$2:$E$20000,설정!$B$2)=0),"",$B195/SUMIFS(데이터!$C$2:$C$20000,데이터!$A$2:$A$20000,$A195,데이터!$E$2:$E$20000,설정!$B$2)-1),"")</f>
        <v/>
      </c>
      <c r="D195" s="5">
        <f>IFERROR(IF(OR($B195="",COUNTIFS(데이터!$A$2:$A$20000,$A195,데이터!$E$2:$E$20000,설정!$B$3)=0),"",$B195/SUMIFS(데이터!$C$2:$C$20000,데이터!$A$2:$A$20000,$A195,데이터!$E$2:$E$20000,설정!$B$3)-1),"")</f>
        <v/>
      </c>
      <c r="E195" s="5">
        <f>IFERROR(IF(OR($B195="",COUNTIFS(데이터!$A$2:$A$20000,$A195,데이터!$E$2:$E$20000,설정!$B$4)=0),"",$B195/SUMIFS(데이터!$C$2:$C$20000,데이터!$A$2:$A$20000,$A195,데이터!$E$2:$E$20000,설정!$B$4)-1),"")</f>
        <v/>
      </c>
      <c r="F195" s="5">
        <f>IFERROR(IF(OR($B195="",COUNTIFS(데이터!$A$2:$A$20000,$A195,데이터!$E$2:$E$20000,설정!$B$5)=0),"",$B195/SUMIFS(데이터!$C$2:$C$20000,데이터!$A$2:$A$20000,$A195,데이터!$E$2:$E$20000,설정!$B$5)-1),"")</f>
        <v/>
      </c>
      <c r="G195" s="5">
        <f>IFERROR(IF(OR($B195="",COUNTIFS(데이터!$A$2:$A$20000,$A195,데이터!$E$2:$E$20000,설정!$B$6)=0),"",$B195/SUMIFS(데이터!$C$2:$C$20000,데이터!$A$2:$A$20000,$A195,데이터!$E$2:$E$20000,설정!$B$6)-1),"")</f>
        <v/>
      </c>
      <c r="H195" s="5">
        <f>IFERROR(IF(OR($B195="",COUNTIFS(데이터!$A$2:$A$20000,$A195,데이터!$E$2:$E$20000,설정!$B$7)=0),"",$B195/SUMIFS(데이터!$C$2:$C$20000,데이터!$A$2:$A$20000,$A195,데이터!$E$2:$E$20000,설정!$B$7)-1),"")</f>
        <v/>
      </c>
      <c r="J195">
        <f>IF(C195="","",C195+ROW()*0.000000001)</f>
        <v/>
      </c>
      <c r="K195">
        <f>IF(D195="","",D195+ROW()*0.000000001)</f>
        <v/>
      </c>
      <c r="L195">
        <f>IF(E195="","",E195+ROW()*0.000000001)</f>
        <v/>
      </c>
      <c r="M195">
        <f>IF(F195="","",F195+ROW()*0.000000001)</f>
        <v/>
      </c>
      <c r="N195">
        <f>IF(G195="","",G195+ROW()*0.000000001)</f>
        <v/>
      </c>
      <c r="O195">
        <f>IF(H195="","",H195+ROW()*0.000000001)</f>
        <v/>
      </c>
    </row>
    <row r="196">
      <c r="B196" s="4">
        <f>IF($A196="","",IF(COUNTIFS(데이터!$A$2:$A$20000,$A196,데이터!$E$2:$E$20000,1)=0,"",SUMIFS(데이터!$C$2:$C$20000,데이터!$A$2:$A$20000,$A196,데이터!$E$2:$E$20000,1)))</f>
        <v/>
      </c>
      <c r="C196" s="5">
        <f>IFERROR(IF(OR($B196="",COUNTIFS(데이터!$A$2:$A$20000,$A196,데이터!$E$2:$E$20000,설정!$B$2)=0),"",$B196/SUMIFS(데이터!$C$2:$C$20000,데이터!$A$2:$A$20000,$A196,데이터!$E$2:$E$20000,설정!$B$2)-1),"")</f>
        <v/>
      </c>
      <c r="D196" s="5">
        <f>IFERROR(IF(OR($B196="",COUNTIFS(데이터!$A$2:$A$20000,$A196,데이터!$E$2:$E$20000,설정!$B$3)=0),"",$B196/SUMIFS(데이터!$C$2:$C$20000,데이터!$A$2:$A$20000,$A196,데이터!$E$2:$E$20000,설정!$B$3)-1),"")</f>
        <v/>
      </c>
      <c r="E196" s="5">
        <f>IFERROR(IF(OR($B196="",COUNTIFS(데이터!$A$2:$A$20000,$A196,데이터!$E$2:$E$20000,설정!$B$4)=0),"",$B196/SUMIFS(데이터!$C$2:$C$20000,데이터!$A$2:$A$20000,$A196,데이터!$E$2:$E$20000,설정!$B$4)-1),"")</f>
        <v/>
      </c>
      <c r="F196" s="5">
        <f>IFERROR(IF(OR($B196="",COUNTIFS(데이터!$A$2:$A$20000,$A196,데이터!$E$2:$E$20000,설정!$B$5)=0),"",$B196/SUMIFS(데이터!$C$2:$C$20000,데이터!$A$2:$A$20000,$A196,데이터!$E$2:$E$20000,설정!$B$5)-1),"")</f>
        <v/>
      </c>
      <c r="G196" s="5">
        <f>IFERROR(IF(OR($B196="",COUNTIFS(데이터!$A$2:$A$20000,$A196,데이터!$E$2:$E$20000,설정!$B$6)=0),"",$B196/SUMIFS(데이터!$C$2:$C$20000,데이터!$A$2:$A$20000,$A196,데이터!$E$2:$E$20000,설정!$B$6)-1),"")</f>
        <v/>
      </c>
      <c r="H196" s="5">
        <f>IFERROR(IF(OR($B196="",COUNTIFS(데이터!$A$2:$A$20000,$A196,데이터!$E$2:$E$20000,설정!$B$7)=0),"",$B196/SUMIFS(데이터!$C$2:$C$20000,데이터!$A$2:$A$20000,$A196,데이터!$E$2:$E$20000,설정!$B$7)-1),"")</f>
        <v/>
      </c>
      <c r="J196">
        <f>IF(C196="","",C196+ROW()*0.000000001)</f>
        <v/>
      </c>
      <c r="K196">
        <f>IF(D196="","",D196+ROW()*0.000000001)</f>
        <v/>
      </c>
      <c r="L196">
        <f>IF(E196="","",E196+ROW()*0.000000001)</f>
        <v/>
      </c>
      <c r="M196">
        <f>IF(F196="","",F196+ROW()*0.000000001)</f>
        <v/>
      </c>
      <c r="N196">
        <f>IF(G196="","",G196+ROW()*0.000000001)</f>
        <v/>
      </c>
      <c r="O196">
        <f>IF(H196="","",H196+ROW()*0.000000001)</f>
        <v/>
      </c>
    </row>
    <row r="197">
      <c r="B197" s="4">
        <f>IF($A197="","",IF(COUNTIFS(데이터!$A$2:$A$20000,$A197,데이터!$E$2:$E$20000,1)=0,"",SUMIFS(데이터!$C$2:$C$20000,데이터!$A$2:$A$20000,$A197,데이터!$E$2:$E$20000,1)))</f>
        <v/>
      </c>
      <c r="C197" s="5">
        <f>IFERROR(IF(OR($B197="",COUNTIFS(데이터!$A$2:$A$20000,$A197,데이터!$E$2:$E$20000,설정!$B$2)=0),"",$B197/SUMIFS(데이터!$C$2:$C$20000,데이터!$A$2:$A$20000,$A197,데이터!$E$2:$E$20000,설정!$B$2)-1),"")</f>
        <v/>
      </c>
      <c r="D197" s="5">
        <f>IFERROR(IF(OR($B197="",COUNTIFS(데이터!$A$2:$A$20000,$A197,데이터!$E$2:$E$20000,설정!$B$3)=0),"",$B197/SUMIFS(데이터!$C$2:$C$20000,데이터!$A$2:$A$20000,$A197,데이터!$E$2:$E$20000,설정!$B$3)-1),"")</f>
        <v/>
      </c>
      <c r="E197" s="5">
        <f>IFERROR(IF(OR($B197="",COUNTIFS(데이터!$A$2:$A$20000,$A197,데이터!$E$2:$E$20000,설정!$B$4)=0),"",$B197/SUMIFS(데이터!$C$2:$C$20000,데이터!$A$2:$A$20000,$A197,데이터!$E$2:$E$20000,설정!$B$4)-1),"")</f>
        <v/>
      </c>
      <c r="F197" s="5">
        <f>IFERROR(IF(OR($B197="",COUNTIFS(데이터!$A$2:$A$20000,$A197,데이터!$E$2:$E$20000,설정!$B$5)=0),"",$B197/SUMIFS(데이터!$C$2:$C$20000,데이터!$A$2:$A$20000,$A197,데이터!$E$2:$E$20000,설정!$B$5)-1),"")</f>
        <v/>
      </c>
      <c r="G197" s="5">
        <f>IFERROR(IF(OR($B197="",COUNTIFS(데이터!$A$2:$A$20000,$A197,데이터!$E$2:$E$20000,설정!$B$6)=0),"",$B197/SUMIFS(데이터!$C$2:$C$20000,데이터!$A$2:$A$20000,$A197,데이터!$E$2:$E$20000,설정!$B$6)-1),"")</f>
        <v/>
      </c>
      <c r="H197" s="5">
        <f>IFERROR(IF(OR($B197="",COUNTIFS(데이터!$A$2:$A$20000,$A197,데이터!$E$2:$E$20000,설정!$B$7)=0),"",$B197/SUMIFS(데이터!$C$2:$C$20000,데이터!$A$2:$A$20000,$A197,데이터!$E$2:$E$20000,설정!$B$7)-1),"")</f>
        <v/>
      </c>
      <c r="J197">
        <f>IF(C197="","",C197+ROW()*0.000000001)</f>
        <v/>
      </c>
      <c r="K197">
        <f>IF(D197="","",D197+ROW()*0.000000001)</f>
        <v/>
      </c>
      <c r="L197">
        <f>IF(E197="","",E197+ROW()*0.000000001)</f>
        <v/>
      </c>
      <c r="M197">
        <f>IF(F197="","",F197+ROW()*0.000000001)</f>
        <v/>
      </c>
      <c r="N197">
        <f>IF(G197="","",G197+ROW()*0.000000001)</f>
        <v/>
      </c>
      <c r="O197">
        <f>IF(H197="","",H197+ROW()*0.000000001)</f>
        <v/>
      </c>
    </row>
    <row r="198">
      <c r="B198" s="4">
        <f>IF($A198="","",IF(COUNTIFS(데이터!$A$2:$A$20000,$A198,데이터!$E$2:$E$20000,1)=0,"",SUMIFS(데이터!$C$2:$C$20000,데이터!$A$2:$A$20000,$A198,데이터!$E$2:$E$20000,1)))</f>
        <v/>
      </c>
      <c r="C198" s="5">
        <f>IFERROR(IF(OR($B198="",COUNTIFS(데이터!$A$2:$A$20000,$A198,데이터!$E$2:$E$20000,설정!$B$2)=0),"",$B198/SUMIFS(데이터!$C$2:$C$20000,데이터!$A$2:$A$20000,$A198,데이터!$E$2:$E$20000,설정!$B$2)-1),"")</f>
        <v/>
      </c>
      <c r="D198" s="5">
        <f>IFERROR(IF(OR($B198="",COUNTIFS(데이터!$A$2:$A$20000,$A198,데이터!$E$2:$E$20000,설정!$B$3)=0),"",$B198/SUMIFS(데이터!$C$2:$C$20000,데이터!$A$2:$A$20000,$A198,데이터!$E$2:$E$20000,설정!$B$3)-1),"")</f>
        <v/>
      </c>
      <c r="E198" s="5">
        <f>IFERROR(IF(OR($B198="",COUNTIFS(데이터!$A$2:$A$20000,$A198,데이터!$E$2:$E$20000,설정!$B$4)=0),"",$B198/SUMIFS(데이터!$C$2:$C$20000,데이터!$A$2:$A$20000,$A198,데이터!$E$2:$E$20000,설정!$B$4)-1),"")</f>
        <v/>
      </c>
      <c r="F198" s="5">
        <f>IFERROR(IF(OR($B198="",COUNTIFS(데이터!$A$2:$A$20000,$A198,데이터!$E$2:$E$20000,설정!$B$5)=0),"",$B198/SUMIFS(데이터!$C$2:$C$20000,데이터!$A$2:$A$20000,$A198,데이터!$E$2:$E$20000,설정!$B$5)-1),"")</f>
        <v/>
      </c>
      <c r="G198" s="5">
        <f>IFERROR(IF(OR($B198="",COUNTIFS(데이터!$A$2:$A$20000,$A198,데이터!$E$2:$E$20000,설정!$B$6)=0),"",$B198/SUMIFS(데이터!$C$2:$C$20000,데이터!$A$2:$A$20000,$A198,데이터!$E$2:$E$20000,설정!$B$6)-1),"")</f>
        <v/>
      </c>
      <c r="H198" s="5">
        <f>IFERROR(IF(OR($B198="",COUNTIFS(데이터!$A$2:$A$20000,$A198,데이터!$E$2:$E$20000,설정!$B$7)=0),"",$B198/SUMIFS(데이터!$C$2:$C$20000,데이터!$A$2:$A$20000,$A198,데이터!$E$2:$E$20000,설정!$B$7)-1),"")</f>
        <v/>
      </c>
      <c r="J198">
        <f>IF(C198="","",C198+ROW()*0.000000001)</f>
        <v/>
      </c>
      <c r="K198">
        <f>IF(D198="","",D198+ROW()*0.000000001)</f>
        <v/>
      </c>
      <c r="L198">
        <f>IF(E198="","",E198+ROW()*0.000000001)</f>
        <v/>
      </c>
      <c r="M198">
        <f>IF(F198="","",F198+ROW()*0.000000001)</f>
        <v/>
      </c>
      <c r="N198">
        <f>IF(G198="","",G198+ROW()*0.000000001)</f>
        <v/>
      </c>
      <c r="O198">
        <f>IF(H198="","",H198+ROW()*0.000000001)</f>
        <v/>
      </c>
    </row>
    <row r="199">
      <c r="B199" s="4">
        <f>IF($A199="","",IF(COUNTIFS(데이터!$A$2:$A$20000,$A199,데이터!$E$2:$E$20000,1)=0,"",SUMIFS(데이터!$C$2:$C$20000,데이터!$A$2:$A$20000,$A199,데이터!$E$2:$E$20000,1)))</f>
        <v/>
      </c>
      <c r="C199" s="5">
        <f>IFERROR(IF(OR($B199="",COUNTIFS(데이터!$A$2:$A$20000,$A199,데이터!$E$2:$E$20000,설정!$B$2)=0),"",$B199/SUMIFS(데이터!$C$2:$C$20000,데이터!$A$2:$A$20000,$A199,데이터!$E$2:$E$20000,설정!$B$2)-1),"")</f>
        <v/>
      </c>
      <c r="D199" s="5">
        <f>IFERROR(IF(OR($B199="",COUNTIFS(데이터!$A$2:$A$20000,$A199,데이터!$E$2:$E$20000,설정!$B$3)=0),"",$B199/SUMIFS(데이터!$C$2:$C$20000,데이터!$A$2:$A$20000,$A199,데이터!$E$2:$E$20000,설정!$B$3)-1),"")</f>
        <v/>
      </c>
      <c r="E199" s="5">
        <f>IFERROR(IF(OR($B199="",COUNTIFS(데이터!$A$2:$A$20000,$A199,데이터!$E$2:$E$20000,설정!$B$4)=0),"",$B199/SUMIFS(데이터!$C$2:$C$20000,데이터!$A$2:$A$20000,$A199,데이터!$E$2:$E$20000,설정!$B$4)-1),"")</f>
        <v/>
      </c>
      <c r="F199" s="5">
        <f>IFERROR(IF(OR($B199="",COUNTIFS(데이터!$A$2:$A$20000,$A199,데이터!$E$2:$E$20000,설정!$B$5)=0),"",$B199/SUMIFS(데이터!$C$2:$C$20000,데이터!$A$2:$A$20000,$A199,데이터!$E$2:$E$20000,설정!$B$5)-1),"")</f>
        <v/>
      </c>
      <c r="G199" s="5">
        <f>IFERROR(IF(OR($B199="",COUNTIFS(데이터!$A$2:$A$20000,$A199,데이터!$E$2:$E$20000,설정!$B$6)=0),"",$B199/SUMIFS(데이터!$C$2:$C$20000,데이터!$A$2:$A$20000,$A199,데이터!$E$2:$E$20000,설정!$B$6)-1),"")</f>
        <v/>
      </c>
      <c r="H199" s="5">
        <f>IFERROR(IF(OR($B199="",COUNTIFS(데이터!$A$2:$A$20000,$A199,데이터!$E$2:$E$20000,설정!$B$7)=0),"",$B199/SUMIFS(데이터!$C$2:$C$20000,데이터!$A$2:$A$20000,$A199,데이터!$E$2:$E$20000,설정!$B$7)-1),"")</f>
        <v/>
      </c>
      <c r="J199">
        <f>IF(C199="","",C199+ROW()*0.000000001)</f>
        <v/>
      </c>
      <c r="K199">
        <f>IF(D199="","",D199+ROW()*0.000000001)</f>
        <v/>
      </c>
      <c r="L199">
        <f>IF(E199="","",E199+ROW()*0.000000001)</f>
        <v/>
      </c>
      <c r="M199">
        <f>IF(F199="","",F199+ROW()*0.000000001)</f>
        <v/>
      </c>
      <c r="N199">
        <f>IF(G199="","",G199+ROW()*0.000000001)</f>
        <v/>
      </c>
      <c r="O199">
        <f>IF(H199="","",H199+ROW()*0.000000001)</f>
        <v/>
      </c>
    </row>
    <row r="200">
      <c r="B200" s="4">
        <f>IF($A200="","",IF(COUNTIFS(데이터!$A$2:$A$20000,$A200,데이터!$E$2:$E$20000,1)=0,"",SUMIFS(데이터!$C$2:$C$20000,데이터!$A$2:$A$20000,$A200,데이터!$E$2:$E$20000,1)))</f>
        <v/>
      </c>
      <c r="C200" s="5">
        <f>IFERROR(IF(OR($B200="",COUNTIFS(데이터!$A$2:$A$20000,$A200,데이터!$E$2:$E$20000,설정!$B$2)=0),"",$B200/SUMIFS(데이터!$C$2:$C$20000,데이터!$A$2:$A$20000,$A200,데이터!$E$2:$E$20000,설정!$B$2)-1),"")</f>
        <v/>
      </c>
      <c r="D200" s="5">
        <f>IFERROR(IF(OR($B200="",COUNTIFS(데이터!$A$2:$A$20000,$A200,데이터!$E$2:$E$20000,설정!$B$3)=0),"",$B200/SUMIFS(데이터!$C$2:$C$20000,데이터!$A$2:$A$20000,$A200,데이터!$E$2:$E$20000,설정!$B$3)-1),"")</f>
        <v/>
      </c>
      <c r="E200" s="5">
        <f>IFERROR(IF(OR($B200="",COUNTIFS(데이터!$A$2:$A$20000,$A200,데이터!$E$2:$E$20000,설정!$B$4)=0),"",$B200/SUMIFS(데이터!$C$2:$C$20000,데이터!$A$2:$A$20000,$A200,데이터!$E$2:$E$20000,설정!$B$4)-1),"")</f>
        <v/>
      </c>
      <c r="F200" s="5">
        <f>IFERROR(IF(OR($B200="",COUNTIFS(데이터!$A$2:$A$20000,$A200,데이터!$E$2:$E$20000,설정!$B$5)=0),"",$B200/SUMIFS(데이터!$C$2:$C$20000,데이터!$A$2:$A$20000,$A200,데이터!$E$2:$E$20000,설정!$B$5)-1),"")</f>
        <v/>
      </c>
      <c r="G200" s="5">
        <f>IFERROR(IF(OR($B200="",COUNTIFS(데이터!$A$2:$A$20000,$A200,데이터!$E$2:$E$20000,설정!$B$6)=0),"",$B200/SUMIFS(데이터!$C$2:$C$20000,데이터!$A$2:$A$20000,$A200,데이터!$E$2:$E$20000,설정!$B$6)-1),"")</f>
        <v/>
      </c>
      <c r="H200" s="5">
        <f>IFERROR(IF(OR($B200="",COUNTIFS(데이터!$A$2:$A$20000,$A200,데이터!$E$2:$E$20000,설정!$B$7)=0),"",$B200/SUMIFS(데이터!$C$2:$C$20000,데이터!$A$2:$A$20000,$A200,데이터!$E$2:$E$20000,설정!$B$7)-1),"")</f>
        <v/>
      </c>
      <c r="J200">
        <f>IF(C200="","",C200+ROW()*0.000000001)</f>
        <v/>
      </c>
      <c r="K200">
        <f>IF(D200="","",D200+ROW()*0.000000001)</f>
        <v/>
      </c>
      <c r="L200">
        <f>IF(E200="","",E200+ROW()*0.000000001)</f>
        <v/>
      </c>
      <c r="M200">
        <f>IF(F200="","",F200+ROW()*0.000000001)</f>
        <v/>
      </c>
      <c r="N200">
        <f>IF(G200="","",G200+ROW()*0.000000001)</f>
        <v/>
      </c>
      <c r="O200">
        <f>IF(H200="","",H200+ROW()*0.000000001)</f>
        <v/>
      </c>
    </row>
    <row r="201">
      <c r="B201" s="4">
        <f>IF($A201="","",IF(COUNTIFS(데이터!$A$2:$A$20000,$A201,데이터!$E$2:$E$20000,1)=0,"",SUMIFS(데이터!$C$2:$C$20000,데이터!$A$2:$A$20000,$A201,데이터!$E$2:$E$20000,1)))</f>
        <v/>
      </c>
      <c r="C201" s="5">
        <f>IFERROR(IF(OR($B201="",COUNTIFS(데이터!$A$2:$A$20000,$A201,데이터!$E$2:$E$20000,설정!$B$2)=0),"",$B201/SUMIFS(데이터!$C$2:$C$20000,데이터!$A$2:$A$20000,$A201,데이터!$E$2:$E$20000,설정!$B$2)-1),"")</f>
        <v/>
      </c>
      <c r="D201" s="5">
        <f>IFERROR(IF(OR($B201="",COUNTIFS(데이터!$A$2:$A$20000,$A201,데이터!$E$2:$E$20000,설정!$B$3)=0),"",$B201/SUMIFS(데이터!$C$2:$C$20000,데이터!$A$2:$A$20000,$A201,데이터!$E$2:$E$20000,설정!$B$3)-1),"")</f>
        <v/>
      </c>
      <c r="E201" s="5">
        <f>IFERROR(IF(OR($B201="",COUNTIFS(데이터!$A$2:$A$20000,$A201,데이터!$E$2:$E$20000,설정!$B$4)=0),"",$B201/SUMIFS(데이터!$C$2:$C$20000,데이터!$A$2:$A$20000,$A201,데이터!$E$2:$E$20000,설정!$B$4)-1),"")</f>
        <v/>
      </c>
      <c r="F201" s="5">
        <f>IFERROR(IF(OR($B201="",COUNTIFS(데이터!$A$2:$A$20000,$A201,데이터!$E$2:$E$20000,설정!$B$5)=0),"",$B201/SUMIFS(데이터!$C$2:$C$20000,데이터!$A$2:$A$20000,$A201,데이터!$E$2:$E$20000,설정!$B$5)-1),"")</f>
        <v/>
      </c>
      <c r="G201" s="5">
        <f>IFERROR(IF(OR($B201="",COUNTIFS(데이터!$A$2:$A$20000,$A201,데이터!$E$2:$E$20000,설정!$B$6)=0),"",$B201/SUMIFS(데이터!$C$2:$C$20000,데이터!$A$2:$A$20000,$A201,데이터!$E$2:$E$20000,설정!$B$6)-1),"")</f>
        <v/>
      </c>
      <c r="H201" s="5">
        <f>IFERROR(IF(OR($B201="",COUNTIFS(데이터!$A$2:$A$20000,$A201,데이터!$E$2:$E$20000,설정!$B$7)=0),"",$B201/SUMIFS(데이터!$C$2:$C$20000,데이터!$A$2:$A$20000,$A201,데이터!$E$2:$E$20000,설정!$B$7)-1),"")</f>
        <v/>
      </c>
      <c r="J201">
        <f>IF(C201="","",C201+ROW()*0.000000001)</f>
        <v/>
      </c>
      <c r="K201">
        <f>IF(D201="","",D201+ROW()*0.000000001)</f>
        <v/>
      </c>
      <c r="L201">
        <f>IF(E201="","",E201+ROW()*0.000000001)</f>
        <v/>
      </c>
      <c r="M201">
        <f>IF(F201="","",F201+ROW()*0.000000001)</f>
        <v/>
      </c>
      <c r="N201">
        <f>IF(G201="","",G201+ROW()*0.000000001)</f>
        <v/>
      </c>
      <c r="O201">
        <f>IF(H201="","",H201+ROW()*0.000000001)</f>
        <v/>
      </c>
    </row>
    <row r="202">
      <c r="B202" s="4">
        <f>IF($A202="","",IF(COUNTIFS(데이터!$A$2:$A$20000,$A202,데이터!$E$2:$E$20000,1)=0,"",SUMIFS(데이터!$C$2:$C$20000,데이터!$A$2:$A$20000,$A202,데이터!$E$2:$E$20000,1)))</f>
        <v/>
      </c>
      <c r="C202" s="5">
        <f>IFERROR(IF(OR($B202="",COUNTIFS(데이터!$A$2:$A$20000,$A202,데이터!$E$2:$E$20000,설정!$B$2)=0),"",$B202/SUMIFS(데이터!$C$2:$C$20000,데이터!$A$2:$A$20000,$A202,데이터!$E$2:$E$20000,설정!$B$2)-1),"")</f>
        <v/>
      </c>
      <c r="D202" s="5">
        <f>IFERROR(IF(OR($B202="",COUNTIFS(데이터!$A$2:$A$20000,$A202,데이터!$E$2:$E$20000,설정!$B$3)=0),"",$B202/SUMIFS(데이터!$C$2:$C$20000,데이터!$A$2:$A$20000,$A202,데이터!$E$2:$E$20000,설정!$B$3)-1),"")</f>
        <v/>
      </c>
      <c r="E202" s="5">
        <f>IFERROR(IF(OR($B202="",COUNTIFS(데이터!$A$2:$A$20000,$A202,데이터!$E$2:$E$20000,설정!$B$4)=0),"",$B202/SUMIFS(데이터!$C$2:$C$20000,데이터!$A$2:$A$20000,$A202,데이터!$E$2:$E$20000,설정!$B$4)-1),"")</f>
        <v/>
      </c>
      <c r="F202" s="5">
        <f>IFERROR(IF(OR($B202="",COUNTIFS(데이터!$A$2:$A$20000,$A202,데이터!$E$2:$E$20000,설정!$B$5)=0),"",$B202/SUMIFS(데이터!$C$2:$C$20000,데이터!$A$2:$A$20000,$A202,데이터!$E$2:$E$20000,설정!$B$5)-1),"")</f>
        <v/>
      </c>
      <c r="G202" s="5">
        <f>IFERROR(IF(OR($B202="",COUNTIFS(데이터!$A$2:$A$20000,$A202,데이터!$E$2:$E$20000,설정!$B$6)=0),"",$B202/SUMIFS(데이터!$C$2:$C$20000,데이터!$A$2:$A$20000,$A202,데이터!$E$2:$E$20000,설정!$B$6)-1),"")</f>
        <v/>
      </c>
      <c r="H202" s="5">
        <f>IFERROR(IF(OR($B202="",COUNTIFS(데이터!$A$2:$A$20000,$A202,데이터!$E$2:$E$20000,설정!$B$7)=0),"",$B202/SUMIFS(데이터!$C$2:$C$20000,데이터!$A$2:$A$20000,$A202,데이터!$E$2:$E$20000,설정!$B$7)-1),"")</f>
        <v/>
      </c>
      <c r="J202">
        <f>IF(C202="","",C202+ROW()*0.000000001)</f>
        <v/>
      </c>
      <c r="K202">
        <f>IF(D202="","",D202+ROW()*0.000000001)</f>
        <v/>
      </c>
      <c r="L202">
        <f>IF(E202="","",E202+ROW()*0.000000001)</f>
        <v/>
      </c>
      <c r="M202">
        <f>IF(F202="","",F202+ROW()*0.000000001)</f>
        <v/>
      </c>
      <c r="N202">
        <f>IF(G202="","",G202+ROW()*0.000000001)</f>
        <v/>
      </c>
      <c r="O202">
        <f>IF(H202="","",H202+ROW()*0.000000001)</f>
        <v/>
      </c>
    </row>
    <row r="203">
      <c r="B203" s="4">
        <f>IF($A203="","",IF(COUNTIFS(데이터!$A$2:$A$20000,$A203,데이터!$E$2:$E$20000,1)=0,"",SUMIFS(데이터!$C$2:$C$20000,데이터!$A$2:$A$20000,$A203,데이터!$E$2:$E$20000,1)))</f>
        <v/>
      </c>
      <c r="C203" s="5">
        <f>IFERROR(IF(OR($B203="",COUNTIFS(데이터!$A$2:$A$20000,$A203,데이터!$E$2:$E$20000,설정!$B$2)=0),"",$B203/SUMIFS(데이터!$C$2:$C$20000,데이터!$A$2:$A$20000,$A203,데이터!$E$2:$E$20000,설정!$B$2)-1),"")</f>
        <v/>
      </c>
      <c r="D203" s="5">
        <f>IFERROR(IF(OR($B203="",COUNTIFS(데이터!$A$2:$A$20000,$A203,데이터!$E$2:$E$20000,설정!$B$3)=0),"",$B203/SUMIFS(데이터!$C$2:$C$20000,데이터!$A$2:$A$20000,$A203,데이터!$E$2:$E$20000,설정!$B$3)-1),"")</f>
        <v/>
      </c>
      <c r="E203" s="5">
        <f>IFERROR(IF(OR($B203="",COUNTIFS(데이터!$A$2:$A$20000,$A203,데이터!$E$2:$E$20000,설정!$B$4)=0),"",$B203/SUMIFS(데이터!$C$2:$C$20000,데이터!$A$2:$A$20000,$A203,데이터!$E$2:$E$20000,설정!$B$4)-1),"")</f>
        <v/>
      </c>
      <c r="F203" s="5">
        <f>IFERROR(IF(OR($B203="",COUNTIFS(데이터!$A$2:$A$20000,$A203,데이터!$E$2:$E$20000,설정!$B$5)=0),"",$B203/SUMIFS(데이터!$C$2:$C$20000,데이터!$A$2:$A$20000,$A203,데이터!$E$2:$E$20000,설정!$B$5)-1),"")</f>
        <v/>
      </c>
      <c r="G203" s="5">
        <f>IFERROR(IF(OR($B203="",COUNTIFS(데이터!$A$2:$A$20000,$A203,데이터!$E$2:$E$20000,설정!$B$6)=0),"",$B203/SUMIFS(데이터!$C$2:$C$20000,데이터!$A$2:$A$20000,$A203,데이터!$E$2:$E$20000,설정!$B$6)-1),"")</f>
        <v/>
      </c>
      <c r="H203" s="5">
        <f>IFERROR(IF(OR($B203="",COUNTIFS(데이터!$A$2:$A$20000,$A203,데이터!$E$2:$E$20000,설정!$B$7)=0),"",$B203/SUMIFS(데이터!$C$2:$C$20000,데이터!$A$2:$A$20000,$A203,데이터!$E$2:$E$20000,설정!$B$7)-1),"")</f>
        <v/>
      </c>
      <c r="J203">
        <f>IF(C203="","",C203+ROW()*0.000000001)</f>
        <v/>
      </c>
      <c r="K203">
        <f>IF(D203="","",D203+ROW()*0.000000001)</f>
        <v/>
      </c>
      <c r="L203">
        <f>IF(E203="","",E203+ROW()*0.000000001)</f>
        <v/>
      </c>
      <c r="M203">
        <f>IF(F203="","",F203+ROW()*0.000000001)</f>
        <v/>
      </c>
      <c r="N203">
        <f>IF(G203="","",G203+ROW()*0.000000001)</f>
        <v/>
      </c>
      <c r="O203">
        <f>IF(H203="","",H203+ROW()*0.000000001)</f>
        <v/>
      </c>
    </row>
    <row r="204">
      <c r="B204" s="4">
        <f>IF($A204="","",IF(COUNTIFS(데이터!$A$2:$A$20000,$A204,데이터!$E$2:$E$20000,1)=0,"",SUMIFS(데이터!$C$2:$C$20000,데이터!$A$2:$A$20000,$A204,데이터!$E$2:$E$20000,1)))</f>
        <v/>
      </c>
      <c r="C204" s="5">
        <f>IFERROR(IF(OR($B204="",COUNTIFS(데이터!$A$2:$A$20000,$A204,데이터!$E$2:$E$20000,설정!$B$2)=0),"",$B204/SUMIFS(데이터!$C$2:$C$20000,데이터!$A$2:$A$20000,$A204,데이터!$E$2:$E$20000,설정!$B$2)-1),"")</f>
        <v/>
      </c>
      <c r="D204" s="5">
        <f>IFERROR(IF(OR($B204="",COUNTIFS(데이터!$A$2:$A$20000,$A204,데이터!$E$2:$E$20000,설정!$B$3)=0),"",$B204/SUMIFS(데이터!$C$2:$C$20000,데이터!$A$2:$A$20000,$A204,데이터!$E$2:$E$20000,설정!$B$3)-1),"")</f>
        <v/>
      </c>
      <c r="E204" s="5">
        <f>IFERROR(IF(OR($B204="",COUNTIFS(데이터!$A$2:$A$20000,$A204,데이터!$E$2:$E$20000,설정!$B$4)=0),"",$B204/SUMIFS(데이터!$C$2:$C$20000,데이터!$A$2:$A$20000,$A204,데이터!$E$2:$E$20000,설정!$B$4)-1),"")</f>
        <v/>
      </c>
      <c r="F204" s="5">
        <f>IFERROR(IF(OR($B204="",COUNTIFS(데이터!$A$2:$A$20000,$A204,데이터!$E$2:$E$20000,설정!$B$5)=0),"",$B204/SUMIFS(데이터!$C$2:$C$20000,데이터!$A$2:$A$20000,$A204,데이터!$E$2:$E$20000,설정!$B$5)-1),"")</f>
        <v/>
      </c>
      <c r="G204" s="5">
        <f>IFERROR(IF(OR($B204="",COUNTIFS(데이터!$A$2:$A$20000,$A204,데이터!$E$2:$E$20000,설정!$B$6)=0),"",$B204/SUMIFS(데이터!$C$2:$C$20000,데이터!$A$2:$A$20000,$A204,데이터!$E$2:$E$20000,설정!$B$6)-1),"")</f>
        <v/>
      </c>
      <c r="H204" s="5">
        <f>IFERROR(IF(OR($B204="",COUNTIFS(데이터!$A$2:$A$20000,$A204,데이터!$E$2:$E$20000,설정!$B$7)=0),"",$B204/SUMIFS(데이터!$C$2:$C$20000,데이터!$A$2:$A$20000,$A204,데이터!$E$2:$E$20000,설정!$B$7)-1),"")</f>
        <v/>
      </c>
      <c r="J204">
        <f>IF(C204="","",C204+ROW()*0.000000001)</f>
        <v/>
      </c>
      <c r="K204">
        <f>IF(D204="","",D204+ROW()*0.000000001)</f>
        <v/>
      </c>
      <c r="L204">
        <f>IF(E204="","",E204+ROW()*0.000000001)</f>
        <v/>
      </c>
      <c r="M204">
        <f>IF(F204="","",F204+ROW()*0.000000001)</f>
        <v/>
      </c>
      <c r="N204">
        <f>IF(G204="","",G204+ROW()*0.000000001)</f>
        <v/>
      </c>
      <c r="O204">
        <f>IF(H204="","",H204+ROW()*0.000000001)</f>
        <v/>
      </c>
    </row>
    <row r="205">
      <c r="B205" s="4">
        <f>IF($A205="","",IF(COUNTIFS(데이터!$A$2:$A$20000,$A205,데이터!$E$2:$E$20000,1)=0,"",SUMIFS(데이터!$C$2:$C$20000,데이터!$A$2:$A$20000,$A205,데이터!$E$2:$E$20000,1)))</f>
        <v/>
      </c>
      <c r="C205" s="5">
        <f>IFERROR(IF(OR($B205="",COUNTIFS(데이터!$A$2:$A$20000,$A205,데이터!$E$2:$E$20000,설정!$B$2)=0),"",$B205/SUMIFS(데이터!$C$2:$C$20000,데이터!$A$2:$A$20000,$A205,데이터!$E$2:$E$20000,설정!$B$2)-1),"")</f>
        <v/>
      </c>
      <c r="D205" s="5">
        <f>IFERROR(IF(OR($B205="",COUNTIFS(데이터!$A$2:$A$20000,$A205,데이터!$E$2:$E$20000,설정!$B$3)=0),"",$B205/SUMIFS(데이터!$C$2:$C$20000,데이터!$A$2:$A$20000,$A205,데이터!$E$2:$E$20000,설정!$B$3)-1),"")</f>
        <v/>
      </c>
      <c r="E205" s="5">
        <f>IFERROR(IF(OR($B205="",COUNTIFS(데이터!$A$2:$A$20000,$A205,데이터!$E$2:$E$20000,설정!$B$4)=0),"",$B205/SUMIFS(데이터!$C$2:$C$20000,데이터!$A$2:$A$20000,$A205,데이터!$E$2:$E$20000,설정!$B$4)-1),"")</f>
        <v/>
      </c>
      <c r="F205" s="5">
        <f>IFERROR(IF(OR($B205="",COUNTIFS(데이터!$A$2:$A$20000,$A205,데이터!$E$2:$E$20000,설정!$B$5)=0),"",$B205/SUMIFS(데이터!$C$2:$C$20000,데이터!$A$2:$A$20000,$A205,데이터!$E$2:$E$20000,설정!$B$5)-1),"")</f>
        <v/>
      </c>
      <c r="G205" s="5">
        <f>IFERROR(IF(OR($B205="",COUNTIFS(데이터!$A$2:$A$20000,$A205,데이터!$E$2:$E$20000,설정!$B$6)=0),"",$B205/SUMIFS(데이터!$C$2:$C$20000,데이터!$A$2:$A$20000,$A205,데이터!$E$2:$E$20000,설정!$B$6)-1),"")</f>
        <v/>
      </c>
      <c r="H205" s="5">
        <f>IFERROR(IF(OR($B205="",COUNTIFS(데이터!$A$2:$A$20000,$A205,데이터!$E$2:$E$20000,설정!$B$7)=0),"",$B205/SUMIFS(데이터!$C$2:$C$20000,데이터!$A$2:$A$20000,$A205,데이터!$E$2:$E$20000,설정!$B$7)-1),"")</f>
        <v/>
      </c>
      <c r="J205">
        <f>IF(C205="","",C205+ROW()*0.000000001)</f>
        <v/>
      </c>
      <c r="K205">
        <f>IF(D205="","",D205+ROW()*0.000000001)</f>
        <v/>
      </c>
      <c r="L205">
        <f>IF(E205="","",E205+ROW()*0.000000001)</f>
        <v/>
      </c>
      <c r="M205">
        <f>IF(F205="","",F205+ROW()*0.000000001)</f>
        <v/>
      </c>
      <c r="N205">
        <f>IF(G205="","",G205+ROW()*0.000000001)</f>
        <v/>
      </c>
      <c r="O205">
        <f>IF(H205="","",H205+ROW()*0.000000001)</f>
        <v/>
      </c>
    </row>
    <row r="206">
      <c r="B206" s="4">
        <f>IF($A206="","",IF(COUNTIFS(데이터!$A$2:$A$20000,$A206,데이터!$E$2:$E$20000,1)=0,"",SUMIFS(데이터!$C$2:$C$20000,데이터!$A$2:$A$20000,$A206,데이터!$E$2:$E$20000,1)))</f>
        <v/>
      </c>
      <c r="C206" s="5">
        <f>IFERROR(IF(OR($B206="",COUNTIFS(데이터!$A$2:$A$20000,$A206,데이터!$E$2:$E$20000,설정!$B$2)=0),"",$B206/SUMIFS(데이터!$C$2:$C$20000,데이터!$A$2:$A$20000,$A206,데이터!$E$2:$E$20000,설정!$B$2)-1),"")</f>
        <v/>
      </c>
      <c r="D206" s="5">
        <f>IFERROR(IF(OR($B206="",COUNTIFS(데이터!$A$2:$A$20000,$A206,데이터!$E$2:$E$20000,설정!$B$3)=0),"",$B206/SUMIFS(데이터!$C$2:$C$20000,데이터!$A$2:$A$20000,$A206,데이터!$E$2:$E$20000,설정!$B$3)-1),"")</f>
        <v/>
      </c>
      <c r="E206" s="5">
        <f>IFERROR(IF(OR($B206="",COUNTIFS(데이터!$A$2:$A$20000,$A206,데이터!$E$2:$E$20000,설정!$B$4)=0),"",$B206/SUMIFS(데이터!$C$2:$C$20000,데이터!$A$2:$A$20000,$A206,데이터!$E$2:$E$20000,설정!$B$4)-1),"")</f>
        <v/>
      </c>
      <c r="F206" s="5">
        <f>IFERROR(IF(OR($B206="",COUNTIFS(데이터!$A$2:$A$20000,$A206,데이터!$E$2:$E$20000,설정!$B$5)=0),"",$B206/SUMIFS(데이터!$C$2:$C$20000,데이터!$A$2:$A$20000,$A206,데이터!$E$2:$E$20000,설정!$B$5)-1),"")</f>
        <v/>
      </c>
      <c r="G206" s="5">
        <f>IFERROR(IF(OR($B206="",COUNTIFS(데이터!$A$2:$A$20000,$A206,데이터!$E$2:$E$20000,설정!$B$6)=0),"",$B206/SUMIFS(데이터!$C$2:$C$20000,데이터!$A$2:$A$20000,$A206,데이터!$E$2:$E$20000,설정!$B$6)-1),"")</f>
        <v/>
      </c>
      <c r="H206" s="5">
        <f>IFERROR(IF(OR($B206="",COUNTIFS(데이터!$A$2:$A$20000,$A206,데이터!$E$2:$E$20000,설정!$B$7)=0),"",$B206/SUMIFS(데이터!$C$2:$C$20000,데이터!$A$2:$A$20000,$A206,데이터!$E$2:$E$20000,설정!$B$7)-1),"")</f>
        <v/>
      </c>
      <c r="J206">
        <f>IF(C206="","",C206+ROW()*0.000000001)</f>
        <v/>
      </c>
      <c r="K206">
        <f>IF(D206="","",D206+ROW()*0.000000001)</f>
        <v/>
      </c>
      <c r="L206">
        <f>IF(E206="","",E206+ROW()*0.000000001)</f>
        <v/>
      </c>
      <c r="M206">
        <f>IF(F206="","",F206+ROW()*0.000000001)</f>
        <v/>
      </c>
      <c r="N206">
        <f>IF(G206="","",G206+ROW()*0.000000001)</f>
        <v/>
      </c>
      <c r="O206">
        <f>IF(H206="","",H206+ROW()*0.000000001)</f>
        <v/>
      </c>
    </row>
    <row r="207">
      <c r="B207" s="4">
        <f>IF($A207="","",IF(COUNTIFS(데이터!$A$2:$A$20000,$A207,데이터!$E$2:$E$20000,1)=0,"",SUMIFS(데이터!$C$2:$C$20000,데이터!$A$2:$A$20000,$A207,데이터!$E$2:$E$20000,1)))</f>
        <v/>
      </c>
      <c r="C207" s="5">
        <f>IFERROR(IF(OR($B207="",COUNTIFS(데이터!$A$2:$A$20000,$A207,데이터!$E$2:$E$20000,설정!$B$2)=0),"",$B207/SUMIFS(데이터!$C$2:$C$20000,데이터!$A$2:$A$20000,$A207,데이터!$E$2:$E$20000,설정!$B$2)-1),"")</f>
        <v/>
      </c>
      <c r="D207" s="5">
        <f>IFERROR(IF(OR($B207="",COUNTIFS(데이터!$A$2:$A$20000,$A207,데이터!$E$2:$E$20000,설정!$B$3)=0),"",$B207/SUMIFS(데이터!$C$2:$C$20000,데이터!$A$2:$A$20000,$A207,데이터!$E$2:$E$20000,설정!$B$3)-1),"")</f>
        <v/>
      </c>
      <c r="E207" s="5">
        <f>IFERROR(IF(OR($B207="",COUNTIFS(데이터!$A$2:$A$20000,$A207,데이터!$E$2:$E$20000,설정!$B$4)=0),"",$B207/SUMIFS(데이터!$C$2:$C$20000,데이터!$A$2:$A$20000,$A207,데이터!$E$2:$E$20000,설정!$B$4)-1),"")</f>
        <v/>
      </c>
      <c r="F207" s="5">
        <f>IFERROR(IF(OR($B207="",COUNTIFS(데이터!$A$2:$A$20000,$A207,데이터!$E$2:$E$20000,설정!$B$5)=0),"",$B207/SUMIFS(데이터!$C$2:$C$20000,데이터!$A$2:$A$20000,$A207,데이터!$E$2:$E$20000,설정!$B$5)-1),"")</f>
        <v/>
      </c>
      <c r="G207" s="5">
        <f>IFERROR(IF(OR($B207="",COUNTIFS(데이터!$A$2:$A$20000,$A207,데이터!$E$2:$E$20000,설정!$B$6)=0),"",$B207/SUMIFS(데이터!$C$2:$C$20000,데이터!$A$2:$A$20000,$A207,데이터!$E$2:$E$20000,설정!$B$6)-1),"")</f>
        <v/>
      </c>
      <c r="H207" s="5">
        <f>IFERROR(IF(OR($B207="",COUNTIFS(데이터!$A$2:$A$20000,$A207,데이터!$E$2:$E$20000,설정!$B$7)=0),"",$B207/SUMIFS(데이터!$C$2:$C$20000,데이터!$A$2:$A$20000,$A207,데이터!$E$2:$E$20000,설정!$B$7)-1),"")</f>
        <v/>
      </c>
      <c r="J207">
        <f>IF(C207="","",C207+ROW()*0.000000001)</f>
        <v/>
      </c>
      <c r="K207">
        <f>IF(D207="","",D207+ROW()*0.000000001)</f>
        <v/>
      </c>
      <c r="L207">
        <f>IF(E207="","",E207+ROW()*0.000000001)</f>
        <v/>
      </c>
      <c r="M207">
        <f>IF(F207="","",F207+ROW()*0.000000001)</f>
        <v/>
      </c>
      <c r="N207">
        <f>IF(G207="","",G207+ROW()*0.000000001)</f>
        <v/>
      </c>
      <c r="O207">
        <f>IF(H207="","",H207+ROW()*0.000000001)</f>
        <v/>
      </c>
    </row>
    <row r="208">
      <c r="B208" s="4">
        <f>IF($A208="","",IF(COUNTIFS(데이터!$A$2:$A$20000,$A208,데이터!$E$2:$E$20000,1)=0,"",SUMIFS(데이터!$C$2:$C$20000,데이터!$A$2:$A$20000,$A208,데이터!$E$2:$E$20000,1)))</f>
        <v/>
      </c>
      <c r="C208" s="5">
        <f>IFERROR(IF(OR($B208="",COUNTIFS(데이터!$A$2:$A$20000,$A208,데이터!$E$2:$E$20000,설정!$B$2)=0),"",$B208/SUMIFS(데이터!$C$2:$C$20000,데이터!$A$2:$A$20000,$A208,데이터!$E$2:$E$20000,설정!$B$2)-1),"")</f>
        <v/>
      </c>
      <c r="D208" s="5">
        <f>IFERROR(IF(OR($B208="",COUNTIFS(데이터!$A$2:$A$20000,$A208,데이터!$E$2:$E$20000,설정!$B$3)=0),"",$B208/SUMIFS(데이터!$C$2:$C$20000,데이터!$A$2:$A$20000,$A208,데이터!$E$2:$E$20000,설정!$B$3)-1),"")</f>
        <v/>
      </c>
      <c r="E208" s="5">
        <f>IFERROR(IF(OR($B208="",COUNTIFS(데이터!$A$2:$A$20000,$A208,데이터!$E$2:$E$20000,설정!$B$4)=0),"",$B208/SUMIFS(데이터!$C$2:$C$20000,데이터!$A$2:$A$20000,$A208,데이터!$E$2:$E$20000,설정!$B$4)-1),"")</f>
        <v/>
      </c>
      <c r="F208" s="5">
        <f>IFERROR(IF(OR($B208="",COUNTIFS(데이터!$A$2:$A$20000,$A208,데이터!$E$2:$E$20000,설정!$B$5)=0),"",$B208/SUMIFS(데이터!$C$2:$C$20000,데이터!$A$2:$A$20000,$A208,데이터!$E$2:$E$20000,설정!$B$5)-1),"")</f>
        <v/>
      </c>
      <c r="G208" s="5">
        <f>IFERROR(IF(OR($B208="",COUNTIFS(데이터!$A$2:$A$20000,$A208,데이터!$E$2:$E$20000,설정!$B$6)=0),"",$B208/SUMIFS(데이터!$C$2:$C$20000,데이터!$A$2:$A$20000,$A208,데이터!$E$2:$E$20000,설정!$B$6)-1),"")</f>
        <v/>
      </c>
      <c r="H208" s="5">
        <f>IFERROR(IF(OR($B208="",COUNTIFS(데이터!$A$2:$A$20000,$A208,데이터!$E$2:$E$20000,설정!$B$7)=0),"",$B208/SUMIFS(데이터!$C$2:$C$20000,데이터!$A$2:$A$20000,$A208,데이터!$E$2:$E$20000,설정!$B$7)-1),"")</f>
        <v/>
      </c>
      <c r="J208">
        <f>IF(C208="","",C208+ROW()*0.000000001)</f>
        <v/>
      </c>
      <c r="K208">
        <f>IF(D208="","",D208+ROW()*0.000000001)</f>
        <v/>
      </c>
      <c r="L208">
        <f>IF(E208="","",E208+ROW()*0.000000001)</f>
        <v/>
      </c>
      <c r="M208">
        <f>IF(F208="","",F208+ROW()*0.000000001)</f>
        <v/>
      </c>
      <c r="N208">
        <f>IF(G208="","",G208+ROW()*0.000000001)</f>
        <v/>
      </c>
      <c r="O208">
        <f>IF(H208="","",H208+ROW()*0.000000001)</f>
        <v/>
      </c>
    </row>
    <row r="209">
      <c r="B209" s="4">
        <f>IF($A209="","",IF(COUNTIFS(데이터!$A$2:$A$20000,$A209,데이터!$E$2:$E$20000,1)=0,"",SUMIFS(데이터!$C$2:$C$20000,데이터!$A$2:$A$20000,$A209,데이터!$E$2:$E$20000,1)))</f>
        <v/>
      </c>
      <c r="C209" s="5">
        <f>IFERROR(IF(OR($B209="",COUNTIFS(데이터!$A$2:$A$20000,$A209,데이터!$E$2:$E$20000,설정!$B$2)=0),"",$B209/SUMIFS(데이터!$C$2:$C$20000,데이터!$A$2:$A$20000,$A209,데이터!$E$2:$E$20000,설정!$B$2)-1),"")</f>
        <v/>
      </c>
      <c r="D209" s="5">
        <f>IFERROR(IF(OR($B209="",COUNTIFS(데이터!$A$2:$A$20000,$A209,데이터!$E$2:$E$20000,설정!$B$3)=0),"",$B209/SUMIFS(데이터!$C$2:$C$20000,데이터!$A$2:$A$20000,$A209,데이터!$E$2:$E$20000,설정!$B$3)-1),"")</f>
        <v/>
      </c>
      <c r="E209" s="5">
        <f>IFERROR(IF(OR($B209="",COUNTIFS(데이터!$A$2:$A$20000,$A209,데이터!$E$2:$E$20000,설정!$B$4)=0),"",$B209/SUMIFS(데이터!$C$2:$C$20000,데이터!$A$2:$A$20000,$A209,데이터!$E$2:$E$20000,설정!$B$4)-1),"")</f>
        <v/>
      </c>
      <c r="F209" s="5">
        <f>IFERROR(IF(OR($B209="",COUNTIFS(데이터!$A$2:$A$20000,$A209,데이터!$E$2:$E$20000,설정!$B$5)=0),"",$B209/SUMIFS(데이터!$C$2:$C$20000,데이터!$A$2:$A$20000,$A209,데이터!$E$2:$E$20000,설정!$B$5)-1),"")</f>
        <v/>
      </c>
      <c r="G209" s="5">
        <f>IFERROR(IF(OR($B209="",COUNTIFS(데이터!$A$2:$A$20000,$A209,데이터!$E$2:$E$20000,설정!$B$6)=0),"",$B209/SUMIFS(데이터!$C$2:$C$20000,데이터!$A$2:$A$20000,$A209,데이터!$E$2:$E$20000,설정!$B$6)-1),"")</f>
        <v/>
      </c>
      <c r="H209" s="5">
        <f>IFERROR(IF(OR($B209="",COUNTIFS(데이터!$A$2:$A$20000,$A209,데이터!$E$2:$E$20000,설정!$B$7)=0),"",$B209/SUMIFS(데이터!$C$2:$C$20000,데이터!$A$2:$A$20000,$A209,데이터!$E$2:$E$20000,설정!$B$7)-1),"")</f>
        <v/>
      </c>
      <c r="J209">
        <f>IF(C209="","",C209+ROW()*0.000000001)</f>
        <v/>
      </c>
      <c r="K209">
        <f>IF(D209="","",D209+ROW()*0.000000001)</f>
        <v/>
      </c>
      <c r="L209">
        <f>IF(E209="","",E209+ROW()*0.000000001)</f>
        <v/>
      </c>
      <c r="M209">
        <f>IF(F209="","",F209+ROW()*0.000000001)</f>
        <v/>
      </c>
      <c r="N209">
        <f>IF(G209="","",G209+ROW()*0.000000001)</f>
        <v/>
      </c>
      <c r="O209">
        <f>IF(H209="","",H209+ROW()*0.000000001)</f>
        <v/>
      </c>
    </row>
    <row r="210">
      <c r="B210" s="4">
        <f>IF($A210="","",IF(COUNTIFS(데이터!$A$2:$A$20000,$A210,데이터!$E$2:$E$20000,1)=0,"",SUMIFS(데이터!$C$2:$C$20000,데이터!$A$2:$A$20000,$A210,데이터!$E$2:$E$20000,1)))</f>
        <v/>
      </c>
      <c r="C210" s="5">
        <f>IFERROR(IF(OR($B210="",COUNTIFS(데이터!$A$2:$A$20000,$A210,데이터!$E$2:$E$20000,설정!$B$2)=0),"",$B210/SUMIFS(데이터!$C$2:$C$20000,데이터!$A$2:$A$20000,$A210,데이터!$E$2:$E$20000,설정!$B$2)-1),"")</f>
        <v/>
      </c>
      <c r="D210" s="5">
        <f>IFERROR(IF(OR($B210="",COUNTIFS(데이터!$A$2:$A$20000,$A210,데이터!$E$2:$E$20000,설정!$B$3)=0),"",$B210/SUMIFS(데이터!$C$2:$C$20000,데이터!$A$2:$A$20000,$A210,데이터!$E$2:$E$20000,설정!$B$3)-1),"")</f>
        <v/>
      </c>
      <c r="E210" s="5">
        <f>IFERROR(IF(OR($B210="",COUNTIFS(데이터!$A$2:$A$20000,$A210,데이터!$E$2:$E$20000,설정!$B$4)=0),"",$B210/SUMIFS(데이터!$C$2:$C$20000,데이터!$A$2:$A$20000,$A210,데이터!$E$2:$E$20000,설정!$B$4)-1),"")</f>
        <v/>
      </c>
      <c r="F210" s="5">
        <f>IFERROR(IF(OR($B210="",COUNTIFS(데이터!$A$2:$A$20000,$A210,데이터!$E$2:$E$20000,설정!$B$5)=0),"",$B210/SUMIFS(데이터!$C$2:$C$20000,데이터!$A$2:$A$20000,$A210,데이터!$E$2:$E$20000,설정!$B$5)-1),"")</f>
        <v/>
      </c>
      <c r="G210" s="5">
        <f>IFERROR(IF(OR($B210="",COUNTIFS(데이터!$A$2:$A$20000,$A210,데이터!$E$2:$E$20000,설정!$B$6)=0),"",$B210/SUMIFS(데이터!$C$2:$C$20000,데이터!$A$2:$A$20000,$A210,데이터!$E$2:$E$20000,설정!$B$6)-1),"")</f>
        <v/>
      </c>
      <c r="H210" s="5">
        <f>IFERROR(IF(OR($B210="",COUNTIFS(데이터!$A$2:$A$20000,$A210,데이터!$E$2:$E$20000,설정!$B$7)=0),"",$B210/SUMIFS(데이터!$C$2:$C$20000,데이터!$A$2:$A$20000,$A210,데이터!$E$2:$E$20000,설정!$B$7)-1),"")</f>
        <v/>
      </c>
      <c r="J210">
        <f>IF(C210="","",C210+ROW()*0.000000001)</f>
        <v/>
      </c>
      <c r="K210">
        <f>IF(D210="","",D210+ROW()*0.000000001)</f>
        <v/>
      </c>
      <c r="L210">
        <f>IF(E210="","",E210+ROW()*0.000000001)</f>
        <v/>
      </c>
      <c r="M210">
        <f>IF(F210="","",F210+ROW()*0.000000001)</f>
        <v/>
      </c>
      <c r="N210">
        <f>IF(G210="","",G210+ROW()*0.000000001)</f>
        <v/>
      </c>
      <c r="O210">
        <f>IF(H210="","",H210+ROW()*0.000000001)</f>
        <v/>
      </c>
    </row>
    <row r="211">
      <c r="B211" s="4">
        <f>IF($A211="","",IF(COUNTIFS(데이터!$A$2:$A$20000,$A211,데이터!$E$2:$E$20000,1)=0,"",SUMIFS(데이터!$C$2:$C$20000,데이터!$A$2:$A$20000,$A211,데이터!$E$2:$E$20000,1)))</f>
        <v/>
      </c>
      <c r="C211" s="5">
        <f>IFERROR(IF(OR($B211="",COUNTIFS(데이터!$A$2:$A$20000,$A211,데이터!$E$2:$E$20000,설정!$B$2)=0),"",$B211/SUMIFS(데이터!$C$2:$C$20000,데이터!$A$2:$A$20000,$A211,데이터!$E$2:$E$20000,설정!$B$2)-1),"")</f>
        <v/>
      </c>
      <c r="D211" s="5">
        <f>IFERROR(IF(OR($B211="",COUNTIFS(데이터!$A$2:$A$20000,$A211,데이터!$E$2:$E$20000,설정!$B$3)=0),"",$B211/SUMIFS(데이터!$C$2:$C$20000,데이터!$A$2:$A$20000,$A211,데이터!$E$2:$E$20000,설정!$B$3)-1),"")</f>
        <v/>
      </c>
      <c r="E211" s="5">
        <f>IFERROR(IF(OR($B211="",COUNTIFS(데이터!$A$2:$A$20000,$A211,데이터!$E$2:$E$20000,설정!$B$4)=0),"",$B211/SUMIFS(데이터!$C$2:$C$20000,데이터!$A$2:$A$20000,$A211,데이터!$E$2:$E$20000,설정!$B$4)-1),"")</f>
        <v/>
      </c>
      <c r="F211" s="5">
        <f>IFERROR(IF(OR($B211="",COUNTIFS(데이터!$A$2:$A$20000,$A211,데이터!$E$2:$E$20000,설정!$B$5)=0),"",$B211/SUMIFS(데이터!$C$2:$C$20000,데이터!$A$2:$A$20000,$A211,데이터!$E$2:$E$20000,설정!$B$5)-1),"")</f>
        <v/>
      </c>
      <c r="G211" s="5">
        <f>IFERROR(IF(OR($B211="",COUNTIFS(데이터!$A$2:$A$20000,$A211,데이터!$E$2:$E$20000,설정!$B$6)=0),"",$B211/SUMIFS(데이터!$C$2:$C$20000,데이터!$A$2:$A$20000,$A211,데이터!$E$2:$E$20000,설정!$B$6)-1),"")</f>
        <v/>
      </c>
      <c r="H211" s="5">
        <f>IFERROR(IF(OR($B211="",COUNTIFS(데이터!$A$2:$A$20000,$A211,데이터!$E$2:$E$20000,설정!$B$7)=0),"",$B211/SUMIFS(데이터!$C$2:$C$20000,데이터!$A$2:$A$20000,$A211,데이터!$E$2:$E$20000,설정!$B$7)-1),"")</f>
        <v/>
      </c>
      <c r="J211">
        <f>IF(C211="","",C211+ROW()*0.000000001)</f>
        <v/>
      </c>
      <c r="K211">
        <f>IF(D211="","",D211+ROW()*0.000000001)</f>
        <v/>
      </c>
      <c r="L211">
        <f>IF(E211="","",E211+ROW()*0.000000001)</f>
        <v/>
      </c>
      <c r="M211">
        <f>IF(F211="","",F211+ROW()*0.000000001)</f>
        <v/>
      </c>
      <c r="N211">
        <f>IF(G211="","",G211+ROW()*0.000000001)</f>
        <v/>
      </c>
      <c r="O211">
        <f>IF(H211="","",H211+ROW()*0.000000001)</f>
        <v/>
      </c>
    </row>
    <row r="212">
      <c r="B212" s="4">
        <f>IF($A212="","",IF(COUNTIFS(데이터!$A$2:$A$20000,$A212,데이터!$E$2:$E$20000,1)=0,"",SUMIFS(데이터!$C$2:$C$20000,데이터!$A$2:$A$20000,$A212,데이터!$E$2:$E$20000,1)))</f>
        <v/>
      </c>
      <c r="C212" s="5">
        <f>IFERROR(IF(OR($B212="",COUNTIFS(데이터!$A$2:$A$20000,$A212,데이터!$E$2:$E$20000,설정!$B$2)=0),"",$B212/SUMIFS(데이터!$C$2:$C$20000,데이터!$A$2:$A$20000,$A212,데이터!$E$2:$E$20000,설정!$B$2)-1),"")</f>
        <v/>
      </c>
      <c r="D212" s="5">
        <f>IFERROR(IF(OR($B212="",COUNTIFS(데이터!$A$2:$A$20000,$A212,데이터!$E$2:$E$20000,설정!$B$3)=0),"",$B212/SUMIFS(데이터!$C$2:$C$20000,데이터!$A$2:$A$20000,$A212,데이터!$E$2:$E$20000,설정!$B$3)-1),"")</f>
        <v/>
      </c>
      <c r="E212" s="5">
        <f>IFERROR(IF(OR($B212="",COUNTIFS(데이터!$A$2:$A$20000,$A212,데이터!$E$2:$E$20000,설정!$B$4)=0),"",$B212/SUMIFS(데이터!$C$2:$C$20000,데이터!$A$2:$A$20000,$A212,데이터!$E$2:$E$20000,설정!$B$4)-1),"")</f>
        <v/>
      </c>
      <c r="F212" s="5">
        <f>IFERROR(IF(OR($B212="",COUNTIFS(데이터!$A$2:$A$20000,$A212,데이터!$E$2:$E$20000,설정!$B$5)=0),"",$B212/SUMIFS(데이터!$C$2:$C$20000,데이터!$A$2:$A$20000,$A212,데이터!$E$2:$E$20000,설정!$B$5)-1),"")</f>
        <v/>
      </c>
      <c r="G212" s="5">
        <f>IFERROR(IF(OR($B212="",COUNTIFS(데이터!$A$2:$A$20000,$A212,데이터!$E$2:$E$20000,설정!$B$6)=0),"",$B212/SUMIFS(데이터!$C$2:$C$20000,데이터!$A$2:$A$20000,$A212,데이터!$E$2:$E$20000,설정!$B$6)-1),"")</f>
        <v/>
      </c>
      <c r="H212" s="5">
        <f>IFERROR(IF(OR($B212="",COUNTIFS(데이터!$A$2:$A$20000,$A212,데이터!$E$2:$E$20000,설정!$B$7)=0),"",$B212/SUMIFS(데이터!$C$2:$C$20000,데이터!$A$2:$A$20000,$A212,데이터!$E$2:$E$20000,설정!$B$7)-1),"")</f>
        <v/>
      </c>
      <c r="J212">
        <f>IF(C212="","",C212+ROW()*0.000000001)</f>
        <v/>
      </c>
      <c r="K212">
        <f>IF(D212="","",D212+ROW()*0.000000001)</f>
        <v/>
      </c>
      <c r="L212">
        <f>IF(E212="","",E212+ROW()*0.000000001)</f>
        <v/>
      </c>
      <c r="M212">
        <f>IF(F212="","",F212+ROW()*0.000000001)</f>
        <v/>
      </c>
      <c r="N212">
        <f>IF(G212="","",G212+ROW()*0.000000001)</f>
        <v/>
      </c>
      <c r="O212">
        <f>IF(H212="","",H212+ROW()*0.000000001)</f>
        <v/>
      </c>
    </row>
    <row r="213">
      <c r="B213" s="4">
        <f>IF($A213="","",IF(COUNTIFS(데이터!$A$2:$A$20000,$A213,데이터!$E$2:$E$20000,1)=0,"",SUMIFS(데이터!$C$2:$C$20000,데이터!$A$2:$A$20000,$A213,데이터!$E$2:$E$20000,1)))</f>
        <v/>
      </c>
      <c r="C213" s="5">
        <f>IFERROR(IF(OR($B213="",COUNTIFS(데이터!$A$2:$A$20000,$A213,데이터!$E$2:$E$20000,설정!$B$2)=0),"",$B213/SUMIFS(데이터!$C$2:$C$20000,데이터!$A$2:$A$20000,$A213,데이터!$E$2:$E$20000,설정!$B$2)-1),"")</f>
        <v/>
      </c>
      <c r="D213" s="5">
        <f>IFERROR(IF(OR($B213="",COUNTIFS(데이터!$A$2:$A$20000,$A213,데이터!$E$2:$E$20000,설정!$B$3)=0),"",$B213/SUMIFS(데이터!$C$2:$C$20000,데이터!$A$2:$A$20000,$A213,데이터!$E$2:$E$20000,설정!$B$3)-1),"")</f>
        <v/>
      </c>
      <c r="E213" s="5">
        <f>IFERROR(IF(OR($B213="",COUNTIFS(데이터!$A$2:$A$20000,$A213,데이터!$E$2:$E$20000,설정!$B$4)=0),"",$B213/SUMIFS(데이터!$C$2:$C$20000,데이터!$A$2:$A$20000,$A213,데이터!$E$2:$E$20000,설정!$B$4)-1),"")</f>
        <v/>
      </c>
      <c r="F213" s="5">
        <f>IFERROR(IF(OR($B213="",COUNTIFS(데이터!$A$2:$A$20000,$A213,데이터!$E$2:$E$20000,설정!$B$5)=0),"",$B213/SUMIFS(데이터!$C$2:$C$20000,데이터!$A$2:$A$20000,$A213,데이터!$E$2:$E$20000,설정!$B$5)-1),"")</f>
        <v/>
      </c>
      <c r="G213" s="5">
        <f>IFERROR(IF(OR($B213="",COUNTIFS(데이터!$A$2:$A$20000,$A213,데이터!$E$2:$E$20000,설정!$B$6)=0),"",$B213/SUMIFS(데이터!$C$2:$C$20000,데이터!$A$2:$A$20000,$A213,데이터!$E$2:$E$20000,설정!$B$6)-1),"")</f>
        <v/>
      </c>
      <c r="H213" s="5">
        <f>IFERROR(IF(OR($B213="",COUNTIFS(데이터!$A$2:$A$20000,$A213,데이터!$E$2:$E$20000,설정!$B$7)=0),"",$B213/SUMIFS(데이터!$C$2:$C$20000,데이터!$A$2:$A$20000,$A213,데이터!$E$2:$E$20000,설정!$B$7)-1),"")</f>
        <v/>
      </c>
      <c r="J213">
        <f>IF(C213="","",C213+ROW()*0.000000001)</f>
        <v/>
      </c>
      <c r="K213">
        <f>IF(D213="","",D213+ROW()*0.000000001)</f>
        <v/>
      </c>
      <c r="L213">
        <f>IF(E213="","",E213+ROW()*0.000000001)</f>
        <v/>
      </c>
      <c r="M213">
        <f>IF(F213="","",F213+ROW()*0.000000001)</f>
        <v/>
      </c>
      <c r="N213">
        <f>IF(G213="","",G213+ROW()*0.000000001)</f>
        <v/>
      </c>
      <c r="O213">
        <f>IF(H213="","",H213+ROW()*0.000000001)</f>
        <v/>
      </c>
    </row>
    <row r="214">
      <c r="B214" s="4">
        <f>IF($A214="","",IF(COUNTIFS(데이터!$A$2:$A$20000,$A214,데이터!$E$2:$E$20000,1)=0,"",SUMIFS(데이터!$C$2:$C$20000,데이터!$A$2:$A$20000,$A214,데이터!$E$2:$E$20000,1)))</f>
        <v/>
      </c>
      <c r="C214" s="5">
        <f>IFERROR(IF(OR($B214="",COUNTIFS(데이터!$A$2:$A$20000,$A214,데이터!$E$2:$E$20000,설정!$B$2)=0),"",$B214/SUMIFS(데이터!$C$2:$C$20000,데이터!$A$2:$A$20000,$A214,데이터!$E$2:$E$20000,설정!$B$2)-1),"")</f>
        <v/>
      </c>
      <c r="D214" s="5">
        <f>IFERROR(IF(OR($B214="",COUNTIFS(데이터!$A$2:$A$20000,$A214,데이터!$E$2:$E$20000,설정!$B$3)=0),"",$B214/SUMIFS(데이터!$C$2:$C$20000,데이터!$A$2:$A$20000,$A214,데이터!$E$2:$E$20000,설정!$B$3)-1),"")</f>
        <v/>
      </c>
      <c r="E214" s="5">
        <f>IFERROR(IF(OR($B214="",COUNTIFS(데이터!$A$2:$A$20000,$A214,데이터!$E$2:$E$20000,설정!$B$4)=0),"",$B214/SUMIFS(데이터!$C$2:$C$20000,데이터!$A$2:$A$20000,$A214,데이터!$E$2:$E$20000,설정!$B$4)-1),"")</f>
        <v/>
      </c>
      <c r="F214" s="5">
        <f>IFERROR(IF(OR($B214="",COUNTIFS(데이터!$A$2:$A$20000,$A214,데이터!$E$2:$E$20000,설정!$B$5)=0),"",$B214/SUMIFS(데이터!$C$2:$C$20000,데이터!$A$2:$A$20000,$A214,데이터!$E$2:$E$20000,설정!$B$5)-1),"")</f>
        <v/>
      </c>
      <c r="G214" s="5">
        <f>IFERROR(IF(OR($B214="",COUNTIFS(데이터!$A$2:$A$20000,$A214,데이터!$E$2:$E$20000,설정!$B$6)=0),"",$B214/SUMIFS(데이터!$C$2:$C$20000,데이터!$A$2:$A$20000,$A214,데이터!$E$2:$E$20000,설정!$B$6)-1),"")</f>
        <v/>
      </c>
      <c r="H214" s="5">
        <f>IFERROR(IF(OR($B214="",COUNTIFS(데이터!$A$2:$A$20000,$A214,데이터!$E$2:$E$20000,설정!$B$7)=0),"",$B214/SUMIFS(데이터!$C$2:$C$20000,데이터!$A$2:$A$20000,$A214,데이터!$E$2:$E$20000,설정!$B$7)-1),"")</f>
        <v/>
      </c>
      <c r="J214">
        <f>IF(C214="","",C214+ROW()*0.000000001)</f>
        <v/>
      </c>
      <c r="K214">
        <f>IF(D214="","",D214+ROW()*0.000000001)</f>
        <v/>
      </c>
      <c r="L214">
        <f>IF(E214="","",E214+ROW()*0.000000001)</f>
        <v/>
      </c>
      <c r="M214">
        <f>IF(F214="","",F214+ROW()*0.000000001)</f>
        <v/>
      </c>
      <c r="N214">
        <f>IF(G214="","",G214+ROW()*0.000000001)</f>
        <v/>
      </c>
      <c r="O214">
        <f>IF(H214="","",H214+ROW()*0.000000001)</f>
        <v/>
      </c>
    </row>
    <row r="215">
      <c r="B215" s="4">
        <f>IF($A215="","",IF(COUNTIFS(데이터!$A$2:$A$20000,$A215,데이터!$E$2:$E$20000,1)=0,"",SUMIFS(데이터!$C$2:$C$20000,데이터!$A$2:$A$20000,$A215,데이터!$E$2:$E$20000,1)))</f>
        <v/>
      </c>
      <c r="C215" s="5">
        <f>IFERROR(IF(OR($B215="",COUNTIFS(데이터!$A$2:$A$20000,$A215,데이터!$E$2:$E$20000,설정!$B$2)=0),"",$B215/SUMIFS(데이터!$C$2:$C$20000,데이터!$A$2:$A$20000,$A215,데이터!$E$2:$E$20000,설정!$B$2)-1),"")</f>
        <v/>
      </c>
      <c r="D215" s="5">
        <f>IFERROR(IF(OR($B215="",COUNTIFS(데이터!$A$2:$A$20000,$A215,데이터!$E$2:$E$20000,설정!$B$3)=0),"",$B215/SUMIFS(데이터!$C$2:$C$20000,데이터!$A$2:$A$20000,$A215,데이터!$E$2:$E$20000,설정!$B$3)-1),"")</f>
        <v/>
      </c>
      <c r="E215" s="5">
        <f>IFERROR(IF(OR($B215="",COUNTIFS(데이터!$A$2:$A$20000,$A215,데이터!$E$2:$E$20000,설정!$B$4)=0),"",$B215/SUMIFS(데이터!$C$2:$C$20000,데이터!$A$2:$A$20000,$A215,데이터!$E$2:$E$20000,설정!$B$4)-1),"")</f>
        <v/>
      </c>
      <c r="F215" s="5">
        <f>IFERROR(IF(OR($B215="",COUNTIFS(데이터!$A$2:$A$20000,$A215,데이터!$E$2:$E$20000,설정!$B$5)=0),"",$B215/SUMIFS(데이터!$C$2:$C$20000,데이터!$A$2:$A$20000,$A215,데이터!$E$2:$E$20000,설정!$B$5)-1),"")</f>
        <v/>
      </c>
      <c r="G215" s="5">
        <f>IFERROR(IF(OR($B215="",COUNTIFS(데이터!$A$2:$A$20000,$A215,데이터!$E$2:$E$20000,설정!$B$6)=0),"",$B215/SUMIFS(데이터!$C$2:$C$20000,데이터!$A$2:$A$20000,$A215,데이터!$E$2:$E$20000,설정!$B$6)-1),"")</f>
        <v/>
      </c>
      <c r="H215" s="5">
        <f>IFERROR(IF(OR($B215="",COUNTIFS(데이터!$A$2:$A$20000,$A215,데이터!$E$2:$E$20000,설정!$B$7)=0),"",$B215/SUMIFS(데이터!$C$2:$C$20000,데이터!$A$2:$A$20000,$A215,데이터!$E$2:$E$20000,설정!$B$7)-1),"")</f>
        <v/>
      </c>
      <c r="J215">
        <f>IF(C215="","",C215+ROW()*0.000000001)</f>
        <v/>
      </c>
      <c r="K215">
        <f>IF(D215="","",D215+ROW()*0.000000001)</f>
        <v/>
      </c>
      <c r="L215">
        <f>IF(E215="","",E215+ROW()*0.000000001)</f>
        <v/>
      </c>
      <c r="M215">
        <f>IF(F215="","",F215+ROW()*0.000000001)</f>
        <v/>
      </c>
      <c r="N215">
        <f>IF(G215="","",G215+ROW()*0.000000001)</f>
        <v/>
      </c>
      <c r="O215">
        <f>IF(H215="","",H215+ROW()*0.000000001)</f>
        <v/>
      </c>
    </row>
    <row r="216">
      <c r="B216" s="4">
        <f>IF($A216="","",IF(COUNTIFS(데이터!$A$2:$A$20000,$A216,데이터!$E$2:$E$20000,1)=0,"",SUMIFS(데이터!$C$2:$C$20000,데이터!$A$2:$A$20000,$A216,데이터!$E$2:$E$20000,1)))</f>
        <v/>
      </c>
      <c r="C216" s="5">
        <f>IFERROR(IF(OR($B216="",COUNTIFS(데이터!$A$2:$A$20000,$A216,데이터!$E$2:$E$20000,설정!$B$2)=0),"",$B216/SUMIFS(데이터!$C$2:$C$20000,데이터!$A$2:$A$20000,$A216,데이터!$E$2:$E$20000,설정!$B$2)-1),"")</f>
        <v/>
      </c>
      <c r="D216" s="5">
        <f>IFERROR(IF(OR($B216="",COUNTIFS(데이터!$A$2:$A$20000,$A216,데이터!$E$2:$E$20000,설정!$B$3)=0),"",$B216/SUMIFS(데이터!$C$2:$C$20000,데이터!$A$2:$A$20000,$A216,데이터!$E$2:$E$20000,설정!$B$3)-1),"")</f>
        <v/>
      </c>
      <c r="E216" s="5">
        <f>IFERROR(IF(OR($B216="",COUNTIFS(데이터!$A$2:$A$20000,$A216,데이터!$E$2:$E$20000,설정!$B$4)=0),"",$B216/SUMIFS(데이터!$C$2:$C$20000,데이터!$A$2:$A$20000,$A216,데이터!$E$2:$E$20000,설정!$B$4)-1),"")</f>
        <v/>
      </c>
      <c r="F216" s="5">
        <f>IFERROR(IF(OR($B216="",COUNTIFS(데이터!$A$2:$A$20000,$A216,데이터!$E$2:$E$20000,설정!$B$5)=0),"",$B216/SUMIFS(데이터!$C$2:$C$20000,데이터!$A$2:$A$20000,$A216,데이터!$E$2:$E$20000,설정!$B$5)-1),"")</f>
        <v/>
      </c>
      <c r="G216" s="5">
        <f>IFERROR(IF(OR($B216="",COUNTIFS(데이터!$A$2:$A$20000,$A216,데이터!$E$2:$E$20000,설정!$B$6)=0),"",$B216/SUMIFS(데이터!$C$2:$C$20000,데이터!$A$2:$A$20000,$A216,데이터!$E$2:$E$20000,설정!$B$6)-1),"")</f>
        <v/>
      </c>
      <c r="H216" s="5">
        <f>IFERROR(IF(OR($B216="",COUNTIFS(데이터!$A$2:$A$20000,$A216,데이터!$E$2:$E$20000,설정!$B$7)=0),"",$B216/SUMIFS(데이터!$C$2:$C$20000,데이터!$A$2:$A$20000,$A216,데이터!$E$2:$E$20000,설정!$B$7)-1),"")</f>
        <v/>
      </c>
      <c r="J216">
        <f>IF(C216="","",C216+ROW()*0.000000001)</f>
        <v/>
      </c>
      <c r="K216">
        <f>IF(D216="","",D216+ROW()*0.000000001)</f>
        <v/>
      </c>
      <c r="L216">
        <f>IF(E216="","",E216+ROW()*0.000000001)</f>
        <v/>
      </c>
      <c r="M216">
        <f>IF(F216="","",F216+ROW()*0.000000001)</f>
        <v/>
      </c>
      <c r="N216">
        <f>IF(G216="","",G216+ROW()*0.000000001)</f>
        <v/>
      </c>
      <c r="O216">
        <f>IF(H216="","",H216+ROW()*0.000000001)</f>
        <v/>
      </c>
    </row>
    <row r="217">
      <c r="B217" s="4">
        <f>IF($A217="","",IF(COUNTIFS(데이터!$A$2:$A$20000,$A217,데이터!$E$2:$E$20000,1)=0,"",SUMIFS(데이터!$C$2:$C$20000,데이터!$A$2:$A$20000,$A217,데이터!$E$2:$E$20000,1)))</f>
        <v/>
      </c>
      <c r="C217" s="5">
        <f>IFERROR(IF(OR($B217="",COUNTIFS(데이터!$A$2:$A$20000,$A217,데이터!$E$2:$E$20000,설정!$B$2)=0),"",$B217/SUMIFS(데이터!$C$2:$C$20000,데이터!$A$2:$A$20000,$A217,데이터!$E$2:$E$20000,설정!$B$2)-1),"")</f>
        <v/>
      </c>
      <c r="D217" s="5">
        <f>IFERROR(IF(OR($B217="",COUNTIFS(데이터!$A$2:$A$20000,$A217,데이터!$E$2:$E$20000,설정!$B$3)=0),"",$B217/SUMIFS(데이터!$C$2:$C$20000,데이터!$A$2:$A$20000,$A217,데이터!$E$2:$E$20000,설정!$B$3)-1),"")</f>
        <v/>
      </c>
      <c r="E217" s="5">
        <f>IFERROR(IF(OR($B217="",COUNTIFS(데이터!$A$2:$A$20000,$A217,데이터!$E$2:$E$20000,설정!$B$4)=0),"",$B217/SUMIFS(데이터!$C$2:$C$20000,데이터!$A$2:$A$20000,$A217,데이터!$E$2:$E$20000,설정!$B$4)-1),"")</f>
        <v/>
      </c>
      <c r="F217" s="5">
        <f>IFERROR(IF(OR($B217="",COUNTIFS(데이터!$A$2:$A$20000,$A217,데이터!$E$2:$E$20000,설정!$B$5)=0),"",$B217/SUMIFS(데이터!$C$2:$C$20000,데이터!$A$2:$A$20000,$A217,데이터!$E$2:$E$20000,설정!$B$5)-1),"")</f>
        <v/>
      </c>
      <c r="G217" s="5">
        <f>IFERROR(IF(OR($B217="",COUNTIFS(데이터!$A$2:$A$20000,$A217,데이터!$E$2:$E$20000,설정!$B$6)=0),"",$B217/SUMIFS(데이터!$C$2:$C$20000,데이터!$A$2:$A$20000,$A217,데이터!$E$2:$E$20000,설정!$B$6)-1),"")</f>
        <v/>
      </c>
      <c r="H217" s="5">
        <f>IFERROR(IF(OR($B217="",COUNTIFS(데이터!$A$2:$A$20000,$A217,데이터!$E$2:$E$20000,설정!$B$7)=0),"",$B217/SUMIFS(데이터!$C$2:$C$20000,데이터!$A$2:$A$20000,$A217,데이터!$E$2:$E$20000,설정!$B$7)-1),"")</f>
        <v/>
      </c>
      <c r="J217">
        <f>IF(C217="","",C217+ROW()*0.000000001)</f>
        <v/>
      </c>
      <c r="K217">
        <f>IF(D217="","",D217+ROW()*0.000000001)</f>
        <v/>
      </c>
      <c r="L217">
        <f>IF(E217="","",E217+ROW()*0.000000001)</f>
        <v/>
      </c>
      <c r="M217">
        <f>IF(F217="","",F217+ROW()*0.000000001)</f>
        <v/>
      </c>
      <c r="N217">
        <f>IF(G217="","",G217+ROW()*0.000000001)</f>
        <v/>
      </c>
      <c r="O217">
        <f>IF(H217="","",H217+ROW()*0.000000001)</f>
        <v/>
      </c>
    </row>
    <row r="218">
      <c r="B218" s="4">
        <f>IF($A218="","",IF(COUNTIFS(데이터!$A$2:$A$20000,$A218,데이터!$E$2:$E$20000,1)=0,"",SUMIFS(데이터!$C$2:$C$20000,데이터!$A$2:$A$20000,$A218,데이터!$E$2:$E$20000,1)))</f>
        <v/>
      </c>
      <c r="C218" s="5">
        <f>IFERROR(IF(OR($B218="",COUNTIFS(데이터!$A$2:$A$20000,$A218,데이터!$E$2:$E$20000,설정!$B$2)=0),"",$B218/SUMIFS(데이터!$C$2:$C$20000,데이터!$A$2:$A$20000,$A218,데이터!$E$2:$E$20000,설정!$B$2)-1),"")</f>
        <v/>
      </c>
      <c r="D218" s="5">
        <f>IFERROR(IF(OR($B218="",COUNTIFS(데이터!$A$2:$A$20000,$A218,데이터!$E$2:$E$20000,설정!$B$3)=0),"",$B218/SUMIFS(데이터!$C$2:$C$20000,데이터!$A$2:$A$20000,$A218,데이터!$E$2:$E$20000,설정!$B$3)-1),"")</f>
        <v/>
      </c>
      <c r="E218" s="5">
        <f>IFERROR(IF(OR($B218="",COUNTIFS(데이터!$A$2:$A$20000,$A218,데이터!$E$2:$E$20000,설정!$B$4)=0),"",$B218/SUMIFS(데이터!$C$2:$C$20000,데이터!$A$2:$A$20000,$A218,데이터!$E$2:$E$20000,설정!$B$4)-1),"")</f>
        <v/>
      </c>
      <c r="F218" s="5">
        <f>IFERROR(IF(OR($B218="",COUNTIFS(데이터!$A$2:$A$20000,$A218,데이터!$E$2:$E$20000,설정!$B$5)=0),"",$B218/SUMIFS(데이터!$C$2:$C$20000,데이터!$A$2:$A$20000,$A218,데이터!$E$2:$E$20000,설정!$B$5)-1),"")</f>
        <v/>
      </c>
      <c r="G218" s="5">
        <f>IFERROR(IF(OR($B218="",COUNTIFS(데이터!$A$2:$A$20000,$A218,데이터!$E$2:$E$20000,설정!$B$6)=0),"",$B218/SUMIFS(데이터!$C$2:$C$20000,데이터!$A$2:$A$20000,$A218,데이터!$E$2:$E$20000,설정!$B$6)-1),"")</f>
        <v/>
      </c>
      <c r="H218" s="5">
        <f>IFERROR(IF(OR($B218="",COUNTIFS(데이터!$A$2:$A$20000,$A218,데이터!$E$2:$E$20000,설정!$B$7)=0),"",$B218/SUMIFS(데이터!$C$2:$C$20000,데이터!$A$2:$A$20000,$A218,데이터!$E$2:$E$20000,설정!$B$7)-1),"")</f>
        <v/>
      </c>
      <c r="J218">
        <f>IF(C218="","",C218+ROW()*0.000000001)</f>
        <v/>
      </c>
      <c r="K218">
        <f>IF(D218="","",D218+ROW()*0.000000001)</f>
        <v/>
      </c>
      <c r="L218">
        <f>IF(E218="","",E218+ROW()*0.000000001)</f>
        <v/>
      </c>
      <c r="M218">
        <f>IF(F218="","",F218+ROW()*0.000000001)</f>
        <v/>
      </c>
      <c r="N218">
        <f>IF(G218="","",G218+ROW()*0.000000001)</f>
        <v/>
      </c>
      <c r="O218">
        <f>IF(H218="","",H218+ROW()*0.000000001)</f>
        <v/>
      </c>
    </row>
    <row r="219">
      <c r="B219" s="4">
        <f>IF($A219="","",IF(COUNTIFS(데이터!$A$2:$A$20000,$A219,데이터!$E$2:$E$20000,1)=0,"",SUMIFS(데이터!$C$2:$C$20000,데이터!$A$2:$A$20000,$A219,데이터!$E$2:$E$20000,1)))</f>
        <v/>
      </c>
      <c r="C219" s="5">
        <f>IFERROR(IF(OR($B219="",COUNTIFS(데이터!$A$2:$A$20000,$A219,데이터!$E$2:$E$20000,설정!$B$2)=0),"",$B219/SUMIFS(데이터!$C$2:$C$20000,데이터!$A$2:$A$20000,$A219,데이터!$E$2:$E$20000,설정!$B$2)-1),"")</f>
        <v/>
      </c>
      <c r="D219" s="5">
        <f>IFERROR(IF(OR($B219="",COUNTIFS(데이터!$A$2:$A$20000,$A219,데이터!$E$2:$E$20000,설정!$B$3)=0),"",$B219/SUMIFS(데이터!$C$2:$C$20000,데이터!$A$2:$A$20000,$A219,데이터!$E$2:$E$20000,설정!$B$3)-1),"")</f>
        <v/>
      </c>
      <c r="E219" s="5">
        <f>IFERROR(IF(OR($B219="",COUNTIFS(데이터!$A$2:$A$20000,$A219,데이터!$E$2:$E$20000,설정!$B$4)=0),"",$B219/SUMIFS(데이터!$C$2:$C$20000,데이터!$A$2:$A$20000,$A219,데이터!$E$2:$E$20000,설정!$B$4)-1),"")</f>
        <v/>
      </c>
      <c r="F219" s="5">
        <f>IFERROR(IF(OR($B219="",COUNTIFS(데이터!$A$2:$A$20000,$A219,데이터!$E$2:$E$20000,설정!$B$5)=0),"",$B219/SUMIFS(데이터!$C$2:$C$20000,데이터!$A$2:$A$20000,$A219,데이터!$E$2:$E$20000,설정!$B$5)-1),"")</f>
        <v/>
      </c>
      <c r="G219" s="5">
        <f>IFERROR(IF(OR($B219="",COUNTIFS(데이터!$A$2:$A$20000,$A219,데이터!$E$2:$E$20000,설정!$B$6)=0),"",$B219/SUMIFS(데이터!$C$2:$C$20000,데이터!$A$2:$A$20000,$A219,데이터!$E$2:$E$20000,설정!$B$6)-1),"")</f>
        <v/>
      </c>
      <c r="H219" s="5">
        <f>IFERROR(IF(OR($B219="",COUNTIFS(데이터!$A$2:$A$20000,$A219,데이터!$E$2:$E$20000,설정!$B$7)=0),"",$B219/SUMIFS(데이터!$C$2:$C$20000,데이터!$A$2:$A$20000,$A219,데이터!$E$2:$E$20000,설정!$B$7)-1),"")</f>
        <v/>
      </c>
      <c r="J219">
        <f>IF(C219="","",C219+ROW()*0.000000001)</f>
        <v/>
      </c>
      <c r="K219">
        <f>IF(D219="","",D219+ROW()*0.000000001)</f>
        <v/>
      </c>
      <c r="L219">
        <f>IF(E219="","",E219+ROW()*0.000000001)</f>
        <v/>
      </c>
      <c r="M219">
        <f>IF(F219="","",F219+ROW()*0.000000001)</f>
        <v/>
      </c>
      <c r="N219">
        <f>IF(G219="","",G219+ROW()*0.000000001)</f>
        <v/>
      </c>
      <c r="O219">
        <f>IF(H219="","",H219+ROW()*0.000000001)</f>
        <v/>
      </c>
    </row>
    <row r="220">
      <c r="B220" s="4">
        <f>IF($A220="","",IF(COUNTIFS(데이터!$A$2:$A$20000,$A220,데이터!$E$2:$E$20000,1)=0,"",SUMIFS(데이터!$C$2:$C$20000,데이터!$A$2:$A$20000,$A220,데이터!$E$2:$E$20000,1)))</f>
        <v/>
      </c>
      <c r="C220" s="5">
        <f>IFERROR(IF(OR($B220="",COUNTIFS(데이터!$A$2:$A$20000,$A220,데이터!$E$2:$E$20000,설정!$B$2)=0),"",$B220/SUMIFS(데이터!$C$2:$C$20000,데이터!$A$2:$A$20000,$A220,데이터!$E$2:$E$20000,설정!$B$2)-1),"")</f>
        <v/>
      </c>
      <c r="D220" s="5">
        <f>IFERROR(IF(OR($B220="",COUNTIFS(데이터!$A$2:$A$20000,$A220,데이터!$E$2:$E$20000,설정!$B$3)=0),"",$B220/SUMIFS(데이터!$C$2:$C$20000,데이터!$A$2:$A$20000,$A220,데이터!$E$2:$E$20000,설정!$B$3)-1),"")</f>
        <v/>
      </c>
      <c r="E220" s="5">
        <f>IFERROR(IF(OR($B220="",COUNTIFS(데이터!$A$2:$A$20000,$A220,데이터!$E$2:$E$20000,설정!$B$4)=0),"",$B220/SUMIFS(데이터!$C$2:$C$20000,데이터!$A$2:$A$20000,$A220,데이터!$E$2:$E$20000,설정!$B$4)-1),"")</f>
        <v/>
      </c>
      <c r="F220" s="5">
        <f>IFERROR(IF(OR($B220="",COUNTIFS(데이터!$A$2:$A$20000,$A220,데이터!$E$2:$E$20000,설정!$B$5)=0),"",$B220/SUMIFS(데이터!$C$2:$C$20000,데이터!$A$2:$A$20000,$A220,데이터!$E$2:$E$20000,설정!$B$5)-1),"")</f>
        <v/>
      </c>
      <c r="G220" s="5">
        <f>IFERROR(IF(OR($B220="",COUNTIFS(데이터!$A$2:$A$20000,$A220,데이터!$E$2:$E$20000,설정!$B$6)=0),"",$B220/SUMIFS(데이터!$C$2:$C$20000,데이터!$A$2:$A$20000,$A220,데이터!$E$2:$E$20000,설정!$B$6)-1),"")</f>
        <v/>
      </c>
      <c r="H220" s="5">
        <f>IFERROR(IF(OR($B220="",COUNTIFS(데이터!$A$2:$A$20000,$A220,데이터!$E$2:$E$20000,설정!$B$7)=0),"",$B220/SUMIFS(데이터!$C$2:$C$20000,데이터!$A$2:$A$20000,$A220,데이터!$E$2:$E$20000,설정!$B$7)-1),"")</f>
        <v/>
      </c>
      <c r="J220">
        <f>IF(C220="","",C220+ROW()*0.000000001)</f>
        <v/>
      </c>
      <c r="K220">
        <f>IF(D220="","",D220+ROW()*0.000000001)</f>
        <v/>
      </c>
      <c r="L220">
        <f>IF(E220="","",E220+ROW()*0.000000001)</f>
        <v/>
      </c>
      <c r="M220">
        <f>IF(F220="","",F220+ROW()*0.000000001)</f>
        <v/>
      </c>
      <c r="N220">
        <f>IF(G220="","",G220+ROW()*0.000000001)</f>
        <v/>
      </c>
      <c r="O220">
        <f>IF(H220="","",H220+ROW()*0.000000001)</f>
        <v/>
      </c>
    </row>
    <row r="221">
      <c r="B221" s="4">
        <f>IF($A221="","",IF(COUNTIFS(데이터!$A$2:$A$20000,$A221,데이터!$E$2:$E$20000,1)=0,"",SUMIFS(데이터!$C$2:$C$20000,데이터!$A$2:$A$20000,$A221,데이터!$E$2:$E$20000,1)))</f>
        <v/>
      </c>
      <c r="C221" s="5">
        <f>IFERROR(IF(OR($B221="",COUNTIFS(데이터!$A$2:$A$20000,$A221,데이터!$E$2:$E$20000,설정!$B$2)=0),"",$B221/SUMIFS(데이터!$C$2:$C$20000,데이터!$A$2:$A$20000,$A221,데이터!$E$2:$E$20000,설정!$B$2)-1),"")</f>
        <v/>
      </c>
      <c r="D221" s="5">
        <f>IFERROR(IF(OR($B221="",COUNTIFS(데이터!$A$2:$A$20000,$A221,데이터!$E$2:$E$20000,설정!$B$3)=0),"",$B221/SUMIFS(데이터!$C$2:$C$20000,데이터!$A$2:$A$20000,$A221,데이터!$E$2:$E$20000,설정!$B$3)-1),"")</f>
        <v/>
      </c>
      <c r="E221" s="5">
        <f>IFERROR(IF(OR($B221="",COUNTIFS(데이터!$A$2:$A$20000,$A221,데이터!$E$2:$E$20000,설정!$B$4)=0),"",$B221/SUMIFS(데이터!$C$2:$C$20000,데이터!$A$2:$A$20000,$A221,데이터!$E$2:$E$20000,설정!$B$4)-1),"")</f>
        <v/>
      </c>
      <c r="F221" s="5">
        <f>IFERROR(IF(OR($B221="",COUNTIFS(데이터!$A$2:$A$20000,$A221,데이터!$E$2:$E$20000,설정!$B$5)=0),"",$B221/SUMIFS(데이터!$C$2:$C$20000,데이터!$A$2:$A$20000,$A221,데이터!$E$2:$E$20000,설정!$B$5)-1),"")</f>
        <v/>
      </c>
      <c r="G221" s="5">
        <f>IFERROR(IF(OR($B221="",COUNTIFS(데이터!$A$2:$A$20000,$A221,데이터!$E$2:$E$20000,설정!$B$6)=0),"",$B221/SUMIFS(데이터!$C$2:$C$20000,데이터!$A$2:$A$20000,$A221,데이터!$E$2:$E$20000,설정!$B$6)-1),"")</f>
        <v/>
      </c>
      <c r="H221" s="5">
        <f>IFERROR(IF(OR($B221="",COUNTIFS(데이터!$A$2:$A$20000,$A221,데이터!$E$2:$E$20000,설정!$B$7)=0),"",$B221/SUMIFS(데이터!$C$2:$C$20000,데이터!$A$2:$A$20000,$A221,데이터!$E$2:$E$20000,설정!$B$7)-1),"")</f>
        <v/>
      </c>
      <c r="J221">
        <f>IF(C221="","",C221+ROW()*0.000000001)</f>
        <v/>
      </c>
      <c r="K221">
        <f>IF(D221="","",D221+ROW()*0.000000001)</f>
        <v/>
      </c>
      <c r="L221">
        <f>IF(E221="","",E221+ROW()*0.000000001)</f>
        <v/>
      </c>
      <c r="M221">
        <f>IF(F221="","",F221+ROW()*0.000000001)</f>
        <v/>
      </c>
      <c r="N221">
        <f>IF(G221="","",G221+ROW()*0.000000001)</f>
        <v/>
      </c>
      <c r="O221">
        <f>IF(H221="","",H221+ROW()*0.000000001)</f>
        <v/>
      </c>
    </row>
    <row r="222">
      <c r="B222" s="4">
        <f>IF($A222="","",IF(COUNTIFS(데이터!$A$2:$A$20000,$A222,데이터!$E$2:$E$20000,1)=0,"",SUMIFS(데이터!$C$2:$C$20000,데이터!$A$2:$A$20000,$A222,데이터!$E$2:$E$20000,1)))</f>
        <v/>
      </c>
      <c r="C222" s="5">
        <f>IFERROR(IF(OR($B222="",COUNTIFS(데이터!$A$2:$A$20000,$A222,데이터!$E$2:$E$20000,설정!$B$2)=0),"",$B222/SUMIFS(데이터!$C$2:$C$20000,데이터!$A$2:$A$20000,$A222,데이터!$E$2:$E$20000,설정!$B$2)-1),"")</f>
        <v/>
      </c>
      <c r="D222" s="5">
        <f>IFERROR(IF(OR($B222="",COUNTIFS(데이터!$A$2:$A$20000,$A222,데이터!$E$2:$E$20000,설정!$B$3)=0),"",$B222/SUMIFS(데이터!$C$2:$C$20000,데이터!$A$2:$A$20000,$A222,데이터!$E$2:$E$20000,설정!$B$3)-1),"")</f>
        <v/>
      </c>
      <c r="E222" s="5">
        <f>IFERROR(IF(OR($B222="",COUNTIFS(데이터!$A$2:$A$20000,$A222,데이터!$E$2:$E$20000,설정!$B$4)=0),"",$B222/SUMIFS(데이터!$C$2:$C$20000,데이터!$A$2:$A$20000,$A222,데이터!$E$2:$E$20000,설정!$B$4)-1),"")</f>
        <v/>
      </c>
      <c r="F222" s="5">
        <f>IFERROR(IF(OR($B222="",COUNTIFS(데이터!$A$2:$A$20000,$A222,데이터!$E$2:$E$20000,설정!$B$5)=0),"",$B222/SUMIFS(데이터!$C$2:$C$20000,데이터!$A$2:$A$20000,$A222,데이터!$E$2:$E$20000,설정!$B$5)-1),"")</f>
        <v/>
      </c>
      <c r="G222" s="5">
        <f>IFERROR(IF(OR($B222="",COUNTIFS(데이터!$A$2:$A$20000,$A222,데이터!$E$2:$E$20000,설정!$B$6)=0),"",$B222/SUMIFS(데이터!$C$2:$C$20000,데이터!$A$2:$A$20000,$A222,데이터!$E$2:$E$20000,설정!$B$6)-1),"")</f>
        <v/>
      </c>
      <c r="H222" s="5">
        <f>IFERROR(IF(OR($B222="",COUNTIFS(데이터!$A$2:$A$20000,$A222,데이터!$E$2:$E$20000,설정!$B$7)=0),"",$B222/SUMIFS(데이터!$C$2:$C$20000,데이터!$A$2:$A$20000,$A222,데이터!$E$2:$E$20000,설정!$B$7)-1),"")</f>
        <v/>
      </c>
      <c r="J222">
        <f>IF(C222="","",C222+ROW()*0.000000001)</f>
        <v/>
      </c>
      <c r="K222">
        <f>IF(D222="","",D222+ROW()*0.000000001)</f>
        <v/>
      </c>
      <c r="L222">
        <f>IF(E222="","",E222+ROW()*0.000000001)</f>
        <v/>
      </c>
      <c r="M222">
        <f>IF(F222="","",F222+ROW()*0.000000001)</f>
        <v/>
      </c>
      <c r="N222">
        <f>IF(G222="","",G222+ROW()*0.000000001)</f>
        <v/>
      </c>
      <c r="O222">
        <f>IF(H222="","",H222+ROW()*0.000000001)</f>
        <v/>
      </c>
    </row>
    <row r="223">
      <c r="B223" s="4">
        <f>IF($A223="","",IF(COUNTIFS(데이터!$A$2:$A$20000,$A223,데이터!$E$2:$E$20000,1)=0,"",SUMIFS(데이터!$C$2:$C$20000,데이터!$A$2:$A$20000,$A223,데이터!$E$2:$E$20000,1)))</f>
        <v/>
      </c>
      <c r="C223" s="5">
        <f>IFERROR(IF(OR($B223="",COUNTIFS(데이터!$A$2:$A$20000,$A223,데이터!$E$2:$E$20000,설정!$B$2)=0),"",$B223/SUMIFS(데이터!$C$2:$C$20000,데이터!$A$2:$A$20000,$A223,데이터!$E$2:$E$20000,설정!$B$2)-1),"")</f>
        <v/>
      </c>
      <c r="D223" s="5">
        <f>IFERROR(IF(OR($B223="",COUNTIFS(데이터!$A$2:$A$20000,$A223,데이터!$E$2:$E$20000,설정!$B$3)=0),"",$B223/SUMIFS(데이터!$C$2:$C$20000,데이터!$A$2:$A$20000,$A223,데이터!$E$2:$E$20000,설정!$B$3)-1),"")</f>
        <v/>
      </c>
      <c r="E223" s="5">
        <f>IFERROR(IF(OR($B223="",COUNTIFS(데이터!$A$2:$A$20000,$A223,데이터!$E$2:$E$20000,설정!$B$4)=0),"",$B223/SUMIFS(데이터!$C$2:$C$20000,데이터!$A$2:$A$20000,$A223,데이터!$E$2:$E$20000,설정!$B$4)-1),"")</f>
        <v/>
      </c>
      <c r="F223" s="5">
        <f>IFERROR(IF(OR($B223="",COUNTIFS(데이터!$A$2:$A$20000,$A223,데이터!$E$2:$E$20000,설정!$B$5)=0),"",$B223/SUMIFS(데이터!$C$2:$C$20000,데이터!$A$2:$A$20000,$A223,데이터!$E$2:$E$20000,설정!$B$5)-1),"")</f>
        <v/>
      </c>
      <c r="G223" s="5">
        <f>IFERROR(IF(OR($B223="",COUNTIFS(데이터!$A$2:$A$20000,$A223,데이터!$E$2:$E$20000,설정!$B$6)=0),"",$B223/SUMIFS(데이터!$C$2:$C$20000,데이터!$A$2:$A$20000,$A223,데이터!$E$2:$E$20000,설정!$B$6)-1),"")</f>
        <v/>
      </c>
      <c r="H223" s="5">
        <f>IFERROR(IF(OR($B223="",COUNTIFS(데이터!$A$2:$A$20000,$A223,데이터!$E$2:$E$20000,설정!$B$7)=0),"",$B223/SUMIFS(데이터!$C$2:$C$20000,데이터!$A$2:$A$20000,$A223,데이터!$E$2:$E$20000,설정!$B$7)-1),"")</f>
        <v/>
      </c>
      <c r="J223">
        <f>IF(C223="","",C223+ROW()*0.000000001)</f>
        <v/>
      </c>
      <c r="K223">
        <f>IF(D223="","",D223+ROW()*0.000000001)</f>
        <v/>
      </c>
      <c r="L223">
        <f>IF(E223="","",E223+ROW()*0.000000001)</f>
        <v/>
      </c>
      <c r="M223">
        <f>IF(F223="","",F223+ROW()*0.000000001)</f>
        <v/>
      </c>
      <c r="N223">
        <f>IF(G223="","",G223+ROW()*0.000000001)</f>
        <v/>
      </c>
      <c r="O223">
        <f>IF(H223="","",H223+ROW()*0.000000001)</f>
        <v/>
      </c>
    </row>
    <row r="224">
      <c r="B224" s="4">
        <f>IF($A224="","",IF(COUNTIFS(데이터!$A$2:$A$20000,$A224,데이터!$E$2:$E$20000,1)=0,"",SUMIFS(데이터!$C$2:$C$20000,데이터!$A$2:$A$20000,$A224,데이터!$E$2:$E$20000,1)))</f>
        <v/>
      </c>
      <c r="C224" s="5">
        <f>IFERROR(IF(OR($B224="",COUNTIFS(데이터!$A$2:$A$20000,$A224,데이터!$E$2:$E$20000,설정!$B$2)=0),"",$B224/SUMIFS(데이터!$C$2:$C$20000,데이터!$A$2:$A$20000,$A224,데이터!$E$2:$E$20000,설정!$B$2)-1),"")</f>
        <v/>
      </c>
      <c r="D224" s="5">
        <f>IFERROR(IF(OR($B224="",COUNTIFS(데이터!$A$2:$A$20000,$A224,데이터!$E$2:$E$20000,설정!$B$3)=0),"",$B224/SUMIFS(데이터!$C$2:$C$20000,데이터!$A$2:$A$20000,$A224,데이터!$E$2:$E$20000,설정!$B$3)-1),"")</f>
        <v/>
      </c>
      <c r="E224" s="5">
        <f>IFERROR(IF(OR($B224="",COUNTIFS(데이터!$A$2:$A$20000,$A224,데이터!$E$2:$E$20000,설정!$B$4)=0),"",$B224/SUMIFS(데이터!$C$2:$C$20000,데이터!$A$2:$A$20000,$A224,데이터!$E$2:$E$20000,설정!$B$4)-1),"")</f>
        <v/>
      </c>
      <c r="F224" s="5">
        <f>IFERROR(IF(OR($B224="",COUNTIFS(데이터!$A$2:$A$20000,$A224,데이터!$E$2:$E$20000,설정!$B$5)=0),"",$B224/SUMIFS(데이터!$C$2:$C$20000,데이터!$A$2:$A$20000,$A224,데이터!$E$2:$E$20000,설정!$B$5)-1),"")</f>
        <v/>
      </c>
      <c r="G224" s="5">
        <f>IFERROR(IF(OR($B224="",COUNTIFS(데이터!$A$2:$A$20000,$A224,데이터!$E$2:$E$20000,설정!$B$6)=0),"",$B224/SUMIFS(데이터!$C$2:$C$20000,데이터!$A$2:$A$20000,$A224,데이터!$E$2:$E$20000,설정!$B$6)-1),"")</f>
        <v/>
      </c>
      <c r="H224" s="5">
        <f>IFERROR(IF(OR($B224="",COUNTIFS(데이터!$A$2:$A$20000,$A224,데이터!$E$2:$E$20000,설정!$B$7)=0),"",$B224/SUMIFS(데이터!$C$2:$C$20000,데이터!$A$2:$A$20000,$A224,데이터!$E$2:$E$20000,설정!$B$7)-1),"")</f>
        <v/>
      </c>
      <c r="J224">
        <f>IF(C224="","",C224+ROW()*0.000000001)</f>
        <v/>
      </c>
      <c r="K224">
        <f>IF(D224="","",D224+ROW()*0.000000001)</f>
        <v/>
      </c>
      <c r="L224">
        <f>IF(E224="","",E224+ROW()*0.000000001)</f>
        <v/>
      </c>
      <c r="M224">
        <f>IF(F224="","",F224+ROW()*0.000000001)</f>
        <v/>
      </c>
      <c r="N224">
        <f>IF(G224="","",G224+ROW()*0.000000001)</f>
        <v/>
      </c>
      <c r="O224">
        <f>IF(H224="","",H224+ROW()*0.000000001)</f>
        <v/>
      </c>
    </row>
    <row r="225">
      <c r="B225" s="4">
        <f>IF($A225="","",IF(COUNTIFS(데이터!$A$2:$A$20000,$A225,데이터!$E$2:$E$20000,1)=0,"",SUMIFS(데이터!$C$2:$C$20000,데이터!$A$2:$A$20000,$A225,데이터!$E$2:$E$20000,1)))</f>
        <v/>
      </c>
      <c r="C225" s="5">
        <f>IFERROR(IF(OR($B225="",COUNTIFS(데이터!$A$2:$A$20000,$A225,데이터!$E$2:$E$20000,설정!$B$2)=0),"",$B225/SUMIFS(데이터!$C$2:$C$20000,데이터!$A$2:$A$20000,$A225,데이터!$E$2:$E$20000,설정!$B$2)-1),"")</f>
        <v/>
      </c>
      <c r="D225" s="5">
        <f>IFERROR(IF(OR($B225="",COUNTIFS(데이터!$A$2:$A$20000,$A225,데이터!$E$2:$E$20000,설정!$B$3)=0),"",$B225/SUMIFS(데이터!$C$2:$C$20000,데이터!$A$2:$A$20000,$A225,데이터!$E$2:$E$20000,설정!$B$3)-1),"")</f>
        <v/>
      </c>
      <c r="E225" s="5">
        <f>IFERROR(IF(OR($B225="",COUNTIFS(데이터!$A$2:$A$20000,$A225,데이터!$E$2:$E$20000,설정!$B$4)=0),"",$B225/SUMIFS(데이터!$C$2:$C$20000,데이터!$A$2:$A$20000,$A225,데이터!$E$2:$E$20000,설정!$B$4)-1),"")</f>
        <v/>
      </c>
      <c r="F225" s="5">
        <f>IFERROR(IF(OR($B225="",COUNTIFS(데이터!$A$2:$A$20000,$A225,데이터!$E$2:$E$20000,설정!$B$5)=0),"",$B225/SUMIFS(데이터!$C$2:$C$20000,데이터!$A$2:$A$20000,$A225,데이터!$E$2:$E$20000,설정!$B$5)-1),"")</f>
        <v/>
      </c>
      <c r="G225" s="5">
        <f>IFERROR(IF(OR($B225="",COUNTIFS(데이터!$A$2:$A$20000,$A225,데이터!$E$2:$E$20000,설정!$B$6)=0),"",$B225/SUMIFS(데이터!$C$2:$C$20000,데이터!$A$2:$A$20000,$A225,데이터!$E$2:$E$20000,설정!$B$6)-1),"")</f>
        <v/>
      </c>
      <c r="H225" s="5">
        <f>IFERROR(IF(OR($B225="",COUNTIFS(데이터!$A$2:$A$20000,$A225,데이터!$E$2:$E$20000,설정!$B$7)=0),"",$B225/SUMIFS(데이터!$C$2:$C$20000,데이터!$A$2:$A$20000,$A225,데이터!$E$2:$E$20000,설정!$B$7)-1),"")</f>
        <v/>
      </c>
      <c r="J225">
        <f>IF(C225="","",C225+ROW()*0.000000001)</f>
        <v/>
      </c>
      <c r="K225">
        <f>IF(D225="","",D225+ROW()*0.000000001)</f>
        <v/>
      </c>
      <c r="L225">
        <f>IF(E225="","",E225+ROW()*0.000000001)</f>
        <v/>
      </c>
      <c r="M225">
        <f>IF(F225="","",F225+ROW()*0.000000001)</f>
        <v/>
      </c>
      <c r="N225">
        <f>IF(G225="","",G225+ROW()*0.000000001)</f>
        <v/>
      </c>
      <c r="O225">
        <f>IF(H225="","",H225+ROW()*0.000000001)</f>
        <v/>
      </c>
    </row>
    <row r="226">
      <c r="B226" s="4">
        <f>IF($A226="","",IF(COUNTIFS(데이터!$A$2:$A$20000,$A226,데이터!$E$2:$E$20000,1)=0,"",SUMIFS(데이터!$C$2:$C$20000,데이터!$A$2:$A$20000,$A226,데이터!$E$2:$E$20000,1)))</f>
        <v/>
      </c>
      <c r="C226" s="5">
        <f>IFERROR(IF(OR($B226="",COUNTIFS(데이터!$A$2:$A$20000,$A226,데이터!$E$2:$E$20000,설정!$B$2)=0),"",$B226/SUMIFS(데이터!$C$2:$C$20000,데이터!$A$2:$A$20000,$A226,데이터!$E$2:$E$20000,설정!$B$2)-1),"")</f>
        <v/>
      </c>
      <c r="D226" s="5">
        <f>IFERROR(IF(OR($B226="",COUNTIFS(데이터!$A$2:$A$20000,$A226,데이터!$E$2:$E$20000,설정!$B$3)=0),"",$B226/SUMIFS(데이터!$C$2:$C$20000,데이터!$A$2:$A$20000,$A226,데이터!$E$2:$E$20000,설정!$B$3)-1),"")</f>
        <v/>
      </c>
      <c r="E226" s="5">
        <f>IFERROR(IF(OR($B226="",COUNTIFS(데이터!$A$2:$A$20000,$A226,데이터!$E$2:$E$20000,설정!$B$4)=0),"",$B226/SUMIFS(데이터!$C$2:$C$20000,데이터!$A$2:$A$20000,$A226,데이터!$E$2:$E$20000,설정!$B$4)-1),"")</f>
        <v/>
      </c>
      <c r="F226" s="5">
        <f>IFERROR(IF(OR($B226="",COUNTIFS(데이터!$A$2:$A$20000,$A226,데이터!$E$2:$E$20000,설정!$B$5)=0),"",$B226/SUMIFS(데이터!$C$2:$C$20000,데이터!$A$2:$A$20000,$A226,데이터!$E$2:$E$20000,설정!$B$5)-1),"")</f>
        <v/>
      </c>
      <c r="G226" s="5">
        <f>IFERROR(IF(OR($B226="",COUNTIFS(데이터!$A$2:$A$20000,$A226,데이터!$E$2:$E$20000,설정!$B$6)=0),"",$B226/SUMIFS(데이터!$C$2:$C$20000,데이터!$A$2:$A$20000,$A226,데이터!$E$2:$E$20000,설정!$B$6)-1),"")</f>
        <v/>
      </c>
      <c r="H226" s="5">
        <f>IFERROR(IF(OR($B226="",COUNTIFS(데이터!$A$2:$A$20000,$A226,데이터!$E$2:$E$20000,설정!$B$7)=0),"",$B226/SUMIFS(데이터!$C$2:$C$20000,데이터!$A$2:$A$20000,$A226,데이터!$E$2:$E$20000,설정!$B$7)-1),"")</f>
        <v/>
      </c>
      <c r="J226">
        <f>IF(C226="","",C226+ROW()*0.000000001)</f>
        <v/>
      </c>
      <c r="K226">
        <f>IF(D226="","",D226+ROW()*0.000000001)</f>
        <v/>
      </c>
      <c r="L226">
        <f>IF(E226="","",E226+ROW()*0.000000001)</f>
        <v/>
      </c>
      <c r="M226">
        <f>IF(F226="","",F226+ROW()*0.000000001)</f>
        <v/>
      </c>
      <c r="N226">
        <f>IF(G226="","",G226+ROW()*0.000000001)</f>
        <v/>
      </c>
      <c r="O226">
        <f>IF(H226="","",H226+ROW()*0.000000001)</f>
        <v/>
      </c>
    </row>
    <row r="227">
      <c r="B227" s="4">
        <f>IF($A227="","",IF(COUNTIFS(데이터!$A$2:$A$20000,$A227,데이터!$E$2:$E$20000,1)=0,"",SUMIFS(데이터!$C$2:$C$20000,데이터!$A$2:$A$20000,$A227,데이터!$E$2:$E$20000,1)))</f>
        <v/>
      </c>
      <c r="C227" s="5">
        <f>IFERROR(IF(OR($B227="",COUNTIFS(데이터!$A$2:$A$20000,$A227,데이터!$E$2:$E$20000,설정!$B$2)=0),"",$B227/SUMIFS(데이터!$C$2:$C$20000,데이터!$A$2:$A$20000,$A227,데이터!$E$2:$E$20000,설정!$B$2)-1),"")</f>
        <v/>
      </c>
      <c r="D227" s="5">
        <f>IFERROR(IF(OR($B227="",COUNTIFS(데이터!$A$2:$A$20000,$A227,데이터!$E$2:$E$20000,설정!$B$3)=0),"",$B227/SUMIFS(데이터!$C$2:$C$20000,데이터!$A$2:$A$20000,$A227,데이터!$E$2:$E$20000,설정!$B$3)-1),"")</f>
        <v/>
      </c>
      <c r="E227" s="5">
        <f>IFERROR(IF(OR($B227="",COUNTIFS(데이터!$A$2:$A$20000,$A227,데이터!$E$2:$E$20000,설정!$B$4)=0),"",$B227/SUMIFS(데이터!$C$2:$C$20000,데이터!$A$2:$A$20000,$A227,데이터!$E$2:$E$20000,설정!$B$4)-1),"")</f>
        <v/>
      </c>
      <c r="F227" s="5">
        <f>IFERROR(IF(OR($B227="",COUNTIFS(데이터!$A$2:$A$20000,$A227,데이터!$E$2:$E$20000,설정!$B$5)=0),"",$B227/SUMIFS(데이터!$C$2:$C$20000,데이터!$A$2:$A$20000,$A227,데이터!$E$2:$E$20000,설정!$B$5)-1),"")</f>
        <v/>
      </c>
      <c r="G227" s="5">
        <f>IFERROR(IF(OR($B227="",COUNTIFS(데이터!$A$2:$A$20000,$A227,데이터!$E$2:$E$20000,설정!$B$6)=0),"",$B227/SUMIFS(데이터!$C$2:$C$20000,데이터!$A$2:$A$20000,$A227,데이터!$E$2:$E$20000,설정!$B$6)-1),"")</f>
        <v/>
      </c>
      <c r="H227" s="5">
        <f>IFERROR(IF(OR($B227="",COUNTIFS(데이터!$A$2:$A$20000,$A227,데이터!$E$2:$E$20000,설정!$B$7)=0),"",$B227/SUMIFS(데이터!$C$2:$C$20000,데이터!$A$2:$A$20000,$A227,데이터!$E$2:$E$20000,설정!$B$7)-1),"")</f>
        <v/>
      </c>
      <c r="J227">
        <f>IF(C227="","",C227+ROW()*0.000000001)</f>
        <v/>
      </c>
      <c r="K227">
        <f>IF(D227="","",D227+ROW()*0.000000001)</f>
        <v/>
      </c>
      <c r="L227">
        <f>IF(E227="","",E227+ROW()*0.000000001)</f>
        <v/>
      </c>
      <c r="M227">
        <f>IF(F227="","",F227+ROW()*0.000000001)</f>
        <v/>
      </c>
      <c r="N227">
        <f>IF(G227="","",G227+ROW()*0.000000001)</f>
        <v/>
      </c>
      <c r="O227">
        <f>IF(H227="","",H227+ROW()*0.000000001)</f>
        <v/>
      </c>
    </row>
    <row r="228">
      <c r="B228" s="4">
        <f>IF($A228="","",IF(COUNTIFS(데이터!$A$2:$A$20000,$A228,데이터!$E$2:$E$20000,1)=0,"",SUMIFS(데이터!$C$2:$C$20000,데이터!$A$2:$A$20000,$A228,데이터!$E$2:$E$20000,1)))</f>
        <v/>
      </c>
      <c r="C228" s="5">
        <f>IFERROR(IF(OR($B228="",COUNTIFS(데이터!$A$2:$A$20000,$A228,데이터!$E$2:$E$20000,설정!$B$2)=0),"",$B228/SUMIFS(데이터!$C$2:$C$20000,데이터!$A$2:$A$20000,$A228,데이터!$E$2:$E$20000,설정!$B$2)-1),"")</f>
        <v/>
      </c>
      <c r="D228" s="5">
        <f>IFERROR(IF(OR($B228="",COUNTIFS(데이터!$A$2:$A$20000,$A228,데이터!$E$2:$E$20000,설정!$B$3)=0),"",$B228/SUMIFS(데이터!$C$2:$C$20000,데이터!$A$2:$A$20000,$A228,데이터!$E$2:$E$20000,설정!$B$3)-1),"")</f>
        <v/>
      </c>
      <c r="E228" s="5">
        <f>IFERROR(IF(OR($B228="",COUNTIFS(데이터!$A$2:$A$20000,$A228,데이터!$E$2:$E$20000,설정!$B$4)=0),"",$B228/SUMIFS(데이터!$C$2:$C$20000,데이터!$A$2:$A$20000,$A228,데이터!$E$2:$E$20000,설정!$B$4)-1),"")</f>
        <v/>
      </c>
      <c r="F228" s="5">
        <f>IFERROR(IF(OR($B228="",COUNTIFS(데이터!$A$2:$A$20000,$A228,데이터!$E$2:$E$20000,설정!$B$5)=0),"",$B228/SUMIFS(데이터!$C$2:$C$20000,데이터!$A$2:$A$20000,$A228,데이터!$E$2:$E$20000,설정!$B$5)-1),"")</f>
        <v/>
      </c>
      <c r="G228" s="5">
        <f>IFERROR(IF(OR($B228="",COUNTIFS(데이터!$A$2:$A$20000,$A228,데이터!$E$2:$E$20000,설정!$B$6)=0),"",$B228/SUMIFS(데이터!$C$2:$C$20000,데이터!$A$2:$A$20000,$A228,데이터!$E$2:$E$20000,설정!$B$6)-1),"")</f>
        <v/>
      </c>
      <c r="H228" s="5">
        <f>IFERROR(IF(OR($B228="",COUNTIFS(데이터!$A$2:$A$20000,$A228,데이터!$E$2:$E$20000,설정!$B$7)=0),"",$B228/SUMIFS(데이터!$C$2:$C$20000,데이터!$A$2:$A$20000,$A228,데이터!$E$2:$E$20000,설정!$B$7)-1),"")</f>
        <v/>
      </c>
      <c r="J228">
        <f>IF(C228="","",C228+ROW()*0.000000001)</f>
        <v/>
      </c>
      <c r="K228">
        <f>IF(D228="","",D228+ROW()*0.000000001)</f>
        <v/>
      </c>
      <c r="L228">
        <f>IF(E228="","",E228+ROW()*0.000000001)</f>
        <v/>
      </c>
      <c r="M228">
        <f>IF(F228="","",F228+ROW()*0.000000001)</f>
        <v/>
      </c>
      <c r="N228">
        <f>IF(G228="","",G228+ROW()*0.000000001)</f>
        <v/>
      </c>
      <c r="O228">
        <f>IF(H228="","",H228+ROW()*0.000000001)</f>
        <v/>
      </c>
    </row>
    <row r="229">
      <c r="B229" s="4">
        <f>IF($A229="","",IF(COUNTIFS(데이터!$A$2:$A$20000,$A229,데이터!$E$2:$E$20000,1)=0,"",SUMIFS(데이터!$C$2:$C$20000,데이터!$A$2:$A$20000,$A229,데이터!$E$2:$E$20000,1)))</f>
        <v/>
      </c>
      <c r="C229" s="5">
        <f>IFERROR(IF(OR($B229="",COUNTIFS(데이터!$A$2:$A$20000,$A229,데이터!$E$2:$E$20000,설정!$B$2)=0),"",$B229/SUMIFS(데이터!$C$2:$C$20000,데이터!$A$2:$A$20000,$A229,데이터!$E$2:$E$20000,설정!$B$2)-1),"")</f>
        <v/>
      </c>
      <c r="D229" s="5">
        <f>IFERROR(IF(OR($B229="",COUNTIFS(데이터!$A$2:$A$20000,$A229,데이터!$E$2:$E$20000,설정!$B$3)=0),"",$B229/SUMIFS(데이터!$C$2:$C$20000,데이터!$A$2:$A$20000,$A229,데이터!$E$2:$E$20000,설정!$B$3)-1),"")</f>
        <v/>
      </c>
      <c r="E229" s="5">
        <f>IFERROR(IF(OR($B229="",COUNTIFS(데이터!$A$2:$A$20000,$A229,데이터!$E$2:$E$20000,설정!$B$4)=0),"",$B229/SUMIFS(데이터!$C$2:$C$20000,데이터!$A$2:$A$20000,$A229,데이터!$E$2:$E$20000,설정!$B$4)-1),"")</f>
        <v/>
      </c>
      <c r="F229" s="5">
        <f>IFERROR(IF(OR($B229="",COUNTIFS(데이터!$A$2:$A$20000,$A229,데이터!$E$2:$E$20000,설정!$B$5)=0),"",$B229/SUMIFS(데이터!$C$2:$C$20000,데이터!$A$2:$A$20000,$A229,데이터!$E$2:$E$20000,설정!$B$5)-1),"")</f>
        <v/>
      </c>
      <c r="G229" s="5">
        <f>IFERROR(IF(OR($B229="",COUNTIFS(데이터!$A$2:$A$20000,$A229,데이터!$E$2:$E$20000,설정!$B$6)=0),"",$B229/SUMIFS(데이터!$C$2:$C$20000,데이터!$A$2:$A$20000,$A229,데이터!$E$2:$E$20000,설정!$B$6)-1),"")</f>
        <v/>
      </c>
      <c r="H229" s="5">
        <f>IFERROR(IF(OR($B229="",COUNTIFS(데이터!$A$2:$A$20000,$A229,데이터!$E$2:$E$20000,설정!$B$7)=0),"",$B229/SUMIFS(데이터!$C$2:$C$20000,데이터!$A$2:$A$20000,$A229,데이터!$E$2:$E$20000,설정!$B$7)-1),"")</f>
        <v/>
      </c>
      <c r="J229">
        <f>IF(C229="","",C229+ROW()*0.000000001)</f>
        <v/>
      </c>
      <c r="K229">
        <f>IF(D229="","",D229+ROW()*0.000000001)</f>
        <v/>
      </c>
      <c r="L229">
        <f>IF(E229="","",E229+ROW()*0.000000001)</f>
        <v/>
      </c>
      <c r="M229">
        <f>IF(F229="","",F229+ROW()*0.000000001)</f>
        <v/>
      </c>
      <c r="N229">
        <f>IF(G229="","",G229+ROW()*0.000000001)</f>
        <v/>
      </c>
      <c r="O229">
        <f>IF(H229="","",H229+ROW()*0.000000001)</f>
        <v/>
      </c>
    </row>
    <row r="230">
      <c r="B230" s="4">
        <f>IF($A230="","",IF(COUNTIFS(데이터!$A$2:$A$20000,$A230,데이터!$E$2:$E$20000,1)=0,"",SUMIFS(데이터!$C$2:$C$20000,데이터!$A$2:$A$20000,$A230,데이터!$E$2:$E$20000,1)))</f>
        <v/>
      </c>
      <c r="C230" s="5">
        <f>IFERROR(IF(OR($B230="",COUNTIFS(데이터!$A$2:$A$20000,$A230,데이터!$E$2:$E$20000,설정!$B$2)=0),"",$B230/SUMIFS(데이터!$C$2:$C$20000,데이터!$A$2:$A$20000,$A230,데이터!$E$2:$E$20000,설정!$B$2)-1),"")</f>
        <v/>
      </c>
      <c r="D230" s="5">
        <f>IFERROR(IF(OR($B230="",COUNTIFS(데이터!$A$2:$A$20000,$A230,데이터!$E$2:$E$20000,설정!$B$3)=0),"",$B230/SUMIFS(데이터!$C$2:$C$20000,데이터!$A$2:$A$20000,$A230,데이터!$E$2:$E$20000,설정!$B$3)-1),"")</f>
        <v/>
      </c>
      <c r="E230" s="5">
        <f>IFERROR(IF(OR($B230="",COUNTIFS(데이터!$A$2:$A$20000,$A230,데이터!$E$2:$E$20000,설정!$B$4)=0),"",$B230/SUMIFS(데이터!$C$2:$C$20000,데이터!$A$2:$A$20000,$A230,데이터!$E$2:$E$20000,설정!$B$4)-1),"")</f>
        <v/>
      </c>
      <c r="F230" s="5">
        <f>IFERROR(IF(OR($B230="",COUNTIFS(데이터!$A$2:$A$20000,$A230,데이터!$E$2:$E$20000,설정!$B$5)=0),"",$B230/SUMIFS(데이터!$C$2:$C$20000,데이터!$A$2:$A$20000,$A230,데이터!$E$2:$E$20000,설정!$B$5)-1),"")</f>
        <v/>
      </c>
      <c r="G230" s="5">
        <f>IFERROR(IF(OR($B230="",COUNTIFS(데이터!$A$2:$A$20000,$A230,데이터!$E$2:$E$20000,설정!$B$6)=0),"",$B230/SUMIFS(데이터!$C$2:$C$20000,데이터!$A$2:$A$20000,$A230,데이터!$E$2:$E$20000,설정!$B$6)-1),"")</f>
        <v/>
      </c>
      <c r="H230" s="5">
        <f>IFERROR(IF(OR($B230="",COUNTIFS(데이터!$A$2:$A$20000,$A230,데이터!$E$2:$E$20000,설정!$B$7)=0),"",$B230/SUMIFS(데이터!$C$2:$C$20000,데이터!$A$2:$A$20000,$A230,데이터!$E$2:$E$20000,설정!$B$7)-1),"")</f>
        <v/>
      </c>
      <c r="J230">
        <f>IF(C230="","",C230+ROW()*0.000000001)</f>
        <v/>
      </c>
      <c r="K230">
        <f>IF(D230="","",D230+ROW()*0.000000001)</f>
        <v/>
      </c>
      <c r="L230">
        <f>IF(E230="","",E230+ROW()*0.000000001)</f>
        <v/>
      </c>
      <c r="M230">
        <f>IF(F230="","",F230+ROW()*0.000000001)</f>
        <v/>
      </c>
      <c r="N230">
        <f>IF(G230="","",G230+ROW()*0.000000001)</f>
        <v/>
      </c>
      <c r="O230">
        <f>IF(H230="","",H230+ROW()*0.000000001)</f>
        <v/>
      </c>
    </row>
    <row r="231">
      <c r="B231" s="4">
        <f>IF($A231="","",IF(COUNTIFS(데이터!$A$2:$A$20000,$A231,데이터!$E$2:$E$20000,1)=0,"",SUMIFS(데이터!$C$2:$C$20000,데이터!$A$2:$A$20000,$A231,데이터!$E$2:$E$20000,1)))</f>
        <v/>
      </c>
      <c r="C231" s="5">
        <f>IFERROR(IF(OR($B231="",COUNTIFS(데이터!$A$2:$A$20000,$A231,데이터!$E$2:$E$20000,설정!$B$2)=0),"",$B231/SUMIFS(데이터!$C$2:$C$20000,데이터!$A$2:$A$20000,$A231,데이터!$E$2:$E$20000,설정!$B$2)-1),"")</f>
        <v/>
      </c>
      <c r="D231" s="5">
        <f>IFERROR(IF(OR($B231="",COUNTIFS(데이터!$A$2:$A$20000,$A231,데이터!$E$2:$E$20000,설정!$B$3)=0),"",$B231/SUMIFS(데이터!$C$2:$C$20000,데이터!$A$2:$A$20000,$A231,데이터!$E$2:$E$20000,설정!$B$3)-1),"")</f>
        <v/>
      </c>
      <c r="E231" s="5">
        <f>IFERROR(IF(OR($B231="",COUNTIFS(데이터!$A$2:$A$20000,$A231,데이터!$E$2:$E$20000,설정!$B$4)=0),"",$B231/SUMIFS(데이터!$C$2:$C$20000,데이터!$A$2:$A$20000,$A231,데이터!$E$2:$E$20000,설정!$B$4)-1),"")</f>
        <v/>
      </c>
      <c r="F231" s="5">
        <f>IFERROR(IF(OR($B231="",COUNTIFS(데이터!$A$2:$A$20000,$A231,데이터!$E$2:$E$20000,설정!$B$5)=0),"",$B231/SUMIFS(데이터!$C$2:$C$20000,데이터!$A$2:$A$20000,$A231,데이터!$E$2:$E$20000,설정!$B$5)-1),"")</f>
        <v/>
      </c>
      <c r="G231" s="5">
        <f>IFERROR(IF(OR($B231="",COUNTIFS(데이터!$A$2:$A$20000,$A231,데이터!$E$2:$E$20000,설정!$B$6)=0),"",$B231/SUMIFS(데이터!$C$2:$C$20000,데이터!$A$2:$A$20000,$A231,데이터!$E$2:$E$20000,설정!$B$6)-1),"")</f>
        <v/>
      </c>
      <c r="H231" s="5">
        <f>IFERROR(IF(OR($B231="",COUNTIFS(데이터!$A$2:$A$20000,$A231,데이터!$E$2:$E$20000,설정!$B$7)=0),"",$B231/SUMIFS(데이터!$C$2:$C$20000,데이터!$A$2:$A$20000,$A231,데이터!$E$2:$E$20000,설정!$B$7)-1),"")</f>
        <v/>
      </c>
      <c r="J231">
        <f>IF(C231="","",C231+ROW()*0.000000001)</f>
        <v/>
      </c>
      <c r="K231">
        <f>IF(D231="","",D231+ROW()*0.000000001)</f>
        <v/>
      </c>
      <c r="L231">
        <f>IF(E231="","",E231+ROW()*0.000000001)</f>
        <v/>
      </c>
      <c r="M231">
        <f>IF(F231="","",F231+ROW()*0.000000001)</f>
        <v/>
      </c>
      <c r="N231">
        <f>IF(G231="","",G231+ROW()*0.000000001)</f>
        <v/>
      </c>
      <c r="O231">
        <f>IF(H231="","",H231+ROW()*0.000000001)</f>
        <v/>
      </c>
    </row>
    <row r="232">
      <c r="B232" s="4">
        <f>IF($A232="","",IF(COUNTIFS(데이터!$A$2:$A$20000,$A232,데이터!$E$2:$E$20000,1)=0,"",SUMIFS(데이터!$C$2:$C$20000,데이터!$A$2:$A$20000,$A232,데이터!$E$2:$E$20000,1)))</f>
        <v/>
      </c>
      <c r="C232" s="5">
        <f>IFERROR(IF(OR($B232="",COUNTIFS(데이터!$A$2:$A$20000,$A232,데이터!$E$2:$E$20000,설정!$B$2)=0),"",$B232/SUMIFS(데이터!$C$2:$C$20000,데이터!$A$2:$A$20000,$A232,데이터!$E$2:$E$20000,설정!$B$2)-1),"")</f>
        <v/>
      </c>
      <c r="D232" s="5">
        <f>IFERROR(IF(OR($B232="",COUNTIFS(데이터!$A$2:$A$20000,$A232,데이터!$E$2:$E$20000,설정!$B$3)=0),"",$B232/SUMIFS(데이터!$C$2:$C$20000,데이터!$A$2:$A$20000,$A232,데이터!$E$2:$E$20000,설정!$B$3)-1),"")</f>
        <v/>
      </c>
      <c r="E232" s="5">
        <f>IFERROR(IF(OR($B232="",COUNTIFS(데이터!$A$2:$A$20000,$A232,데이터!$E$2:$E$20000,설정!$B$4)=0),"",$B232/SUMIFS(데이터!$C$2:$C$20000,데이터!$A$2:$A$20000,$A232,데이터!$E$2:$E$20000,설정!$B$4)-1),"")</f>
        <v/>
      </c>
      <c r="F232" s="5">
        <f>IFERROR(IF(OR($B232="",COUNTIFS(데이터!$A$2:$A$20000,$A232,데이터!$E$2:$E$20000,설정!$B$5)=0),"",$B232/SUMIFS(데이터!$C$2:$C$20000,데이터!$A$2:$A$20000,$A232,데이터!$E$2:$E$20000,설정!$B$5)-1),"")</f>
        <v/>
      </c>
      <c r="G232" s="5">
        <f>IFERROR(IF(OR($B232="",COUNTIFS(데이터!$A$2:$A$20000,$A232,데이터!$E$2:$E$20000,설정!$B$6)=0),"",$B232/SUMIFS(데이터!$C$2:$C$20000,데이터!$A$2:$A$20000,$A232,데이터!$E$2:$E$20000,설정!$B$6)-1),"")</f>
        <v/>
      </c>
      <c r="H232" s="5">
        <f>IFERROR(IF(OR($B232="",COUNTIFS(데이터!$A$2:$A$20000,$A232,데이터!$E$2:$E$20000,설정!$B$7)=0),"",$B232/SUMIFS(데이터!$C$2:$C$20000,데이터!$A$2:$A$20000,$A232,데이터!$E$2:$E$20000,설정!$B$7)-1),"")</f>
        <v/>
      </c>
      <c r="J232">
        <f>IF(C232="","",C232+ROW()*0.000000001)</f>
        <v/>
      </c>
      <c r="K232">
        <f>IF(D232="","",D232+ROW()*0.000000001)</f>
        <v/>
      </c>
      <c r="L232">
        <f>IF(E232="","",E232+ROW()*0.000000001)</f>
        <v/>
      </c>
      <c r="M232">
        <f>IF(F232="","",F232+ROW()*0.000000001)</f>
        <v/>
      </c>
      <c r="N232">
        <f>IF(G232="","",G232+ROW()*0.000000001)</f>
        <v/>
      </c>
      <c r="O232">
        <f>IF(H232="","",H232+ROW()*0.000000001)</f>
        <v/>
      </c>
    </row>
    <row r="233">
      <c r="B233" s="4">
        <f>IF($A233="","",IF(COUNTIFS(데이터!$A$2:$A$20000,$A233,데이터!$E$2:$E$20000,1)=0,"",SUMIFS(데이터!$C$2:$C$20000,데이터!$A$2:$A$20000,$A233,데이터!$E$2:$E$20000,1)))</f>
        <v/>
      </c>
      <c r="C233" s="5">
        <f>IFERROR(IF(OR($B233="",COUNTIFS(데이터!$A$2:$A$20000,$A233,데이터!$E$2:$E$20000,설정!$B$2)=0),"",$B233/SUMIFS(데이터!$C$2:$C$20000,데이터!$A$2:$A$20000,$A233,데이터!$E$2:$E$20000,설정!$B$2)-1),"")</f>
        <v/>
      </c>
      <c r="D233" s="5">
        <f>IFERROR(IF(OR($B233="",COUNTIFS(데이터!$A$2:$A$20000,$A233,데이터!$E$2:$E$20000,설정!$B$3)=0),"",$B233/SUMIFS(데이터!$C$2:$C$20000,데이터!$A$2:$A$20000,$A233,데이터!$E$2:$E$20000,설정!$B$3)-1),"")</f>
        <v/>
      </c>
      <c r="E233" s="5">
        <f>IFERROR(IF(OR($B233="",COUNTIFS(데이터!$A$2:$A$20000,$A233,데이터!$E$2:$E$20000,설정!$B$4)=0),"",$B233/SUMIFS(데이터!$C$2:$C$20000,데이터!$A$2:$A$20000,$A233,데이터!$E$2:$E$20000,설정!$B$4)-1),"")</f>
        <v/>
      </c>
      <c r="F233" s="5">
        <f>IFERROR(IF(OR($B233="",COUNTIFS(데이터!$A$2:$A$20000,$A233,데이터!$E$2:$E$20000,설정!$B$5)=0),"",$B233/SUMIFS(데이터!$C$2:$C$20000,데이터!$A$2:$A$20000,$A233,데이터!$E$2:$E$20000,설정!$B$5)-1),"")</f>
        <v/>
      </c>
      <c r="G233" s="5">
        <f>IFERROR(IF(OR($B233="",COUNTIFS(데이터!$A$2:$A$20000,$A233,데이터!$E$2:$E$20000,설정!$B$6)=0),"",$B233/SUMIFS(데이터!$C$2:$C$20000,데이터!$A$2:$A$20000,$A233,데이터!$E$2:$E$20000,설정!$B$6)-1),"")</f>
        <v/>
      </c>
      <c r="H233" s="5">
        <f>IFERROR(IF(OR($B233="",COUNTIFS(데이터!$A$2:$A$20000,$A233,데이터!$E$2:$E$20000,설정!$B$7)=0),"",$B233/SUMIFS(데이터!$C$2:$C$20000,데이터!$A$2:$A$20000,$A233,데이터!$E$2:$E$20000,설정!$B$7)-1),"")</f>
        <v/>
      </c>
      <c r="J233">
        <f>IF(C233="","",C233+ROW()*0.000000001)</f>
        <v/>
      </c>
      <c r="K233">
        <f>IF(D233="","",D233+ROW()*0.000000001)</f>
        <v/>
      </c>
      <c r="L233">
        <f>IF(E233="","",E233+ROW()*0.000000001)</f>
        <v/>
      </c>
      <c r="M233">
        <f>IF(F233="","",F233+ROW()*0.000000001)</f>
        <v/>
      </c>
      <c r="N233">
        <f>IF(G233="","",G233+ROW()*0.000000001)</f>
        <v/>
      </c>
      <c r="O233">
        <f>IF(H233="","",H233+ROW()*0.000000001)</f>
        <v/>
      </c>
    </row>
    <row r="234">
      <c r="B234" s="4">
        <f>IF($A234="","",IF(COUNTIFS(데이터!$A$2:$A$20000,$A234,데이터!$E$2:$E$20000,1)=0,"",SUMIFS(데이터!$C$2:$C$20000,데이터!$A$2:$A$20000,$A234,데이터!$E$2:$E$20000,1)))</f>
        <v/>
      </c>
      <c r="C234" s="5">
        <f>IFERROR(IF(OR($B234="",COUNTIFS(데이터!$A$2:$A$20000,$A234,데이터!$E$2:$E$20000,설정!$B$2)=0),"",$B234/SUMIFS(데이터!$C$2:$C$20000,데이터!$A$2:$A$20000,$A234,데이터!$E$2:$E$20000,설정!$B$2)-1),"")</f>
        <v/>
      </c>
      <c r="D234" s="5">
        <f>IFERROR(IF(OR($B234="",COUNTIFS(데이터!$A$2:$A$20000,$A234,데이터!$E$2:$E$20000,설정!$B$3)=0),"",$B234/SUMIFS(데이터!$C$2:$C$20000,데이터!$A$2:$A$20000,$A234,데이터!$E$2:$E$20000,설정!$B$3)-1),"")</f>
        <v/>
      </c>
      <c r="E234" s="5">
        <f>IFERROR(IF(OR($B234="",COUNTIFS(데이터!$A$2:$A$20000,$A234,데이터!$E$2:$E$20000,설정!$B$4)=0),"",$B234/SUMIFS(데이터!$C$2:$C$20000,데이터!$A$2:$A$20000,$A234,데이터!$E$2:$E$20000,설정!$B$4)-1),"")</f>
        <v/>
      </c>
      <c r="F234" s="5">
        <f>IFERROR(IF(OR($B234="",COUNTIFS(데이터!$A$2:$A$20000,$A234,데이터!$E$2:$E$20000,설정!$B$5)=0),"",$B234/SUMIFS(데이터!$C$2:$C$20000,데이터!$A$2:$A$20000,$A234,데이터!$E$2:$E$20000,설정!$B$5)-1),"")</f>
        <v/>
      </c>
      <c r="G234" s="5">
        <f>IFERROR(IF(OR($B234="",COUNTIFS(데이터!$A$2:$A$20000,$A234,데이터!$E$2:$E$20000,설정!$B$6)=0),"",$B234/SUMIFS(데이터!$C$2:$C$20000,데이터!$A$2:$A$20000,$A234,데이터!$E$2:$E$20000,설정!$B$6)-1),"")</f>
        <v/>
      </c>
      <c r="H234" s="5">
        <f>IFERROR(IF(OR($B234="",COUNTIFS(데이터!$A$2:$A$20000,$A234,데이터!$E$2:$E$20000,설정!$B$7)=0),"",$B234/SUMIFS(데이터!$C$2:$C$20000,데이터!$A$2:$A$20000,$A234,데이터!$E$2:$E$20000,설정!$B$7)-1),"")</f>
        <v/>
      </c>
      <c r="J234">
        <f>IF(C234="","",C234+ROW()*0.000000001)</f>
        <v/>
      </c>
      <c r="K234">
        <f>IF(D234="","",D234+ROW()*0.000000001)</f>
        <v/>
      </c>
      <c r="L234">
        <f>IF(E234="","",E234+ROW()*0.000000001)</f>
        <v/>
      </c>
      <c r="M234">
        <f>IF(F234="","",F234+ROW()*0.000000001)</f>
        <v/>
      </c>
      <c r="N234">
        <f>IF(G234="","",G234+ROW()*0.000000001)</f>
        <v/>
      </c>
      <c r="O234">
        <f>IF(H234="","",H234+ROW()*0.000000001)</f>
        <v/>
      </c>
    </row>
    <row r="235">
      <c r="B235" s="4">
        <f>IF($A235="","",IF(COUNTIFS(데이터!$A$2:$A$20000,$A235,데이터!$E$2:$E$20000,1)=0,"",SUMIFS(데이터!$C$2:$C$20000,데이터!$A$2:$A$20000,$A235,데이터!$E$2:$E$20000,1)))</f>
        <v/>
      </c>
      <c r="C235" s="5">
        <f>IFERROR(IF(OR($B235="",COUNTIFS(데이터!$A$2:$A$20000,$A235,데이터!$E$2:$E$20000,설정!$B$2)=0),"",$B235/SUMIFS(데이터!$C$2:$C$20000,데이터!$A$2:$A$20000,$A235,데이터!$E$2:$E$20000,설정!$B$2)-1),"")</f>
        <v/>
      </c>
      <c r="D235" s="5">
        <f>IFERROR(IF(OR($B235="",COUNTIFS(데이터!$A$2:$A$20000,$A235,데이터!$E$2:$E$20000,설정!$B$3)=0),"",$B235/SUMIFS(데이터!$C$2:$C$20000,데이터!$A$2:$A$20000,$A235,데이터!$E$2:$E$20000,설정!$B$3)-1),"")</f>
        <v/>
      </c>
      <c r="E235" s="5">
        <f>IFERROR(IF(OR($B235="",COUNTIFS(데이터!$A$2:$A$20000,$A235,데이터!$E$2:$E$20000,설정!$B$4)=0),"",$B235/SUMIFS(데이터!$C$2:$C$20000,데이터!$A$2:$A$20000,$A235,데이터!$E$2:$E$20000,설정!$B$4)-1),"")</f>
        <v/>
      </c>
      <c r="F235" s="5">
        <f>IFERROR(IF(OR($B235="",COUNTIFS(데이터!$A$2:$A$20000,$A235,데이터!$E$2:$E$20000,설정!$B$5)=0),"",$B235/SUMIFS(데이터!$C$2:$C$20000,데이터!$A$2:$A$20000,$A235,데이터!$E$2:$E$20000,설정!$B$5)-1),"")</f>
        <v/>
      </c>
      <c r="G235" s="5">
        <f>IFERROR(IF(OR($B235="",COUNTIFS(데이터!$A$2:$A$20000,$A235,데이터!$E$2:$E$20000,설정!$B$6)=0),"",$B235/SUMIFS(데이터!$C$2:$C$20000,데이터!$A$2:$A$20000,$A235,데이터!$E$2:$E$20000,설정!$B$6)-1),"")</f>
        <v/>
      </c>
      <c r="H235" s="5">
        <f>IFERROR(IF(OR($B235="",COUNTIFS(데이터!$A$2:$A$20000,$A235,데이터!$E$2:$E$20000,설정!$B$7)=0),"",$B235/SUMIFS(데이터!$C$2:$C$20000,데이터!$A$2:$A$20000,$A235,데이터!$E$2:$E$20000,설정!$B$7)-1),"")</f>
        <v/>
      </c>
      <c r="J235">
        <f>IF(C235="","",C235+ROW()*0.000000001)</f>
        <v/>
      </c>
      <c r="K235">
        <f>IF(D235="","",D235+ROW()*0.000000001)</f>
        <v/>
      </c>
      <c r="L235">
        <f>IF(E235="","",E235+ROW()*0.000000001)</f>
        <v/>
      </c>
      <c r="M235">
        <f>IF(F235="","",F235+ROW()*0.000000001)</f>
        <v/>
      </c>
      <c r="N235">
        <f>IF(G235="","",G235+ROW()*0.000000001)</f>
        <v/>
      </c>
      <c r="O235">
        <f>IF(H235="","",H235+ROW()*0.000000001)</f>
        <v/>
      </c>
    </row>
    <row r="236">
      <c r="B236" s="4">
        <f>IF($A236="","",IF(COUNTIFS(데이터!$A$2:$A$20000,$A236,데이터!$E$2:$E$20000,1)=0,"",SUMIFS(데이터!$C$2:$C$20000,데이터!$A$2:$A$20000,$A236,데이터!$E$2:$E$20000,1)))</f>
        <v/>
      </c>
      <c r="C236" s="5">
        <f>IFERROR(IF(OR($B236="",COUNTIFS(데이터!$A$2:$A$20000,$A236,데이터!$E$2:$E$20000,설정!$B$2)=0),"",$B236/SUMIFS(데이터!$C$2:$C$20000,데이터!$A$2:$A$20000,$A236,데이터!$E$2:$E$20000,설정!$B$2)-1),"")</f>
        <v/>
      </c>
      <c r="D236" s="5">
        <f>IFERROR(IF(OR($B236="",COUNTIFS(데이터!$A$2:$A$20000,$A236,데이터!$E$2:$E$20000,설정!$B$3)=0),"",$B236/SUMIFS(데이터!$C$2:$C$20000,데이터!$A$2:$A$20000,$A236,데이터!$E$2:$E$20000,설정!$B$3)-1),"")</f>
        <v/>
      </c>
      <c r="E236" s="5">
        <f>IFERROR(IF(OR($B236="",COUNTIFS(데이터!$A$2:$A$20000,$A236,데이터!$E$2:$E$20000,설정!$B$4)=0),"",$B236/SUMIFS(데이터!$C$2:$C$20000,데이터!$A$2:$A$20000,$A236,데이터!$E$2:$E$20000,설정!$B$4)-1),"")</f>
        <v/>
      </c>
      <c r="F236" s="5">
        <f>IFERROR(IF(OR($B236="",COUNTIFS(데이터!$A$2:$A$20000,$A236,데이터!$E$2:$E$20000,설정!$B$5)=0),"",$B236/SUMIFS(데이터!$C$2:$C$20000,데이터!$A$2:$A$20000,$A236,데이터!$E$2:$E$20000,설정!$B$5)-1),"")</f>
        <v/>
      </c>
      <c r="G236" s="5">
        <f>IFERROR(IF(OR($B236="",COUNTIFS(데이터!$A$2:$A$20000,$A236,데이터!$E$2:$E$20000,설정!$B$6)=0),"",$B236/SUMIFS(데이터!$C$2:$C$20000,데이터!$A$2:$A$20000,$A236,데이터!$E$2:$E$20000,설정!$B$6)-1),"")</f>
        <v/>
      </c>
      <c r="H236" s="5">
        <f>IFERROR(IF(OR($B236="",COUNTIFS(데이터!$A$2:$A$20000,$A236,데이터!$E$2:$E$20000,설정!$B$7)=0),"",$B236/SUMIFS(데이터!$C$2:$C$20000,데이터!$A$2:$A$20000,$A236,데이터!$E$2:$E$20000,설정!$B$7)-1),"")</f>
        <v/>
      </c>
      <c r="J236">
        <f>IF(C236="","",C236+ROW()*0.000000001)</f>
        <v/>
      </c>
      <c r="K236">
        <f>IF(D236="","",D236+ROW()*0.000000001)</f>
        <v/>
      </c>
      <c r="L236">
        <f>IF(E236="","",E236+ROW()*0.000000001)</f>
        <v/>
      </c>
      <c r="M236">
        <f>IF(F236="","",F236+ROW()*0.000000001)</f>
        <v/>
      </c>
      <c r="N236">
        <f>IF(G236="","",G236+ROW()*0.000000001)</f>
        <v/>
      </c>
      <c r="O236">
        <f>IF(H236="","",H236+ROW()*0.000000001)</f>
        <v/>
      </c>
    </row>
    <row r="237">
      <c r="B237" s="4">
        <f>IF($A237="","",IF(COUNTIFS(데이터!$A$2:$A$20000,$A237,데이터!$E$2:$E$20000,1)=0,"",SUMIFS(데이터!$C$2:$C$20000,데이터!$A$2:$A$20000,$A237,데이터!$E$2:$E$20000,1)))</f>
        <v/>
      </c>
      <c r="C237" s="5">
        <f>IFERROR(IF(OR($B237="",COUNTIFS(데이터!$A$2:$A$20000,$A237,데이터!$E$2:$E$20000,설정!$B$2)=0),"",$B237/SUMIFS(데이터!$C$2:$C$20000,데이터!$A$2:$A$20000,$A237,데이터!$E$2:$E$20000,설정!$B$2)-1),"")</f>
        <v/>
      </c>
      <c r="D237" s="5">
        <f>IFERROR(IF(OR($B237="",COUNTIFS(데이터!$A$2:$A$20000,$A237,데이터!$E$2:$E$20000,설정!$B$3)=0),"",$B237/SUMIFS(데이터!$C$2:$C$20000,데이터!$A$2:$A$20000,$A237,데이터!$E$2:$E$20000,설정!$B$3)-1),"")</f>
        <v/>
      </c>
      <c r="E237" s="5">
        <f>IFERROR(IF(OR($B237="",COUNTIFS(데이터!$A$2:$A$20000,$A237,데이터!$E$2:$E$20000,설정!$B$4)=0),"",$B237/SUMIFS(데이터!$C$2:$C$20000,데이터!$A$2:$A$20000,$A237,데이터!$E$2:$E$20000,설정!$B$4)-1),"")</f>
        <v/>
      </c>
      <c r="F237" s="5">
        <f>IFERROR(IF(OR($B237="",COUNTIFS(데이터!$A$2:$A$20000,$A237,데이터!$E$2:$E$20000,설정!$B$5)=0),"",$B237/SUMIFS(데이터!$C$2:$C$20000,데이터!$A$2:$A$20000,$A237,데이터!$E$2:$E$20000,설정!$B$5)-1),"")</f>
        <v/>
      </c>
      <c r="G237" s="5">
        <f>IFERROR(IF(OR($B237="",COUNTIFS(데이터!$A$2:$A$20000,$A237,데이터!$E$2:$E$20000,설정!$B$6)=0),"",$B237/SUMIFS(데이터!$C$2:$C$20000,데이터!$A$2:$A$20000,$A237,데이터!$E$2:$E$20000,설정!$B$6)-1),"")</f>
        <v/>
      </c>
      <c r="H237" s="5">
        <f>IFERROR(IF(OR($B237="",COUNTIFS(데이터!$A$2:$A$20000,$A237,데이터!$E$2:$E$20000,설정!$B$7)=0),"",$B237/SUMIFS(데이터!$C$2:$C$20000,데이터!$A$2:$A$20000,$A237,데이터!$E$2:$E$20000,설정!$B$7)-1),"")</f>
        <v/>
      </c>
      <c r="J237">
        <f>IF(C237="","",C237+ROW()*0.000000001)</f>
        <v/>
      </c>
      <c r="K237">
        <f>IF(D237="","",D237+ROW()*0.000000001)</f>
        <v/>
      </c>
      <c r="L237">
        <f>IF(E237="","",E237+ROW()*0.000000001)</f>
        <v/>
      </c>
      <c r="M237">
        <f>IF(F237="","",F237+ROW()*0.000000001)</f>
        <v/>
      </c>
      <c r="N237">
        <f>IF(G237="","",G237+ROW()*0.000000001)</f>
        <v/>
      </c>
      <c r="O237">
        <f>IF(H237="","",H237+ROW()*0.000000001)</f>
        <v/>
      </c>
    </row>
    <row r="238">
      <c r="B238" s="4">
        <f>IF($A238="","",IF(COUNTIFS(데이터!$A$2:$A$20000,$A238,데이터!$E$2:$E$20000,1)=0,"",SUMIFS(데이터!$C$2:$C$20000,데이터!$A$2:$A$20000,$A238,데이터!$E$2:$E$20000,1)))</f>
        <v/>
      </c>
      <c r="C238" s="5">
        <f>IFERROR(IF(OR($B238="",COUNTIFS(데이터!$A$2:$A$20000,$A238,데이터!$E$2:$E$20000,설정!$B$2)=0),"",$B238/SUMIFS(데이터!$C$2:$C$20000,데이터!$A$2:$A$20000,$A238,데이터!$E$2:$E$20000,설정!$B$2)-1),"")</f>
        <v/>
      </c>
      <c r="D238" s="5">
        <f>IFERROR(IF(OR($B238="",COUNTIFS(데이터!$A$2:$A$20000,$A238,데이터!$E$2:$E$20000,설정!$B$3)=0),"",$B238/SUMIFS(데이터!$C$2:$C$20000,데이터!$A$2:$A$20000,$A238,데이터!$E$2:$E$20000,설정!$B$3)-1),"")</f>
        <v/>
      </c>
      <c r="E238" s="5">
        <f>IFERROR(IF(OR($B238="",COUNTIFS(데이터!$A$2:$A$20000,$A238,데이터!$E$2:$E$20000,설정!$B$4)=0),"",$B238/SUMIFS(데이터!$C$2:$C$20000,데이터!$A$2:$A$20000,$A238,데이터!$E$2:$E$20000,설정!$B$4)-1),"")</f>
        <v/>
      </c>
      <c r="F238" s="5">
        <f>IFERROR(IF(OR($B238="",COUNTIFS(데이터!$A$2:$A$20000,$A238,데이터!$E$2:$E$20000,설정!$B$5)=0),"",$B238/SUMIFS(데이터!$C$2:$C$20000,데이터!$A$2:$A$20000,$A238,데이터!$E$2:$E$20000,설정!$B$5)-1),"")</f>
        <v/>
      </c>
      <c r="G238" s="5">
        <f>IFERROR(IF(OR($B238="",COUNTIFS(데이터!$A$2:$A$20000,$A238,데이터!$E$2:$E$20000,설정!$B$6)=0),"",$B238/SUMIFS(데이터!$C$2:$C$20000,데이터!$A$2:$A$20000,$A238,데이터!$E$2:$E$20000,설정!$B$6)-1),"")</f>
        <v/>
      </c>
      <c r="H238" s="5">
        <f>IFERROR(IF(OR($B238="",COUNTIFS(데이터!$A$2:$A$20000,$A238,데이터!$E$2:$E$20000,설정!$B$7)=0),"",$B238/SUMIFS(데이터!$C$2:$C$20000,데이터!$A$2:$A$20000,$A238,데이터!$E$2:$E$20000,설정!$B$7)-1),"")</f>
        <v/>
      </c>
      <c r="J238">
        <f>IF(C238="","",C238+ROW()*0.000000001)</f>
        <v/>
      </c>
      <c r="K238">
        <f>IF(D238="","",D238+ROW()*0.000000001)</f>
        <v/>
      </c>
      <c r="L238">
        <f>IF(E238="","",E238+ROW()*0.000000001)</f>
        <v/>
      </c>
      <c r="M238">
        <f>IF(F238="","",F238+ROW()*0.000000001)</f>
        <v/>
      </c>
      <c r="N238">
        <f>IF(G238="","",G238+ROW()*0.000000001)</f>
        <v/>
      </c>
      <c r="O238">
        <f>IF(H238="","",H238+ROW()*0.000000001)</f>
        <v/>
      </c>
    </row>
    <row r="239">
      <c r="B239" s="4">
        <f>IF($A239="","",IF(COUNTIFS(데이터!$A$2:$A$20000,$A239,데이터!$E$2:$E$20000,1)=0,"",SUMIFS(데이터!$C$2:$C$20000,데이터!$A$2:$A$20000,$A239,데이터!$E$2:$E$20000,1)))</f>
        <v/>
      </c>
      <c r="C239" s="5">
        <f>IFERROR(IF(OR($B239="",COUNTIFS(데이터!$A$2:$A$20000,$A239,데이터!$E$2:$E$20000,설정!$B$2)=0),"",$B239/SUMIFS(데이터!$C$2:$C$20000,데이터!$A$2:$A$20000,$A239,데이터!$E$2:$E$20000,설정!$B$2)-1),"")</f>
        <v/>
      </c>
      <c r="D239" s="5">
        <f>IFERROR(IF(OR($B239="",COUNTIFS(데이터!$A$2:$A$20000,$A239,데이터!$E$2:$E$20000,설정!$B$3)=0),"",$B239/SUMIFS(데이터!$C$2:$C$20000,데이터!$A$2:$A$20000,$A239,데이터!$E$2:$E$20000,설정!$B$3)-1),"")</f>
        <v/>
      </c>
      <c r="E239" s="5">
        <f>IFERROR(IF(OR($B239="",COUNTIFS(데이터!$A$2:$A$20000,$A239,데이터!$E$2:$E$20000,설정!$B$4)=0),"",$B239/SUMIFS(데이터!$C$2:$C$20000,데이터!$A$2:$A$20000,$A239,데이터!$E$2:$E$20000,설정!$B$4)-1),"")</f>
        <v/>
      </c>
      <c r="F239" s="5">
        <f>IFERROR(IF(OR($B239="",COUNTIFS(데이터!$A$2:$A$20000,$A239,데이터!$E$2:$E$20000,설정!$B$5)=0),"",$B239/SUMIFS(데이터!$C$2:$C$20000,데이터!$A$2:$A$20000,$A239,데이터!$E$2:$E$20000,설정!$B$5)-1),"")</f>
        <v/>
      </c>
      <c r="G239" s="5">
        <f>IFERROR(IF(OR($B239="",COUNTIFS(데이터!$A$2:$A$20000,$A239,데이터!$E$2:$E$20000,설정!$B$6)=0),"",$B239/SUMIFS(데이터!$C$2:$C$20000,데이터!$A$2:$A$20000,$A239,데이터!$E$2:$E$20000,설정!$B$6)-1),"")</f>
        <v/>
      </c>
      <c r="H239" s="5">
        <f>IFERROR(IF(OR($B239="",COUNTIFS(데이터!$A$2:$A$20000,$A239,데이터!$E$2:$E$20000,설정!$B$7)=0),"",$B239/SUMIFS(데이터!$C$2:$C$20000,데이터!$A$2:$A$20000,$A239,데이터!$E$2:$E$20000,설정!$B$7)-1),"")</f>
        <v/>
      </c>
      <c r="J239">
        <f>IF(C239="","",C239+ROW()*0.000000001)</f>
        <v/>
      </c>
      <c r="K239">
        <f>IF(D239="","",D239+ROW()*0.000000001)</f>
        <v/>
      </c>
      <c r="L239">
        <f>IF(E239="","",E239+ROW()*0.000000001)</f>
        <v/>
      </c>
      <c r="M239">
        <f>IF(F239="","",F239+ROW()*0.000000001)</f>
        <v/>
      </c>
      <c r="N239">
        <f>IF(G239="","",G239+ROW()*0.000000001)</f>
        <v/>
      </c>
      <c r="O239">
        <f>IF(H239="","",H239+ROW()*0.000000001)</f>
        <v/>
      </c>
    </row>
    <row r="240">
      <c r="B240" s="4">
        <f>IF($A240="","",IF(COUNTIFS(데이터!$A$2:$A$20000,$A240,데이터!$E$2:$E$20000,1)=0,"",SUMIFS(데이터!$C$2:$C$20000,데이터!$A$2:$A$20000,$A240,데이터!$E$2:$E$20000,1)))</f>
        <v/>
      </c>
      <c r="C240" s="5">
        <f>IFERROR(IF(OR($B240="",COUNTIFS(데이터!$A$2:$A$20000,$A240,데이터!$E$2:$E$20000,설정!$B$2)=0),"",$B240/SUMIFS(데이터!$C$2:$C$20000,데이터!$A$2:$A$20000,$A240,데이터!$E$2:$E$20000,설정!$B$2)-1),"")</f>
        <v/>
      </c>
      <c r="D240" s="5">
        <f>IFERROR(IF(OR($B240="",COUNTIFS(데이터!$A$2:$A$20000,$A240,데이터!$E$2:$E$20000,설정!$B$3)=0),"",$B240/SUMIFS(데이터!$C$2:$C$20000,데이터!$A$2:$A$20000,$A240,데이터!$E$2:$E$20000,설정!$B$3)-1),"")</f>
        <v/>
      </c>
      <c r="E240" s="5">
        <f>IFERROR(IF(OR($B240="",COUNTIFS(데이터!$A$2:$A$20000,$A240,데이터!$E$2:$E$20000,설정!$B$4)=0),"",$B240/SUMIFS(데이터!$C$2:$C$20000,데이터!$A$2:$A$20000,$A240,데이터!$E$2:$E$20000,설정!$B$4)-1),"")</f>
        <v/>
      </c>
      <c r="F240" s="5">
        <f>IFERROR(IF(OR($B240="",COUNTIFS(데이터!$A$2:$A$20000,$A240,데이터!$E$2:$E$20000,설정!$B$5)=0),"",$B240/SUMIFS(데이터!$C$2:$C$20000,데이터!$A$2:$A$20000,$A240,데이터!$E$2:$E$20000,설정!$B$5)-1),"")</f>
        <v/>
      </c>
      <c r="G240" s="5">
        <f>IFERROR(IF(OR($B240="",COUNTIFS(데이터!$A$2:$A$20000,$A240,데이터!$E$2:$E$20000,설정!$B$6)=0),"",$B240/SUMIFS(데이터!$C$2:$C$20000,데이터!$A$2:$A$20000,$A240,데이터!$E$2:$E$20000,설정!$B$6)-1),"")</f>
        <v/>
      </c>
      <c r="H240" s="5">
        <f>IFERROR(IF(OR($B240="",COUNTIFS(데이터!$A$2:$A$20000,$A240,데이터!$E$2:$E$20000,설정!$B$7)=0),"",$B240/SUMIFS(데이터!$C$2:$C$20000,데이터!$A$2:$A$20000,$A240,데이터!$E$2:$E$20000,설정!$B$7)-1),"")</f>
        <v/>
      </c>
      <c r="J240">
        <f>IF(C240="","",C240+ROW()*0.000000001)</f>
        <v/>
      </c>
      <c r="K240">
        <f>IF(D240="","",D240+ROW()*0.000000001)</f>
        <v/>
      </c>
      <c r="L240">
        <f>IF(E240="","",E240+ROW()*0.000000001)</f>
        <v/>
      </c>
      <c r="M240">
        <f>IF(F240="","",F240+ROW()*0.000000001)</f>
        <v/>
      </c>
      <c r="N240">
        <f>IF(G240="","",G240+ROW()*0.000000001)</f>
        <v/>
      </c>
      <c r="O240">
        <f>IF(H240="","",H240+ROW()*0.000000001)</f>
        <v/>
      </c>
    </row>
    <row r="241">
      <c r="B241" s="4">
        <f>IF($A241="","",IF(COUNTIFS(데이터!$A$2:$A$20000,$A241,데이터!$E$2:$E$20000,1)=0,"",SUMIFS(데이터!$C$2:$C$20000,데이터!$A$2:$A$20000,$A241,데이터!$E$2:$E$20000,1)))</f>
        <v/>
      </c>
      <c r="C241" s="5">
        <f>IFERROR(IF(OR($B241="",COUNTIFS(데이터!$A$2:$A$20000,$A241,데이터!$E$2:$E$20000,설정!$B$2)=0),"",$B241/SUMIFS(데이터!$C$2:$C$20000,데이터!$A$2:$A$20000,$A241,데이터!$E$2:$E$20000,설정!$B$2)-1),"")</f>
        <v/>
      </c>
      <c r="D241" s="5">
        <f>IFERROR(IF(OR($B241="",COUNTIFS(데이터!$A$2:$A$20000,$A241,데이터!$E$2:$E$20000,설정!$B$3)=0),"",$B241/SUMIFS(데이터!$C$2:$C$20000,데이터!$A$2:$A$20000,$A241,데이터!$E$2:$E$20000,설정!$B$3)-1),"")</f>
        <v/>
      </c>
      <c r="E241" s="5">
        <f>IFERROR(IF(OR($B241="",COUNTIFS(데이터!$A$2:$A$20000,$A241,데이터!$E$2:$E$20000,설정!$B$4)=0),"",$B241/SUMIFS(데이터!$C$2:$C$20000,데이터!$A$2:$A$20000,$A241,데이터!$E$2:$E$20000,설정!$B$4)-1),"")</f>
        <v/>
      </c>
      <c r="F241" s="5">
        <f>IFERROR(IF(OR($B241="",COUNTIFS(데이터!$A$2:$A$20000,$A241,데이터!$E$2:$E$20000,설정!$B$5)=0),"",$B241/SUMIFS(데이터!$C$2:$C$20000,데이터!$A$2:$A$20000,$A241,데이터!$E$2:$E$20000,설정!$B$5)-1),"")</f>
        <v/>
      </c>
      <c r="G241" s="5">
        <f>IFERROR(IF(OR($B241="",COUNTIFS(데이터!$A$2:$A$20000,$A241,데이터!$E$2:$E$20000,설정!$B$6)=0),"",$B241/SUMIFS(데이터!$C$2:$C$20000,데이터!$A$2:$A$20000,$A241,데이터!$E$2:$E$20000,설정!$B$6)-1),"")</f>
        <v/>
      </c>
      <c r="H241" s="5">
        <f>IFERROR(IF(OR($B241="",COUNTIFS(데이터!$A$2:$A$20000,$A241,데이터!$E$2:$E$20000,설정!$B$7)=0),"",$B241/SUMIFS(데이터!$C$2:$C$20000,데이터!$A$2:$A$20000,$A241,데이터!$E$2:$E$20000,설정!$B$7)-1),"")</f>
        <v/>
      </c>
      <c r="J241">
        <f>IF(C241="","",C241+ROW()*0.000000001)</f>
        <v/>
      </c>
      <c r="K241">
        <f>IF(D241="","",D241+ROW()*0.000000001)</f>
        <v/>
      </c>
      <c r="L241">
        <f>IF(E241="","",E241+ROW()*0.000000001)</f>
        <v/>
      </c>
      <c r="M241">
        <f>IF(F241="","",F241+ROW()*0.000000001)</f>
        <v/>
      </c>
      <c r="N241">
        <f>IF(G241="","",G241+ROW()*0.000000001)</f>
        <v/>
      </c>
      <c r="O241">
        <f>IF(H241="","",H241+ROW()*0.000000001)</f>
        <v/>
      </c>
    </row>
    <row r="242">
      <c r="B242" s="4">
        <f>IF($A242="","",IF(COUNTIFS(데이터!$A$2:$A$20000,$A242,데이터!$E$2:$E$20000,1)=0,"",SUMIFS(데이터!$C$2:$C$20000,데이터!$A$2:$A$20000,$A242,데이터!$E$2:$E$20000,1)))</f>
        <v/>
      </c>
      <c r="C242" s="5">
        <f>IFERROR(IF(OR($B242="",COUNTIFS(데이터!$A$2:$A$20000,$A242,데이터!$E$2:$E$20000,설정!$B$2)=0),"",$B242/SUMIFS(데이터!$C$2:$C$20000,데이터!$A$2:$A$20000,$A242,데이터!$E$2:$E$20000,설정!$B$2)-1),"")</f>
        <v/>
      </c>
      <c r="D242" s="5">
        <f>IFERROR(IF(OR($B242="",COUNTIFS(데이터!$A$2:$A$20000,$A242,데이터!$E$2:$E$20000,설정!$B$3)=0),"",$B242/SUMIFS(데이터!$C$2:$C$20000,데이터!$A$2:$A$20000,$A242,데이터!$E$2:$E$20000,설정!$B$3)-1),"")</f>
        <v/>
      </c>
      <c r="E242" s="5">
        <f>IFERROR(IF(OR($B242="",COUNTIFS(데이터!$A$2:$A$20000,$A242,데이터!$E$2:$E$20000,설정!$B$4)=0),"",$B242/SUMIFS(데이터!$C$2:$C$20000,데이터!$A$2:$A$20000,$A242,데이터!$E$2:$E$20000,설정!$B$4)-1),"")</f>
        <v/>
      </c>
      <c r="F242" s="5">
        <f>IFERROR(IF(OR($B242="",COUNTIFS(데이터!$A$2:$A$20000,$A242,데이터!$E$2:$E$20000,설정!$B$5)=0),"",$B242/SUMIFS(데이터!$C$2:$C$20000,데이터!$A$2:$A$20000,$A242,데이터!$E$2:$E$20000,설정!$B$5)-1),"")</f>
        <v/>
      </c>
      <c r="G242" s="5">
        <f>IFERROR(IF(OR($B242="",COUNTIFS(데이터!$A$2:$A$20000,$A242,데이터!$E$2:$E$20000,설정!$B$6)=0),"",$B242/SUMIFS(데이터!$C$2:$C$20000,데이터!$A$2:$A$20000,$A242,데이터!$E$2:$E$20000,설정!$B$6)-1),"")</f>
        <v/>
      </c>
      <c r="H242" s="5">
        <f>IFERROR(IF(OR($B242="",COUNTIFS(데이터!$A$2:$A$20000,$A242,데이터!$E$2:$E$20000,설정!$B$7)=0),"",$B242/SUMIFS(데이터!$C$2:$C$20000,데이터!$A$2:$A$20000,$A242,데이터!$E$2:$E$20000,설정!$B$7)-1),"")</f>
        <v/>
      </c>
      <c r="J242">
        <f>IF(C242="","",C242+ROW()*0.000000001)</f>
        <v/>
      </c>
      <c r="K242">
        <f>IF(D242="","",D242+ROW()*0.000000001)</f>
        <v/>
      </c>
      <c r="L242">
        <f>IF(E242="","",E242+ROW()*0.000000001)</f>
        <v/>
      </c>
      <c r="M242">
        <f>IF(F242="","",F242+ROW()*0.000000001)</f>
        <v/>
      </c>
      <c r="N242">
        <f>IF(G242="","",G242+ROW()*0.000000001)</f>
        <v/>
      </c>
      <c r="O242">
        <f>IF(H242="","",H242+ROW()*0.000000001)</f>
        <v/>
      </c>
    </row>
    <row r="243">
      <c r="B243" s="4">
        <f>IF($A243="","",IF(COUNTIFS(데이터!$A$2:$A$20000,$A243,데이터!$E$2:$E$20000,1)=0,"",SUMIFS(데이터!$C$2:$C$20000,데이터!$A$2:$A$20000,$A243,데이터!$E$2:$E$20000,1)))</f>
        <v/>
      </c>
      <c r="C243" s="5">
        <f>IFERROR(IF(OR($B243="",COUNTIFS(데이터!$A$2:$A$20000,$A243,데이터!$E$2:$E$20000,설정!$B$2)=0),"",$B243/SUMIFS(데이터!$C$2:$C$20000,데이터!$A$2:$A$20000,$A243,데이터!$E$2:$E$20000,설정!$B$2)-1),"")</f>
        <v/>
      </c>
      <c r="D243" s="5">
        <f>IFERROR(IF(OR($B243="",COUNTIFS(데이터!$A$2:$A$20000,$A243,데이터!$E$2:$E$20000,설정!$B$3)=0),"",$B243/SUMIFS(데이터!$C$2:$C$20000,데이터!$A$2:$A$20000,$A243,데이터!$E$2:$E$20000,설정!$B$3)-1),"")</f>
        <v/>
      </c>
      <c r="E243" s="5">
        <f>IFERROR(IF(OR($B243="",COUNTIFS(데이터!$A$2:$A$20000,$A243,데이터!$E$2:$E$20000,설정!$B$4)=0),"",$B243/SUMIFS(데이터!$C$2:$C$20000,데이터!$A$2:$A$20000,$A243,데이터!$E$2:$E$20000,설정!$B$4)-1),"")</f>
        <v/>
      </c>
      <c r="F243" s="5">
        <f>IFERROR(IF(OR($B243="",COUNTIFS(데이터!$A$2:$A$20000,$A243,데이터!$E$2:$E$20000,설정!$B$5)=0),"",$B243/SUMIFS(데이터!$C$2:$C$20000,데이터!$A$2:$A$20000,$A243,데이터!$E$2:$E$20000,설정!$B$5)-1),"")</f>
        <v/>
      </c>
      <c r="G243" s="5">
        <f>IFERROR(IF(OR($B243="",COUNTIFS(데이터!$A$2:$A$20000,$A243,데이터!$E$2:$E$20000,설정!$B$6)=0),"",$B243/SUMIFS(데이터!$C$2:$C$20000,데이터!$A$2:$A$20000,$A243,데이터!$E$2:$E$20000,설정!$B$6)-1),"")</f>
        <v/>
      </c>
      <c r="H243" s="5">
        <f>IFERROR(IF(OR($B243="",COUNTIFS(데이터!$A$2:$A$20000,$A243,데이터!$E$2:$E$20000,설정!$B$7)=0),"",$B243/SUMIFS(데이터!$C$2:$C$20000,데이터!$A$2:$A$20000,$A243,데이터!$E$2:$E$20000,설정!$B$7)-1),"")</f>
        <v/>
      </c>
      <c r="J243">
        <f>IF(C243="","",C243+ROW()*0.000000001)</f>
        <v/>
      </c>
      <c r="K243">
        <f>IF(D243="","",D243+ROW()*0.000000001)</f>
        <v/>
      </c>
      <c r="L243">
        <f>IF(E243="","",E243+ROW()*0.000000001)</f>
        <v/>
      </c>
      <c r="M243">
        <f>IF(F243="","",F243+ROW()*0.000000001)</f>
        <v/>
      </c>
      <c r="N243">
        <f>IF(G243="","",G243+ROW()*0.000000001)</f>
        <v/>
      </c>
      <c r="O243">
        <f>IF(H243="","",H243+ROW()*0.000000001)</f>
        <v/>
      </c>
    </row>
    <row r="244">
      <c r="B244" s="4">
        <f>IF($A244="","",IF(COUNTIFS(데이터!$A$2:$A$20000,$A244,데이터!$E$2:$E$20000,1)=0,"",SUMIFS(데이터!$C$2:$C$20000,데이터!$A$2:$A$20000,$A244,데이터!$E$2:$E$20000,1)))</f>
        <v/>
      </c>
      <c r="C244" s="5">
        <f>IFERROR(IF(OR($B244="",COUNTIFS(데이터!$A$2:$A$20000,$A244,데이터!$E$2:$E$20000,설정!$B$2)=0),"",$B244/SUMIFS(데이터!$C$2:$C$20000,데이터!$A$2:$A$20000,$A244,데이터!$E$2:$E$20000,설정!$B$2)-1),"")</f>
        <v/>
      </c>
      <c r="D244" s="5">
        <f>IFERROR(IF(OR($B244="",COUNTIFS(데이터!$A$2:$A$20000,$A244,데이터!$E$2:$E$20000,설정!$B$3)=0),"",$B244/SUMIFS(데이터!$C$2:$C$20000,데이터!$A$2:$A$20000,$A244,데이터!$E$2:$E$20000,설정!$B$3)-1),"")</f>
        <v/>
      </c>
      <c r="E244" s="5">
        <f>IFERROR(IF(OR($B244="",COUNTIFS(데이터!$A$2:$A$20000,$A244,데이터!$E$2:$E$20000,설정!$B$4)=0),"",$B244/SUMIFS(데이터!$C$2:$C$20000,데이터!$A$2:$A$20000,$A244,데이터!$E$2:$E$20000,설정!$B$4)-1),"")</f>
        <v/>
      </c>
      <c r="F244" s="5">
        <f>IFERROR(IF(OR($B244="",COUNTIFS(데이터!$A$2:$A$20000,$A244,데이터!$E$2:$E$20000,설정!$B$5)=0),"",$B244/SUMIFS(데이터!$C$2:$C$20000,데이터!$A$2:$A$20000,$A244,데이터!$E$2:$E$20000,설정!$B$5)-1),"")</f>
        <v/>
      </c>
      <c r="G244" s="5">
        <f>IFERROR(IF(OR($B244="",COUNTIFS(데이터!$A$2:$A$20000,$A244,데이터!$E$2:$E$20000,설정!$B$6)=0),"",$B244/SUMIFS(데이터!$C$2:$C$20000,데이터!$A$2:$A$20000,$A244,데이터!$E$2:$E$20000,설정!$B$6)-1),"")</f>
        <v/>
      </c>
      <c r="H244" s="5">
        <f>IFERROR(IF(OR($B244="",COUNTIFS(데이터!$A$2:$A$20000,$A244,데이터!$E$2:$E$20000,설정!$B$7)=0),"",$B244/SUMIFS(데이터!$C$2:$C$20000,데이터!$A$2:$A$20000,$A244,데이터!$E$2:$E$20000,설정!$B$7)-1),"")</f>
        <v/>
      </c>
      <c r="J244">
        <f>IF(C244="","",C244+ROW()*0.000000001)</f>
        <v/>
      </c>
      <c r="K244">
        <f>IF(D244="","",D244+ROW()*0.000000001)</f>
        <v/>
      </c>
      <c r="L244">
        <f>IF(E244="","",E244+ROW()*0.000000001)</f>
        <v/>
      </c>
      <c r="M244">
        <f>IF(F244="","",F244+ROW()*0.000000001)</f>
        <v/>
      </c>
      <c r="N244">
        <f>IF(G244="","",G244+ROW()*0.000000001)</f>
        <v/>
      </c>
      <c r="O244">
        <f>IF(H244="","",H244+ROW()*0.000000001)</f>
        <v/>
      </c>
    </row>
    <row r="245">
      <c r="B245" s="4">
        <f>IF($A245="","",IF(COUNTIFS(데이터!$A$2:$A$20000,$A245,데이터!$E$2:$E$20000,1)=0,"",SUMIFS(데이터!$C$2:$C$20000,데이터!$A$2:$A$20000,$A245,데이터!$E$2:$E$20000,1)))</f>
        <v/>
      </c>
      <c r="C245" s="5">
        <f>IFERROR(IF(OR($B245="",COUNTIFS(데이터!$A$2:$A$20000,$A245,데이터!$E$2:$E$20000,설정!$B$2)=0),"",$B245/SUMIFS(데이터!$C$2:$C$20000,데이터!$A$2:$A$20000,$A245,데이터!$E$2:$E$20000,설정!$B$2)-1),"")</f>
        <v/>
      </c>
      <c r="D245" s="5">
        <f>IFERROR(IF(OR($B245="",COUNTIFS(데이터!$A$2:$A$20000,$A245,데이터!$E$2:$E$20000,설정!$B$3)=0),"",$B245/SUMIFS(데이터!$C$2:$C$20000,데이터!$A$2:$A$20000,$A245,데이터!$E$2:$E$20000,설정!$B$3)-1),"")</f>
        <v/>
      </c>
      <c r="E245" s="5">
        <f>IFERROR(IF(OR($B245="",COUNTIFS(데이터!$A$2:$A$20000,$A245,데이터!$E$2:$E$20000,설정!$B$4)=0),"",$B245/SUMIFS(데이터!$C$2:$C$20000,데이터!$A$2:$A$20000,$A245,데이터!$E$2:$E$20000,설정!$B$4)-1),"")</f>
        <v/>
      </c>
      <c r="F245" s="5">
        <f>IFERROR(IF(OR($B245="",COUNTIFS(데이터!$A$2:$A$20000,$A245,데이터!$E$2:$E$20000,설정!$B$5)=0),"",$B245/SUMIFS(데이터!$C$2:$C$20000,데이터!$A$2:$A$20000,$A245,데이터!$E$2:$E$20000,설정!$B$5)-1),"")</f>
        <v/>
      </c>
      <c r="G245" s="5">
        <f>IFERROR(IF(OR($B245="",COUNTIFS(데이터!$A$2:$A$20000,$A245,데이터!$E$2:$E$20000,설정!$B$6)=0),"",$B245/SUMIFS(데이터!$C$2:$C$20000,데이터!$A$2:$A$20000,$A245,데이터!$E$2:$E$20000,설정!$B$6)-1),"")</f>
        <v/>
      </c>
      <c r="H245" s="5">
        <f>IFERROR(IF(OR($B245="",COUNTIFS(데이터!$A$2:$A$20000,$A245,데이터!$E$2:$E$20000,설정!$B$7)=0),"",$B245/SUMIFS(데이터!$C$2:$C$20000,데이터!$A$2:$A$20000,$A245,데이터!$E$2:$E$20000,설정!$B$7)-1),"")</f>
        <v/>
      </c>
      <c r="J245">
        <f>IF(C245="","",C245+ROW()*0.000000001)</f>
        <v/>
      </c>
      <c r="K245">
        <f>IF(D245="","",D245+ROW()*0.000000001)</f>
        <v/>
      </c>
      <c r="L245">
        <f>IF(E245="","",E245+ROW()*0.000000001)</f>
        <v/>
      </c>
      <c r="M245">
        <f>IF(F245="","",F245+ROW()*0.000000001)</f>
        <v/>
      </c>
      <c r="N245">
        <f>IF(G245="","",G245+ROW()*0.000000001)</f>
        <v/>
      </c>
      <c r="O245">
        <f>IF(H245="","",H245+ROW()*0.000000001)</f>
        <v/>
      </c>
    </row>
    <row r="246">
      <c r="B246" s="4">
        <f>IF($A246="","",IF(COUNTIFS(데이터!$A$2:$A$20000,$A246,데이터!$E$2:$E$20000,1)=0,"",SUMIFS(데이터!$C$2:$C$20000,데이터!$A$2:$A$20000,$A246,데이터!$E$2:$E$20000,1)))</f>
        <v/>
      </c>
      <c r="C246" s="5">
        <f>IFERROR(IF(OR($B246="",COUNTIFS(데이터!$A$2:$A$20000,$A246,데이터!$E$2:$E$20000,설정!$B$2)=0),"",$B246/SUMIFS(데이터!$C$2:$C$20000,데이터!$A$2:$A$20000,$A246,데이터!$E$2:$E$20000,설정!$B$2)-1),"")</f>
        <v/>
      </c>
      <c r="D246" s="5">
        <f>IFERROR(IF(OR($B246="",COUNTIFS(데이터!$A$2:$A$20000,$A246,데이터!$E$2:$E$20000,설정!$B$3)=0),"",$B246/SUMIFS(데이터!$C$2:$C$20000,데이터!$A$2:$A$20000,$A246,데이터!$E$2:$E$20000,설정!$B$3)-1),"")</f>
        <v/>
      </c>
      <c r="E246" s="5">
        <f>IFERROR(IF(OR($B246="",COUNTIFS(데이터!$A$2:$A$20000,$A246,데이터!$E$2:$E$20000,설정!$B$4)=0),"",$B246/SUMIFS(데이터!$C$2:$C$20000,데이터!$A$2:$A$20000,$A246,데이터!$E$2:$E$20000,설정!$B$4)-1),"")</f>
        <v/>
      </c>
      <c r="F246" s="5">
        <f>IFERROR(IF(OR($B246="",COUNTIFS(데이터!$A$2:$A$20000,$A246,데이터!$E$2:$E$20000,설정!$B$5)=0),"",$B246/SUMIFS(데이터!$C$2:$C$20000,데이터!$A$2:$A$20000,$A246,데이터!$E$2:$E$20000,설정!$B$5)-1),"")</f>
        <v/>
      </c>
      <c r="G246" s="5">
        <f>IFERROR(IF(OR($B246="",COUNTIFS(데이터!$A$2:$A$20000,$A246,데이터!$E$2:$E$20000,설정!$B$6)=0),"",$B246/SUMIFS(데이터!$C$2:$C$20000,데이터!$A$2:$A$20000,$A246,데이터!$E$2:$E$20000,설정!$B$6)-1),"")</f>
        <v/>
      </c>
      <c r="H246" s="5">
        <f>IFERROR(IF(OR($B246="",COUNTIFS(데이터!$A$2:$A$20000,$A246,데이터!$E$2:$E$20000,설정!$B$7)=0),"",$B246/SUMIFS(데이터!$C$2:$C$20000,데이터!$A$2:$A$20000,$A246,데이터!$E$2:$E$20000,설정!$B$7)-1),"")</f>
        <v/>
      </c>
      <c r="J246">
        <f>IF(C246="","",C246+ROW()*0.000000001)</f>
        <v/>
      </c>
      <c r="K246">
        <f>IF(D246="","",D246+ROW()*0.000000001)</f>
        <v/>
      </c>
      <c r="L246">
        <f>IF(E246="","",E246+ROW()*0.000000001)</f>
        <v/>
      </c>
      <c r="M246">
        <f>IF(F246="","",F246+ROW()*0.000000001)</f>
        <v/>
      </c>
      <c r="N246">
        <f>IF(G246="","",G246+ROW()*0.000000001)</f>
        <v/>
      </c>
      <c r="O246">
        <f>IF(H246="","",H246+ROW()*0.000000001)</f>
        <v/>
      </c>
    </row>
    <row r="247">
      <c r="B247" s="4">
        <f>IF($A247="","",IF(COUNTIFS(데이터!$A$2:$A$20000,$A247,데이터!$E$2:$E$20000,1)=0,"",SUMIFS(데이터!$C$2:$C$20000,데이터!$A$2:$A$20000,$A247,데이터!$E$2:$E$20000,1)))</f>
        <v/>
      </c>
      <c r="C247" s="5">
        <f>IFERROR(IF(OR($B247="",COUNTIFS(데이터!$A$2:$A$20000,$A247,데이터!$E$2:$E$20000,설정!$B$2)=0),"",$B247/SUMIFS(데이터!$C$2:$C$20000,데이터!$A$2:$A$20000,$A247,데이터!$E$2:$E$20000,설정!$B$2)-1),"")</f>
        <v/>
      </c>
      <c r="D247" s="5">
        <f>IFERROR(IF(OR($B247="",COUNTIFS(데이터!$A$2:$A$20000,$A247,데이터!$E$2:$E$20000,설정!$B$3)=0),"",$B247/SUMIFS(데이터!$C$2:$C$20000,데이터!$A$2:$A$20000,$A247,데이터!$E$2:$E$20000,설정!$B$3)-1),"")</f>
        <v/>
      </c>
      <c r="E247" s="5">
        <f>IFERROR(IF(OR($B247="",COUNTIFS(데이터!$A$2:$A$20000,$A247,데이터!$E$2:$E$20000,설정!$B$4)=0),"",$B247/SUMIFS(데이터!$C$2:$C$20000,데이터!$A$2:$A$20000,$A247,데이터!$E$2:$E$20000,설정!$B$4)-1),"")</f>
        <v/>
      </c>
      <c r="F247" s="5">
        <f>IFERROR(IF(OR($B247="",COUNTIFS(데이터!$A$2:$A$20000,$A247,데이터!$E$2:$E$20000,설정!$B$5)=0),"",$B247/SUMIFS(데이터!$C$2:$C$20000,데이터!$A$2:$A$20000,$A247,데이터!$E$2:$E$20000,설정!$B$5)-1),"")</f>
        <v/>
      </c>
      <c r="G247" s="5">
        <f>IFERROR(IF(OR($B247="",COUNTIFS(데이터!$A$2:$A$20000,$A247,데이터!$E$2:$E$20000,설정!$B$6)=0),"",$B247/SUMIFS(데이터!$C$2:$C$20000,데이터!$A$2:$A$20000,$A247,데이터!$E$2:$E$20000,설정!$B$6)-1),"")</f>
        <v/>
      </c>
      <c r="H247" s="5">
        <f>IFERROR(IF(OR($B247="",COUNTIFS(데이터!$A$2:$A$20000,$A247,데이터!$E$2:$E$20000,설정!$B$7)=0),"",$B247/SUMIFS(데이터!$C$2:$C$20000,데이터!$A$2:$A$20000,$A247,데이터!$E$2:$E$20000,설정!$B$7)-1),"")</f>
        <v/>
      </c>
      <c r="J247">
        <f>IF(C247="","",C247+ROW()*0.000000001)</f>
        <v/>
      </c>
      <c r="K247">
        <f>IF(D247="","",D247+ROW()*0.000000001)</f>
        <v/>
      </c>
      <c r="L247">
        <f>IF(E247="","",E247+ROW()*0.000000001)</f>
        <v/>
      </c>
      <c r="M247">
        <f>IF(F247="","",F247+ROW()*0.000000001)</f>
        <v/>
      </c>
      <c r="N247">
        <f>IF(G247="","",G247+ROW()*0.000000001)</f>
        <v/>
      </c>
      <c r="O247">
        <f>IF(H247="","",H247+ROW()*0.000000001)</f>
        <v/>
      </c>
    </row>
    <row r="248">
      <c r="B248" s="4">
        <f>IF($A248="","",IF(COUNTIFS(데이터!$A$2:$A$20000,$A248,데이터!$E$2:$E$20000,1)=0,"",SUMIFS(데이터!$C$2:$C$20000,데이터!$A$2:$A$20000,$A248,데이터!$E$2:$E$20000,1)))</f>
        <v/>
      </c>
      <c r="C248" s="5">
        <f>IFERROR(IF(OR($B248="",COUNTIFS(데이터!$A$2:$A$20000,$A248,데이터!$E$2:$E$20000,설정!$B$2)=0),"",$B248/SUMIFS(데이터!$C$2:$C$20000,데이터!$A$2:$A$20000,$A248,데이터!$E$2:$E$20000,설정!$B$2)-1),"")</f>
        <v/>
      </c>
      <c r="D248" s="5">
        <f>IFERROR(IF(OR($B248="",COUNTIFS(데이터!$A$2:$A$20000,$A248,데이터!$E$2:$E$20000,설정!$B$3)=0),"",$B248/SUMIFS(데이터!$C$2:$C$20000,데이터!$A$2:$A$20000,$A248,데이터!$E$2:$E$20000,설정!$B$3)-1),"")</f>
        <v/>
      </c>
      <c r="E248" s="5">
        <f>IFERROR(IF(OR($B248="",COUNTIFS(데이터!$A$2:$A$20000,$A248,데이터!$E$2:$E$20000,설정!$B$4)=0),"",$B248/SUMIFS(데이터!$C$2:$C$20000,데이터!$A$2:$A$20000,$A248,데이터!$E$2:$E$20000,설정!$B$4)-1),"")</f>
        <v/>
      </c>
      <c r="F248" s="5">
        <f>IFERROR(IF(OR($B248="",COUNTIFS(데이터!$A$2:$A$20000,$A248,데이터!$E$2:$E$20000,설정!$B$5)=0),"",$B248/SUMIFS(데이터!$C$2:$C$20000,데이터!$A$2:$A$20000,$A248,데이터!$E$2:$E$20000,설정!$B$5)-1),"")</f>
        <v/>
      </c>
      <c r="G248" s="5">
        <f>IFERROR(IF(OR($B248="",COUNTIFS(데이터!$A$2:$A$20000,$A248,데이터!$E$2:$E$20000,설정!$B$6)=0),"",$B248/SUMIFS(데이터!$C$2:$C$20000,데이터!$A$2:$A$20000,$A248,데이터!$E$2:$E$20000,설정!$B$6)-1),"")</f>
        <v/>
      </c>
      <c r="H248" s="5">
        <f>IFERROR(IF(OR($B248="",COUNTIFS(데이터!$A$2:$A$20000,$A248,데이터!$E$2:$E$20000,설정!$B$7)=0),"",$B248/SUMIFS(데이터!$C$2:$C$20000,데이터!$A$2:$A$20000,$A248,데이터!$E$2:$E$20000,설정!$B$7)-1),"")</f>
        <v/>
      </c>
      <c r="J248">
        <f>IF(C248="","",C248+ROW()*0.000000001)</f>
        <v/>
      </c>
      <c r="K248">
        <f>IF(D248="","",D248+ROW()*0.000000001)</f>
        <v/>
      </c>
      <c r="L248">
        <f>IF(E248="","",E248+ROW()*0.000000001)</f>
        <v/>
      </c>
      <c r="M248">
        <f>IF(F248="","",F248+ROW()*0.000000001)</f>
        <v/>
      </c>
      <c r="N248">
        <f>IF(G248="","",G248+ROW()*0.000000001)</f>
        <v/>
      </c>
      <c r="O248">
        <f>IF(H248="","",H248+ROW()*0.000000001)</f>
        <v/>
      </c>
    </row>
    <row r="249">
      <c r="B249" s="4">
        <f>IF($A249="","",IF(COUNTIFS(데이터!$A$2:$A$20000,$A249,데이터!$E$2:$E$20000,1)=0,"",SUMIFS(데이터!$C$2:$C$20000,데이터!$A$2:$A$20000,$A249,데이터!$E$2:$E$20000,1)))</f>
        <v/>
      </c>
      <c r="C249" s="5">
        <f>IFERROR(IF(OR($B249="",COUNTIFS(데이터!$A$2:$A$20000,$A249,데이터!$E$2:$E$20000,설정!$B$2)=0),"",$B249/SUMIFS(데이터!$C$2:$C$20000,데이터!$A$2:$A$20000,$A249,데이터!$E$2:$E$20000,설정!$B$2)-1),"")</f>
        <v/>
      </c>
      <c r="D249" s="5">
        <f>IFERROR(IF(OR($B249="",COUNTIFS(데이터!$A$2:$A$20000,$A249,데이터!$E$2:$E$20000,설정!$B$3)=0),"",$B249/SUMIFS(데이터!$C$2:$C$20000,데이터!$A$2:$A$20000,$A249,데이터!$E$2:$E$20000,설정!$B$3)-1),"")</f>
        <v/>
      </c>
      <c r="E249" s="5">
        <f>IFERROR(IF(OR($B249="",COUNTIFS(데이터!$A$2:$A$20000,$A249,데이터!$E$2:$E$20000,설정!$B$4)=0),"",$B249/SUMIFS(데이터!$C$2:$C$20000,데이터!$A$2:$A$20000,$A249,데이터!$E$2:$E$20000,설정!$B$4)-1),"")</f>
        <v/>
      </c>
      <c r="F249" s="5">
        <f>IFERROR(IF(OR($B249="",COUNTIFS(데이터!$A$2:$A$20000,$A249,데이터!$E$2:$E$20000,설정!$B$5)=0),"",$B249/SUMIFS(데이터!$C$2:$C$20000,데이터!$A$2:$A$20000,$A249,데이터!$E$2:$E$20000,설정!$B$5)-1),"")</f>
        <v/>
      </c>
      <c r="G249" s="5">
        <f>IFERROR(IF(OR($B249="",COUNTIFS(데이터!$A$2:$A$20000,$A249,데이터!$E$2:$E$20000,설정!$B$6)=0),"",$B249/SUMIFS(데이터!$C$2:$C$20000,데이터!$A$2:$A$20000,$A249,데이터!$E$2:$E$20000,설정!$B$6)-1),"")</f>
        <v/>
      </c>
      <c r="H249" s="5">
        <f>IFERROR(IF(OR($B249="",COUNTIFS(데이터!$A$2:$A$20000,$A249,데이터!$E$2:$E$20000,설정!$B$7)=0),"",$B249/SUMIFS(데이터!$C$2:$C$20000,데이터!$A$2:$A$20000,$A249,데이터!$E$2:$E$20000,설정!$B$7)-1),"")</f>
        <v/>
      </c>
      <c r="J249">
        <f>IF(C249="","",C249+ROW()*0.000000001)</f>
        <v/>
      </c>
      <c r="K249">
        <f>IF(D249="","",D249+ROW()*0.000000001)</f>
        <v/>
      </c>
      <c r="L249">
        <f>IF(E249="","",E249+ROW()*0.000000001)</f>
        <v/>
      </c>
      <c r="M249">
        <f>IF(F249="","",F249+ROW()*0.000000001)</f>
        <v/>
      </c>
      <c r="N249">
        <f>IF(G249="","",G249+ROW()*0.000000001)</f>
        <v/>
      </c>
      <c r="O249">
        <f>IF(H249="","",H249+ROW()*0.000000001)</f>
        <v/>
      </c>
    </row>
    <row r="250">
      <c r="B250" s="4">
        <f>IF($A250="","",IF(COUNTIFS(데이터!$A$2:$A$20000,$A250,데이터!$E$2:$E$20000,1)=0,"",SUMIFS(데이터!$C$2:$C$20000,데이터!$A$2:$A$20000,$A250,데이터!$E$2:$E$20000,1)))</f>
        <v/>
      </c>
      <c r="C250" s="5">
        <f>IFERROR(IF(OR($B250="",COUNTIFS(데이터!$A$2:$A$20000,$A250,데이터!$E$2:$E$20000,설정!$B$2)=0),"",$B250/SUMIFS(데이터!$C$2:$C$20000,데이터!$A$2:$A$20000,$A250,데이터!$E$2:$E$20000,설정!$B$2)-1),"")</f>
        <v/>
      </c>
      <c r="D250" s="5">
        <f>IFERROR(IF(OR($B250="",COUNTIFS(데이터!$A$2:$A$20000,$A250,데이터!$E$2:$E$20000,설정!$B$3)=0),"",$B250/SUMIFS(데이터!$C$2:$C$20000,데이터!$A$2:$A$20000,$A250,데이터!$E$2:$E$20000,설정!$B$3)-1),"")</f>
        <v/>
      </c>
      <c r="E250" s="5">
        <f>IFERROR(IF(OR($B250="",COUNTIFS(데이터!$A$2:$A$20000,$A250,데이터!$E$2:$E$20000,설정!$B$4)=0),"",$B250/SUMIFS(데이터!$C$2:$C$20000,데이터!$A$2:$A$20000,$A250,데이터!$E$2:$E$20000,설정!$B$4)-1),"")</f>
        <v/>
      </c>
      <c r="F250" s="5">
        <f>IFERROR(IF(OR($B250="",COUNTIFS(데이터!$A$2:$A$20000,$A250,데이터!$E$2:$E$20000,설정!$B$5)=0),"",$B250/SUMIFS(데이터!$C$2:$C$20000,데이터!$A$2:$A$20000,$A250,데이터!$E$2:$E$20000,설정!$B$5)-1),"")</f>
        <v/>
      </c>
      <c r="G250" s="5">
        <f>IFERROR(IF(OR($B250="",COUNTIFS(데이터!$A$2:$A$20000,$A250,데이터!$E$2:$E$20000,설정!$B$6)=0),"",$B250/SUMIFS(데이터!$C$2:$C$20000,데이터!$A$2:$A$20000,$A250,데이터!$E$2:$E$20000,설정!$B$6)-1),"")</f>
        <v/>
      </c>
      <c r="H250" s="5">
        <f>IFERROR(IF(OR($B250="",COUNTIFS(데이터!$A$2:$A$20000,$A250,데이터!$E$2:$E$20000,설정!$B$7)=0),"",$B250/SUMIFS(데이터!$C$2:$C$20000,데이터!$A$2:$A$20000,$A250,데이터!$E$2:$E$20000,설정!$B$7)-1),"")</f>
        <v/>
      </c>
      <c r="J250">
        <f>IF(C250="","",C250+ROW()*0.000000001)</f>
        <v/>
      </c>
      <c r="K250">
        <f>IF(D250="","",D250+ROW()*0.000000001)</f>
        <v/>
      </c>
      <c r="L250">
        <f>IF(E250="","",E250+ROW()*0.000000001)</f>
        <v/>
      </c>
      <c r="M250">
        <f>IF(F250="","",F250+ROW()*0.000000001)</f>
        <v/>
      </c>
      <c r="N250">
        <f>IF(G250="","",G250+ROW()*0.000000001)</f>
        <v/>
      </c>
      <c r="O250">
        <f>IF(H250="","",H250+ROW()*0.000000001)</f>
        <v/>
      </c>
    </row>
    <row r="251">
      <c r="B251" s="4">
        <f>IF($A251="","",IF(COUNTIFS(데이터!$A$2:$A$20000,$A251,데이터!$E$2:$E$20000,1)=0,"",SUMIFS(데이터!$C$2:$C$20000,데이터!$A$2:$A$20000,$A251,데이터!$E$2:$E$20000,1)))</f>
        <v/>
      </c>
      <c r="C251" s="5">
        <f>IFERROR(IF(OR($B251="",COUNTIFS(데이터!$A$2:$A$20000,$A251,데이터!$E$2:$E$20000,설정!$B$2)=0),"",$B251/SUMIFS(데이터!$C$2:$C$20000,데이터!$A$2:$A$20000,$A251,데이터!$E$2:$E$20000,설정!$B$2)-1),"")</f>
        <v/>
      </c>
      <c r="D251" s="5">
        <f>IFERROR(IF(OR($B251="",COUNTIFS(데이터!$A$2:$A$20000,$A251,데이터!$E$2:$E$20000,설정!$B$3)=0),"",$B251/SUMIFS(데이터!$C$2:$C$20000,데이터!$A$2:$A$20000,$A251,데이터!$E$2:$E$20000,설정!$B$3)-1),"")</f>
        <v/>
      </c>
      <c r="E251" s="5">
        <f>IFERROR(IF(OR($B251="",COUNTIFS(데이터!$A$2:$A$20000,$A251,데이터!$E$2:$E$20000,설정!$B$4)=0),"",$B251/SUMIFS(데이터!$C$2:$C$20000,데이터!$A$2:$A$20000,$A251,데이터!$E$2:$E$20000,설정!$B$4)-1),"")</f>
        <v/>
      </c>
      <c r="F251" s="5">
        <f>IFERROR(IF(OR($B251="",COUNTIFS(데이터!$A$2:$A$20000,$A251,데이터!$E$2:$E$20000,설정!$B$5)=0),"",$B251/SUMIFS(데이터!$C$2:$C$20000,데이터!$A$2:$A$20000,$A251,데이터!$E$2:$E$20000,설정!$B$5)-1),"")</f>
        <v/>
      </c>
      <c r="G251" s="5">
        <f>IFERROR(IF(OR($B251="",COUNTIFS(데이터!$A$2:$A$20000,$A251,데이터!$E$2:$E$20000,설정!$B$6)=0),"",$B251/SUMIFS(데이터!$C$2:$C$20000,데이터!$A$2:$A$20000,$A251,데이터!$E$2:$E$20000,설정!$B$6)-1),"")</f>
        <v/>
      </c>
      <c r="H251" s="5">
        <f>IFERROR(IF(OR($B251="",COUNTIFS(데이터!$A$2:$A$20000,$A251,데이터!$E$2:$E$20000,설정!$B$7)=0),"",$B251/SUMIFS(데이터!$C$2:$C$20000,데이터!$A$2:$A$20000,$A251,데이터!$E$2:$E$20000,설정!$B$7)-1),"")</f>
        <v/>
      </c>
      <c r="J251">
        <f>IF(C251="","",C251+ROW()*0.000000001)</f>
        <v/>
      </c>
      <c r="K251">
        <f>IF(D251="","",D251+ROW()*0.000000001)</f>
        <v/>
      </c>
      <c r="L251">
        <f>IF(E251="","",E251+ROW()*0.000000001)</f>
        <v/>
      </c>
      <c r="M251">
        <f>IF(F251="","",F251+ROW()*0.000000001)</f>
        <v/>
      </c>
      <c r="N251">
        <f>IF(G251="","",G251+ROW()*0.000000001)</f>
        <v/>
      </c>
      <c r="O251">
        <f>IF(H251="","",H251+ROW()*0.000000001)</f>
        <v/>
      </c>
    </row>
    <row r="252">
      <c r="B252" s="4">
        <f>IF($A252="","",IF(COUNTIFS(데이터!$A$2:$A$20000,$A252,데이터!$E$2:$E$20000,1)=0,"",SUMIFS(데이터!$C$2:$C$20000,데이터!$A$2:$A$20000,$A252,데이터!$E$2:$E$20000,1)))</f>
        <v/>
      </c>
      <c r="C252" s="5">
        <f>IFERROR(IF(OR($B252="",COUNTIFS(데이터!$A$2:$A$20000,$A252,데이터!$E$2:$E$20000,설정!$B$2)=0),"",$B252/SUMIFS(데이터!$C$2:$C$20000,데이터!$A$2:$A$20000,$A252,데이터!$E$2:$E$20000,설정!$B$2)-1),"")</f>
        <v/>
      </c>
      <c r="D252" s="5">
        <f>IFERROR(IF(OR($B252="",COUNTIFS(데이터!$A$2:$A$20000,$A252,데이터!$E$2:$E$20000,설정!$B$3)=0),"",$B252/SUMIFS(데이터!$C$2:$C$20000,데이터!$A$2:$A$20000,$A252,데이터!$E$2:$E$20000,설정!$B$3)-1),"")</f>
        <v/>
      </c>
      <c r="E252" s="5">
        <f>IFERROR(IF(OR($B252="",COUNTIFS(데이터!$A$2:$A$20000,$A252,데이터!$E$2:$E$20000,설정!$B$4)=0),"",$B252/SUMIFS(데이터!$C$2:$C$20000,데이터!$A$2:$A$20000,$A252,데이터!$E$2:$E$20000,설정!$B$4)-1),"")</f>
        <v/>
      </c>
      <c r="F252" s="5">
        <f>IFERROR(IF(OR($B252="",COUNTIFS(데이터!$A$2:$A$20000,$A252,데이터!$E$2:$E$20000,설정!$B$5)=0),"",$B252/SUMIFS(데이터!$C$2:$C$20000,데이터!$A$2:$A$20000,$A252,데이터!$E$2:$E$20000,설정!$B$5)-1),"")</f>
        <v/>
      </c>
      <c r="G252" s="5">
        <f>IFERROR(IF(OR($B252="",COUNTIFS(데이터!$A$2:$A$20000,$A252,데이터!$E$2:$E$20000,설정!$B$6)=0),"",$B252/SUMIFS(데이터!$C$2:$C$20000,데이터!$A$2:$A$20000,$A252,데이터!$E$2:$E$20000,설정!$B$6)-1),"")</f>
        <v/>
      </c>
      <c r="H252" s="5">
        <f>IFERROR(IF(OR($B252="",COUNTIFS(데이터!$A$2:$A$20000,$A252,데이터!$E$2:$E$20000,설정!$B$7)=0),"",$B252/SUMIFS(데이터!$C$2:$C$20000,데이터!$A$2:$A$20000,$A252,데이터!$E$2:$E$20000,설정!$B$7)-1),"")</f>
        <v/>
      </c>
      <c r="J252">
        <f>IF(C252="","",C252+ROW()*0.000000001)</f>
        <v/>
      </c>
      <c r="K252">
        <f>IF(D252="","",D252+ROW()*0.000000001)</f>
        <v/>
      </c>
      <c r="L252">
        <f>IF(E252="","",E252+ROW()*0.000000001)</f>
        <v/>
      </c>
      <c r="M252">
        <f>IF(F252="","",F252+ROW()*0.000000001)</f>
        <v/>
      </c>
      <c r="N252">
        <f>IF(G252="","",G252+ROW()*0.000000001)</f>
        <v/>
      </c>
      <c r="O252">
        <f>IF(H252="","",H252+ROW()*0.000000001)</f>
        <v/>
      </c>
    </row>
    <row r="253">
      <c r="B253" s="4">
        <f>IF($A253="","",IF(COUNTIFS(데이터!$A$2:$A$20000,$A253,데이터!$E$2:$E$20000,1)=0,"",SUMIFS(데이터!$C$2:$C$20000,데이터!$A$2:$A$20000,$A253,데이터!$E$2:$E$20000,1)))</f>
        <v/>
      </c>
      <c r="C253" s="5">
        <f>IFERROR(IF(OR($B253="",COUNTIFS(데이터!$A$2:$A$20000,$A253,데이터!$E$2:$E$20000,설정!$B$2)=0),"",$B253/SUMIFS(데이터!$C$2:$C$20000,데이터!$A$2:$A$20000,$A253,데이터!$E$2:$E$20000,설정!$B$2)-1),"")</f>
        <v/>
      </c>
      <c r="D253" s="5">
        <f>IFERROR(IF(OR($B253="",COUNTIFS(데이터!$A$2:$A$20000,$A253,데이터!$E$2:$E$20000,설정!$B$3)=0),"",$B253/SUMIFS(데이터!$C$2:$C$20000,데이터!$A$2:$A$20000,$A253,데이터!$E$2:$E$20000,설정!$B$3)-1),"")</f>
        <v/>
      </c>
      <c r="E253" s="5">
        <f>IFERROR(IF(OR($B253="",COUNTIFS(데이터!$A$2:$A$20000,$A253,데이터!$E$2:$E$20000,설정!$B$4)=0),"",$B253/SUMIFS(데이터!$C$2:$C$20000,데이터!$A$2:$A$20000,$A253,데이터!$E$2:$E$20000,설정!$B$4)-1),"")</f>
        <v/>
      </c>
      <c r="F253" s="5">
        <f>IFERROR(IF(OR($B253="",COUNTIFS(데이터!$A$2:$A$20000,$A253,데이터!$E$2:$E$20000,설정!$B$5)=0),"",$B253/SUMIFS(데이터!$C$2:$C$20000,데이터!$A$2:$A$20000,$A253,데이터!$E$2:$E$20000,설정!$B$5)-1),"")</f>
        <v/>
      </c>
      <c r="G253" s="5">
        <f>IFERROR(IF(OR($B253="",COUNTIFS(데이터!$A$2:$A$20000,$A253,데이터!$E$2:$E$20000,설정!$B$6)=0),"",$B253/SUMIFS(데이터!$C$2:$C$20000,데이터!$A$2:$A$20000,$A253,데이터!$E$2:$E$20000,설정!$B$6)-1),"")</f>
        <v/>
      </c>
      <c r="H253" s="5">
        <f>IFERROR(IF(OR($B253="",COUNTIFS(데이터!$A$2:$A$20000,$A253,데이터!$E$2:$E$20000,설정!$B$7)=0),"",$B253/SUMIFS(데이터!$C$2:$C$20000,데이터!$A$2:$A$20000,$A253,데이터!$E$2:$E$20000,설정!$B$7)-1),"")</f>
        <v/>
      </c>
      <c r="J253">
        <f>IF(C253="","",C253+ROW()*0.000000001)</f>
        <v/>
      </c>
      <c r="K253">
        <f>IF(D253="","",D253+ROW()*0.000000001)</f>
        <v/>
      </c>
      <c r="L253">
        <f>IF(E253="","",E253+ROW()*0.000000001)</f>
        <v/>
      </c>
      <c r="M253">
        <f>IF(F253="","",F253+ROW()*0.000000001)</f>
        <v/>
      </c>
      <c r="N253">
        <f>IF(G253="","",G253+ROW()*0.000000001)</f>
        <v/>
      </c>
      <c r="O253">
        <f>IF(H253="","",H253+ROW()*0.000000001)</f>
        <v/>
      </c>
    </row>
    <row r="254">
      <c r="B254" s="4">
        <f>IF($A254="","",IF(COUNTIFS(데이터!$A$2:$A$20000,$A254,데이터!$E$2:$E$20000,1)=0,"",SUMIFS(데이터!$C$2:$C$20000,데이터!$A$2:$A$20000,$A254,데이터!$E$2:$E$20000,1)))</f>
        <v/>
      </c>
      <c r="C254" s="5">
        <f>IFERROR(IF(OR($B254="",COUNTIFS(데이터!$A$2:$A$20000,$A254,데이터!$E$2:$E$20000,설정!$B$2)=0),"",$B254/SUMIFS(데이터!$C$2:$C$20000,데이터!$A$2:$A$20000,$A254,데이터!$E$2:$E$20000,설정!$B$2)-1),"")</f>
        <v/>
      </c>
      <c r="D254" s="5">
        <f>IFERROR(IF(OR($B254="",COUNTIFS(데이터!$A$2:$A$20000,$A254,데이터!$E$2:$E$20000,설정!$B$3)=0),"",$B254/SUMIFS(데이터!$C$2:$C$20000,데이터!$A$2:$A$20000,$A254,데이터!$E$2:$E$20000,설정!$B$3)-1),"")</f>
        <v/>
      </c>
      <c r="E254" s="5">
        <f>IFERROR(IF(OR($B254="",COUNTIFS(데이터!$A$2:$A$20000,$A254,데이터!$E$2:$E$20000,설정!$B$4)=0),"",$B254/SUMIFS(데이터!$C$2:$C$20000,데이터!$A$2:$A$20000,$A254,데이터!$E$2:$E$20000,설정!$B$4)-1),"")</f>
        <v/>
      </c>
      <c r="F254" s="5">
        <f>IFERROR(IF(OR($B254="",COUNTIFS(데이터!$A$2:$A$20000,$A254,데이터!$E$2:$E$20000,설정!$B$5)=0),"",$B254/SUMIFS(데이터!$C$2:$C$20000,데이터!$A$2:$A$20000,$A254,데이터!$E$2:$E$20000,설정!$B$5)-1),"")</f>
        <v/>
      </c>
      <c r="G254" s="5">
        <f>IFERROR(IF(OR($B254="",COUNTIFS(데이터!$A$2:$A$20000,$A254,데이터!$E$2:$E$20000,설정!$B$6)=0),"",$B254/SUMIFS(데이터!$C$2:$C$20000,데이터!$A$2:$A$20000,$A254,데이터!$E$2:$E$20000,설정!$B$6)-1),"")</f>
        <v/>
      </c>
      <c r="H254" s="5">
        <f>IFERROR(IF(OR($B254="",COUNTIFS(데이터!$A$2:$A$20000,$A254,데이터!$E$2:$E$20000,설정!$B$7)=0),"",$B254/SUMIFS(데이터!$C$2:$C$20000,데이터!$A$2:$A$20000,$A254,데이터!$E$2:$E$20000,설정!$B$7)-1),"")</f>
        <v/>
      </c>
      <c r="J254">
        <f>IF(C254="","",C254+ROW()*0.000000001)</f>
        <v/>
      </c>
      <c r="K254">
        <f>IF(D254="","",D254+ROW()*0.000000001)</f>
        <v/>
      </c>
      <c r="L254">
        <f>IF(E254="","",E254+ROW()*0.000000001)</f>
        <v/>
      </c>
      <c r="M254">
        <f>IF(F254="","",F254+ROW()*0.000000001)</f>
        <v/>
      </c>
      <c r="N254">
        <f>IF(G254="","",G254+ROW()*0.000000001)</f>
        <v/>
      </c>
      <c r="O254">
        <f>IF(H254="","",H254+ROW()*0.000000001)</f>
        <v/>
      </c>
    </row>
    <row r="255">
      <c r="B255" s="4">
        <f>IF($A255="","",IF(COUNTIFS(데이터!$A$2:$A$20000,$A255,데이터!$E$2:$E$20000,1)=0,"",SUMIFS(데이터!$C$2:$C$20000,데이터!$A$2:$A$20000,$A255,데이터!$E$2:$E$20000,1)))</f>
        <v/>
      </c>
      <c r="C255" s="5">
        <f>IFERROR(IF(OR($B255="",COUNTIFS(데이터!$A$2:$A$20000,$A255,데이터!$E$2:$E$20000,설정!$B$2)=0),"",$B255/SUMIFS(데이터!$C$2:$C$20000,데이터!$A$2:$A$20000,$A255,데이터!$E$2:$E$20000,설정!$B$2)-1),"")</f>
        <v/>
      </c>
      <c r="D255" s="5">
        <f>IFERROR(IF(OR($B255="",COUNTIFS(데이터!$A$2:$A$20000,$A255,데이터!$E$2:$E$20000,설정!$B$3)=0),"",$B255/SUMIFS(데이터!$C$2:$C$20000,데이터!$A$2:$A$20000,$A255,데이터!$E$2:$E$20000,설정!$B$3)-1),"")</f>
        <v/>
      </c>
      <c r="E255" s="5">
        <f>IFERROR(IF(OR($B255="",COUNTIFS(데이터!$A$2:$A$20000,$A255,데이터!$E$2:$E$20000,설정!$B$4)=0),"",$B255/SUMIFS(데이터!$C$2:$C$20000,데이터!$A$2:$A$20000,$A255,데이터!$E$2:$E$20000,설정!$B$4)-1),"")</f>
        <v/>
      </c>
      <c r="F255" s="5">
        <f>IFERROR(IF(OR($B255="",COUNTIFS(데이터!$A$2:$A$20000,$A255,데이터!$E$2:$E$20000,설정!$B$5)=0),"",$B255/SUMIFS(데이터!$C$2:$C$20000,데이터!$A$2:$A$20000,$A255,데이터!$E$2:$E$20000,설정!$B$5)-1),"")</f>
        <v/>
      </c>
      <c r="G255" s="5">
        <f>IFERROR(IF(OR($B255="",COUNTIFS(데이터!$A$2:$A$20000,$A255,데이터!$E$2:$E$20000,설정!$B$6)=0),"",$B255/SUMIFS(데이터!$C$2:$C$20000,데이터!$A$2:$A$20000,$A255,데이터!$E$2:$E$20000,설정!$B$6)-1),"")</f>
        <v/>
      </c>
      <c r="H255" s="5">
        <f>IFERROR(IF(OR($B255="",COUNTIFS(데이터!$A$2:$A$20000,$A255,데이터!$E$2:$E$20000,설정!$B$7)=0),"",$B255/SUMIFS(데이터!$C$2:$C$20000,데이터!$A$2:$A$20000,$A255,데이터!$E$2:$E$20000,설정!$B$7)-1),"")</f>
        <v/>
      </c>
      <c r="J255">
        <f>IF(C255="","",C255+ROW()*0.000000001)</f>
        <v/>
      </c>
      <c r="K255">
        <f>IF(D255="","",D255+ROW()*0.000000001)</f>
        <v/>
      </c>
      <c r="L255">
        <f>IF(E255="","",E255+ROW()*0.000000001)</f>
        <v/>
      </c>
      <c r="M255">
        <f>IF(F255="","",F255+ROW()*0.000000001)</f>
        <v/>
      </c>
      <c r="N255">
        <f>IF(G255="","",G255+ROW()*0.000000001)</f>
        <v/>
      </c>
      <c r="O255">
        <f>IF(H255="","",H255+ROW()*0.000000001)</f>
        <v/>
      </c>
    </row>
    <row r="256">
      <c r="B256" s="4">
        <f>IF($A256="","",IF(COUNTIFS(데이터!$A$2:$A$20000,$A256,데이터!$E$2:$E$20000,1)=0,"",SUMIFS(데이터!$C$2:$C$20000,데이터!$A$2:$A$20000,$A256,데이터!$E$2:$E$20000,1)))</f>
        <v/>
      </c>
      <c r="C256" s="5">
        <f>IFERROR(IF(OR($B256="",COUNTIFS(데이터!$A$2:$A$20000,$A256,데이터!$E$2:$E$20000,설정!$B$2)=0),"",$B256/SUMIFS(데이터!$C$2:$C$20000,데이터!$A$2:$A$20000,$A256,데이터!$E$2:$E$20000,설정!$B$2)-1),"")</f>
        <v/>
      </c>
      <c r="D256" s="5">
        <f>IFERROR(IF(OR($B256="",COUNTIFS(데이터!$A$2:$A$20000,$A256,데이터!$E$2:$E$20000,설정!$B$3)=0),"",$B256/SUMIFS(데이터!$C$2:$C$20000,데이터!$A$2:$A$20000,$A256,데이터!$E$2:$E$20000,설정!$B$3)-1),"")</f>
        <v/>
      </c>
      <c r="E256" s="5">
        <f>IFERROR(IF(OR($B256="",COUNTIFS(데이터!$A$2:$A$20000,$A256,데이터!$E$2:$E$20000,설정!$B$4)=0),"",$B256/SUMIFS(데이터!$C$2:$C$20000,데이터!$A$2:$A$20000,$A256,데이터!$E$2:$E$20000,설정!$B$4)-1),"")</f>
        <v/>
      </c>
      <c r="F256" s="5">
        <f>IFERROR(IF(OR($B256="",COUNTIFS(데이터!$A$2:$A$20000,$A256,데이터!$E$2:$E$20000,설정!$B$5)=0),"",$B256/SUMIFS(데이터!$C$2:$C$20000,데이터!$A$2:$A$20000,$A256,데이터!$E$2:$E$20000,설정!$B$5)-1),"")</f>
        <v/>
      </c>
      <c r="G256" s="5">
        <f>IFERROR(IF(OR($B256="",COUNTIFS(데이터!$A$2:$A$20000,$A256,데이터!$E$2:$E$20000,설정!$B$6)=0),"",$B256/SUMIFS(데이터!$C$2:$C$20000,데이터!$A$2:$A$20000,$A256,데이터!$E$2:$E$20000,설정!$B$6)-1),"")</f>
        <v/>
      </c>
      <c r="H256" s="5">
        <f>IFERROR(IF(OR($B256="",COUNTIFS(데이터!$A$2:$A$20000,$A256,데이터!$E$2:$E$20000,설정!$B$7)=0),"",$B256/SUMIFS(데이터!$C$2:$C$20000,데이터!$A$2:$A$20000,$A256,데이터!$E$2:$E$20000,설정!$B$7)-1),"")</f>
        <v/>
      </c>
      <c r="J256">
        <f>IF(C256="","",C256+ROW()*0.000000001)</f>
        <v/>
      </c>
      <c r="K256">
        <f>IF(D256="","",D256+ROW()*0.000000001)</f>
        <v/>
      </c>
      <c r="L256">
        <f>IF(E256="","",E256+ROW()*0.000000001)</f>
        <v/>
      </c>
      <c r="M256">
        <f>IF(F256="","",F256+ROW()*0.000000001)</f>
        <v/>
      </c>
      <c r="N256">
        <f>IF(G256="","",G256+ROW()*0.000000001)</f>
        <v/>
      </c>
      <c r="O256">
        <f>IF(H256="","",H256+ROW()*0.000000001)</f>
        <v/>
      </c>
    </row>
    <row r="257">
      <c r="B257" s="4">
        <f>IF($A257="","",IF(COUNTIFS(데이터!$A$2:$A$20000,$A257,데이터!$E$2:$E$20000,1)=0,"",SUMIFS(데이터!$C$2:$C$20000,데이터!$A$2:$A$20000,$A257,데이터!$E$2:$E$20000,1)))</f>
        <v/>
      </c>
      <c r="C257" s="5">
        <f>IFERROR(IF(OR($B257="",COUNTIFS(데이터!$A$2:$A$20000,$A257,데이터!$E$2:$E$20000,설정!$B$2)=0),"",$B257/SUMIFS(데이터!$C$2:$C$20000,데이터!$A$2:$A$20000,$A257,데이터!$E$2:$E$20000,설정!$B$2)-1),"")</f>
        <v/>
      </c>
      <c r="D257" s="5">
        <f>IFERROR(IF(OR($B257="",COUNTIFS(데이터!$A$2:$A$20000,$A257,데이터!$E$2:$E$20000,설정!$B$3)=0),"",$B257/SUMIFS(데이터!$C$2:$C$20000,데이터!$A$2:$A$20000,$A257,데이터!$E$2:$E$20000,설정!$B$3)-1),"")</f>
        <v/>
      </c>
      <c r="E257" s="5">
        <f>IFERROR(IF(OR($B257="",COUNTIFS(데이터!$A$2:$A$20000,$A257,데이터!$E$2:$E$20000,설정!$B$4)=0),"",$B257/SUMIFS(데이터!$C$2:$C$20000,데이터!$A$2:$A$20000,$A257,데이터!$E$2:$E$20000,설정!$B$4)-1),"")</f>
        <v/>
      </c>
      <c r="F257" s="5">
        <f>IFERROR(IF(OR($B257="",COUNTIFS(데이터!$A$2:$A$20000,$A257,데이터!$E$2:$E$20000,설정!$B$5)=0),"",$B257/SUMIFS(데이터!$C$2:$C$20000,데이터!$A$2:$A$20000,$A257,데이터!$E$2:$E$20000,설정!$B$5)-1),"")</f>
        <v/>
      </c>
      <c r="G257" s="5">
        <f>IFERROR(IF(OR($B257="",COUNTIFS(데이터!$A$2:$A$20000,$A257,데이터!$E$2:$E$20000,설정!$B$6)=0),"",$B257/SUMIFS(데이터!$C$2:$C$20000,데이터!$A$2:$A$20000,$A257,데이터!$E$2:$E$20000,설정!$B$6)-1),"")</f>
        <v/>
      </c>
      <c r="H257" s="5">
        <f>IFERROR(IF(OR($B257="",COUNTIFS(데이터!$A$2:$A$20000,$A257,데이터!$E$2:$E$20000,설정!$B$7)=0),"",$B257/SUMIFS(데이터!$C$2:$C$20000,데이터!$A$2:$A$20000,$A257,데이터!$E$2:$E$20000,설정!$B$7)-1),"")</f>
        <v/>
      </c>
      <c r="J257">
        <f>IF(C257="","",C257+ROW()*0.000000001)</f>
        <v/>
      </c>
      <c r="K257">
        <f>IF(D257="","",D257+ROW()*0.000000001)</f>
        <v/>
      </c>
      <c r="L257">
        <f>IF(E257="","",E257+ROW()*0.000000001)</f>
        <v/>
      </c>
      <c r="M257">
        <f>IF(F257="","",F257+ROW()*0.000000001)</f>
        <v/>
      </c>
      <c r="N257">
        <f>IF(G257="","",G257+ROW()*0.000000001)</f>
        <v/>
      </c>
      <c r="O257">
        <f>IF(H257="","",H257+ROW()*0.000000001)</f>
        <v/>
      </c>
    </row>
    <row r="258">
      <c r="B258" s="4">
        <f>IF($A258="","",IF(COUNTIFS(데이터!$A$2:$A$20000,$A258,데이터!$E$2:$E$20000,1)=0,"",SUMIFS(데이터!$C$2:$C$20000,데이터!$A$2:$A$20000,$A258,데이터!$E$2:$E$20000,1)))</f>
        <v/>
      </c>
      <c r="C258" s="5">
        <f>IFERROR(IF(OR($B258="",COUNTIFS(데이터!$A$2:$A$20000,$A258,데이터!$E$2:$E$20000,설정!$B$2)=0),"",$B258/SUMIFS(데이터!$C$2:$C$20000,데이터!$A$2:$A$20000,$A258,데이터!$E$2:$E$20000,설정!$B$2)-1),"")</f>
        <v/>
      </c>
      <c r="D258" s="5">
        <f>IFERROR(IF(OR($B258="",COUNTIFS(데이터!$A$2:$A$20000,$A258,데이터!$E$2:$E$20000,설정!$B$3)=0),"",$B258/SUMIFS(데이터!$C$2:$C$20000,데이터!$A$2:$A$20000,$A258,데이터!$E$2:$E$20000,설정!$B$3)-1),"")</f>
        <v/>
      </c>
      <c r="E258" s="5">
        <f>IFERROR(IF(OR($B258="",COUNTIFS(데이터!$A$2:$A$20000,$A258,데이터!$E$2:$E$20000,설정!$B$4)=0),"",$B258/SUMIFS(데이터!$C$2:$C$20000,데이터!$A$2:$A$20000,$A258,데이터!$E$2:$E$20000,설정!$B$4)-1),"")</f>
        <v/>
      </c>
      <c r="F258" s="5">
        <f>IFERROR(IF(OR($B258="",COUNTIFS(데이터!$A$2:$A$20000,$A258,데이터!$E$2:$E$20000,설정!$B$5)=0),"",$B258/SUMIFS(데이터!$C$2:$C$20000,데이터!$A$2:$A$20000,$A258,데이터!$E$2:$E$20000,설정!$B$5)-1),"")</f>
        <v/>
      </c>
      <c r="G258" s="5">
        <f>IFERROR(IF(OR($B258="",COUNTIFS(데이터!$A$2:$A$20000,$A258,데이터!$E$2:$E$20000,설정!$B$6)=0),"",$B258/SUMIFS(데이터!$C$2:$C$20000,데이터!$A$2:$A$20000,$A258,데이터!$E$2:$E$20000,설정!$B$6)-1),"")</f>
        <v/>
      </c>
      <c r="H258" s="5">
        <f>IFERROR(IF(OR($B258="",COUNTIFS(데이터!$A$2:$A$20000,$A258,데이터!$E$2:$E$20000,설정!$B$7)=0),"",$B258/SUMIFS(데이터!$C$2:$C$20000,데이터!$A$2:$A$20000,$A258,데이터!$E$2:$E$20000,설정!$B$7)-1),"")</f>
        <v/>
      </c>
      <c r="J258">
        <f>IF(C258="","",C258+ROW()*0.000000001)</f>
        <v/>
      </c>
      <c r="K258">
        <f>IF(D258="","",D258+ROW()*0.000000001)</f>
        <v/>
      </c>
      <c r="L258">
        <f>IF(E258="","",E258+ROW()*0.000000001)</f>
        <v/>
      </c>
      <c r="M258">
        <f>IF(F258="","",F258+ROW()*0.000000001)</f>
        <v/>
      </c>
      <c r="N258">
        <f>IF(G258="","",G258+ROW()*0.000000001)</f>
        <v/>
      </c>
      <c r="O258">
        <f>IF(H258="","",H258+ROW()*0.000000001)</f>
        <v/>
      </c>
    </row>
    <row r="259">
      <c r="B259" s="4">
        <f>IF($A259="","",IF(COUNTIFS(데이터!$A$2:$A$20000,$A259,데이터!$E$2:$E$20000,1)=0,"",SUMIFS(데이터!$C$2:$C$20000,데이터!$A$2:$A$20000,$A259,데이터!$E$2:$E$20000,1)))</f>
        <v/>
      </c>
      <c r="C259" s="5">
        <f>IFERROR(IF(OR($B259="",COUNTIFS(데이터!$A$2:$A$20000,$A259,데이터!$E$2:$E$20000,설정!$B$2)=0),"",$B259/SUMIFS(데이터!$C$2:$C$20000,데이터!$A$2:$A$20000,$A259,데이터!$E$2:$E$20000,설정!$B$2)-1),"")</f>
        <v/>
      </c>
      <c r="D259" s="5">
        <f>IFERROR(IF(OR($B259="",COUNTIFS(데이터!$A$2:$A$20000,$A259,데이터!$E$2:$E$20000,설정!$B$3)=0),"",$B259/SUMIFS(데이터!$C$2:$C$20000,데이터!$A$2:$A$20000,$A259,데이터!$E$2:$E$20000,설정!$B$3)-1),"")</f>
        <v/>
      </c>
      <c r="E259" s="5">
        <f>IFERROR(IF(OR($B259="",COUNTIFS(데이터!$A$2:$A$20000,$A259,데이터!$E$2:$E$20000,설정!$B$4)=0),"",$B259/SUMIFS(데이터!$C$2:$C$20000,데이터!$A$2:$A$20000,$A259,데이터!$E$2:$E$20000,설정!$B$4)-1),"")</f>
        <v/>
      </c>
      <c r="F259" s="5">
        <f>IFERROR(IF(OR($B259="",COUNTIFS(데이터!$A$2:$A$20000,$A259,데이터!$E$2:$E$20000,설정!$B$5)=0),"",$B259/SUMIFS(데이터!$C$2:$C$20000,데이터!$A$2:$A$20000,$A259,데이터!$E$2:$E$20000,설정!$B$5)-1),"")</f>
        <v/>
      </c>
      <c r="G259" s="5">
        <f>IFERROR(IF(OR($B259="",COUNTIFS(데이터!$A$2:$A$20000,$A259,데이터!$E$2:$E$20000,설정!$B$6)=0),"",$B259/SUMIFS(데이터!$C$2:$C$20000,데이터!$A$2:$A$20000,$A259,데이터!$E$2:$E$20000,설정!$B$6)-1),"")</f>
        <v/>
      </c>
      <c r="H259" s="5">
        <f>IFERROR(IF(OR($B259="",COUNTIFS(데이터!$A$2:$A$20000,$A259,데이터!$E$2:$E$20000,설정!$B$7)=0),"",$B259/SUMIFS(데이터!$C$2:$C$20000,데이터!$A$2:$A$20000,$A259,데이터!$E$2:$E$20000,설정!$B$7)-1),"")</f>
        <v/>
      </c>
      <c r="J259">
        <f>IF(C259="","",C259+ROW()*0.000000001)</f>
        <v/>
      </c>
      <c r="K259">
        <f>IF(D259="","",D259+ROW()*0.000000001)</f>
        <v/>
      </c>
      <c r="L259">
        <f>IF(E259="","",E259+ROW()*0.000000001)</f>
        <v/>
      </c>
      <c r="M259">
        <f>IF(F259="","",F259+ROW()*0.000000001)</f>
        <v/>
      </c>
      <c r="N259">
        <f>IF(G259="","",G259+ROW()*0.000000001)</f>
        <v/>
      </c>
      <c r="O259">
        <f>IF(H259="","",H259+ROW()*0.000000001)</f>
        <v/>
      </c>
    </row>
    <row r="260">
      <c r="B260" s="4">
        <f>IF($A260="","",IF(COUNTIFS(데이터!$A$2:$A$20000,$A260,데이터!$E$2:$E$20000,1)=0,"",SUMIFS(데이터!$C$2:$C$20000,데이터!$A$2:$A$20000,$A260,데이터!$E$2:$E$20000,1)))</f>
        <v/>
      </c>
      <c r="C260" s="5">
        <f>IFERROR(IF(OR($B260="",COUNTIFS(데이터!$A$2:$A$20000,$A260,데이터!$E$2:$E$20000,설정!$B$2)=0),"",$B260/SUMIFS(데이터!$C$2:$C$20000,데이터!$A$2:$A$20000,$A260,데이터!$E$2:$E$20000,설정!$B$2)-1),"")</f>
        <v/>
      </c>
      <c r="D260" s="5">
        <f>IFERROR(IF(OR($B260="",COUNTIFS(데이터!$A$2:$A$20000,$A260,데이터!$E$2:$E$20000,설정!$B$3)=0),"",$B260/SUMIFS(데이터!$C$2:$C$20000,데이터!$A$2:$A$20000,$A260,데이터!$E$2:$E$20000,설정!$B$3)-1),"")</f>
        <v/>
      </c>
      <c r="E260" s="5">
        <f>IFERROR(IF(OR($B260="",COUNTIFS(데이터!$A$2:$A$20000,$A260,데이터!$E$2:$E$20000,설정!$B$4)=0),"",$B260/SUMIFS(데이터!$C$2:$C$20000,데이터!$A$2:$A$20000,$A260,데이터!$E$2:$E$20000,설정!$B$4)-1),"")</f>
        <v/>
      </c>
      <c r="F260" s="5">
        <f>IFERROR(IF(OR($B260="",COUNTIFS(데이터!$A$2:$A$20000,$A260,데이터!$E$2:$E$20000,설정!$B$5)=0),"",$B260/SUMIFS(데이터!$C$2:$C$20000,데이터!$A$2:$A$20000,$A260,데이터!$E$2:$E$20000,설정!$B$5)-1),"")</f>
        <v/>
      </c>
      <c r="G260" s="5">
        <f>IFERROR(IF(OR($B260="",COUNTIFS(데이터!$A$2:$A$20000,$A260,데이터!$E$2:$E$20000,설정!$B$6)=0),"",$B260/SUMIFS(데이터!$C$2:$C$20000,데이터!$A$2:$A$20000,$A260,데이터!$E$2:$E$20000,설정!$B$6)-1),"")</f>
        <v/>
      </c>
      <c r="H260" s="5">
        <f>IFERROR(IF(OR($B260="",COUNTIFS(데이터!$A$2:$A$20000,$A260,데이터!$E$2:$E$20000,설정!$B$7)=0),"",$B260/SUMIFS(데이터!$C$2:$C$20000,데이터!$A$2:$A$20000,$A260,데이터!$E$2:$E$20000,설정!$B$7)-1),"")</f>
        <v/>
      </c>
      <c r="J260">
        <f>IF(C260="","",C260+ROW()*0.000000001)</f>
        <v/>
      </c>
      <c r="K260">
        <f>IF(D260="","",D260+ROW()*0.000000001)</f>
        <v/>
      </c>
      <c r="L260">
        <f>IF(E260="","",E260+ROW()*0.000000001)</f>
        <v/>
      </c>
      <c r="M260">
        <f>IF(F260="","",F260+ROW()*0.000000001)</f>
        <v/>
      </c>
      <c r="N260">
        <f>IF(G260="","",G260+ROW()*0.000000001)</f>
        <v/>
      </c>
      <c r="O260">
        <f>IF(H260="","",H260+ROW()*0.000000001)</f>
        <v/>
      </c>
    </row>
    <row r="261">
      <c r="B261" s="4">
        <f>IF($A261="","",IF(COUNTIFS(데이터!$A$2:$A$20000,$A261,데이터!$E$2:$E$20000,1)=0,"",SUMIFS(데이터!$C$2:$C$20000,데이터!$A$2:$A$20000,$A261,데이터!$E$2:$E$20000,1)))</f>
        <v/>
      </c>
      <c r="C261" s="5">
        <f>IFERROR(IF(OR($B261="",COUNTIFS(데이터!$A$2:$A$20000,$A261,데이터!$E$2:$E$20000,설정!$B$2)=0),"",$B261/SUMIFS(데이터!$C$2:$C$20000,데이터!$A$2:$A$20000,$A261,데이터!$E$2:$E$20000,설정!$B$2)-1),"")</f>
        <v/>
      </c>
      <c r="D261" s="5">
        <f>IFERROR(IF(OR($B261="",COUNTIFS(데이터!$A$2:$A$20000,$A261,데이터!$E$2:$E$20000,설정!$B$3)=0),"",$B261/SUMIFS(데이터!$C$2:$C$20000,데이터!$A$2:$A$20000,$A261,데이터!$E$2:$E$20000,설정!$B$3)-1),"")</f>
        <v/>
      </c>
      <c r="E261" s="5">
        <f>IFERROR(IF(OR($B261="",COUNTIFS(데이터!$A$2:$A$20000,$A261,데이터!$E$2:$E$20000,설정!$B$4)=0),"",$B261/SUMIFS(데이터!$C$2:$C$20000,데이터!$A$2:$A$20000,$A261,데이터!$E$2:$E$20000,설정!$B$4)-1),"")</f>
        <v/>
      </c>
      <c r="F261" s="5">
        <f>IFERROR(IF(OR($B261="",COUNTIFS(데이터!$A$2:$A$20000,$A261,데이터!$E$2:$E$20000,설정!$B$5)=0),"",$B261/SUMIFS(데이터!$C$2:$C$20000,데이터!$A$2:$A$20000,$A261,데이터!$E$2:$E$20000,설정!$B$5)-1),"")</f>
        <v/>
      </c>
      <c r="G261" s="5">
        <f>IFERROR(IF(OR($B261="",COUNTIFS(데이터!$A$2:$A$20000,$A261,데이터!$E$2:$E$20000,설정!$B$6)=0),"",$B261/SUMIFS(데이터!$C$2:$C$20000,데이터!$A$2:$A$20000,$A261,데이터!$E$2:$E$20000,설정!$B$6)-1),"")</f>
        <v/>
      </c>
      <c r="H261" s="5">
        <f>IFERROR(IF(OR($B261="",COUNTIFS(데이터!$A$2:$A$20000,$A261,데이터!$E$2:$E$20000,설정!$B$7)=0),"",$B261/SUMIFS(데이터!$C$2:$C$20000,데이터!$A$2:$A$20000,$A261,데이터!$E$2:$E$20000,설정!$B$7)-1),"")</f>
        <v/>
      </c>
      <c r="J261">
        <f>IF(C261="","",C261+ROW()*0.000000001)</f>
        <v/>
      </c>
      <c r="K261">
        <f>IF(D261="","",D261+ROW()*0.000000001)</f>
        <v/>
      </c>
      <c r="L261">
        <f>IF(E261="","",E261+ROW()*0.000000001)</f>
        <v/>
      </c>
      <c r="M261">
        <f>IF(F261="","",F261+ROW()*0.000000001)</f>
        <v/>
      </c>
      <c r="N261">
        <f>IF(G261="","",G261+ROW()*0.000000001)</f>
        <v/>
      </c>
      <c r="O261">
        <f>IF(H261="","",H261+ROW()*0.000000001)</f>
        <v/>
      </c>
    </row>
    <row r="262">
      <c r="B262" s="4">
        <f>IF($A262="","",IF(COUNTIFS(데이터!$A$2:$A$20000,$A262,데이터!$E$2:$E$20000,1)=0,"",SUMIFS(데이터!$C$2:$C$20000,데이터!$A$2:$A$20000,$A262,데이터!$E$2:$E$20000,1)))</f>
        <v/>
      </c>
      <c r="C262" s="5">
        <f>IFERROR(IF(OR($B262="",COUNTIFS(데이터!$A$2:$A$20000,$A262,데이터!$E$2:$E$20000,설정!$B$2)=0),"",$B262/SUMIFS(데이터!$C$2:$C$20000,데이터!$A$2:$A$20000,$A262,데이터!$E$2:$E$20000,설정!$B$2)-1),"")</f>
        <v/>
      </c>
      <c r="D262" s="5">
        <f>IFERROR(IF(OR($B262="",COUNTIFS(데이터!$A$2:$A$20000,$A262,데이터!$E$2:$E$20000,설정!$B$3)=0),"",$B262/SUMIFS(데이터!$C$2:$C$20000,데이터!$A$2:$A$20000,$A262,데이터!$E$2:$E$20000,설정!$B$3)-1),"")</f>
        <v/>
      </c>
      <c r="E262" s="5">
        <f>IFERROR(IF(OR($B262="",COUNTIFS(데이터!$A$2:$A$20000,$A262,데이터!$E$2:$E$20000,설정!$B$4)=0),"",$B262/SUMIFS(데이터!$C$2:$C$20000,데이터!$A$2:$A$20000,$A262,데이터!$E$2:$E$20000,설정!$B$4)-1),"")</f>
        <v/>
      </c>
      <c r="F262" s="5">
        <f>IFERROR(IF(OR($B262="",COUNTIFS(데이터!$A$2:$A$20000,$A262,데이터!$E$2:$E$20000,설정!$B$5)=0),"",$B262/SUMIFS(데이터!$C$2:$C$20000,데이터!$A$2:$A$20000,$A262,데이터!$E$2:$E$20000,설정!$B$5)-1),"")</f>
        <v/>
      </c>
      <c r="G262" s="5">
        <f>IFERROR(IF(OR($B262="",COUNTIFS(데이터!$A$2:$A$20000,$A262,데이터!$E$2:$E$20000,설정!$B$6)=0),"",$B262/SUMIFS(데이터!$C$2:$C$20000,데이터!$A$2:$A$20000,$A262,데이터!$E$2:$E$20000,설정!$B$6)-1),"")</f>
        <v/>
      </c>
      <c r="H262" s="5">
        <f>IFERROR(IF(OR($B262="",COUNTIFS(데이터!$A$2:$A$20000,$A262,데이터!$E$2:$E$20000,설정!$B$7)=0),"",$B262/SUMIFS(데이터!$C$2:$C$20000,데이터!$A$2:$A$20000,$A262,데이터!$E$2:$E$20000,설정!$B$7)-1),"")</f>
        <v/>
      </c>
      <c r="J262">
        <f>IF(C262="","",C262+ROW()*0.000000001)</f>
        <v/>
      </c>
      <c r="K262">
        <f>IF(D262="","",D262+ROW()*0.000000001)</f>
        <v/>
      </c>
      <c r="L262">
        <f>IF(E262="","",E262+ROW()*0.000000001)</f>
        <v/>
      </c>
      <c r="M262">
        <f>IF(F262="","",F262+ROW()*0.000000001)</f>
        <v/>
      </c>
      <c r="N262">
        <f>IF(G262="","",G262+ROW()*0.000000001)</f>
        <v/>
      </c>
      <c r="O262">
        <f>IF(H262="","",H262+ROW()*0.000000001)</f>
        <v/>
      </c>
    </row>
    <row r="263">
      <c r="B263" s="4">
        <f>IF($A263="","",IF(COUNTIFS(데이터!$A$2:$A$20000,$A263,데이터!$E$2:$E$20000,1)=0,"",SUMIFS(데이터!$C$2:$C$20000,데이터!$A$2:$A$20000,$A263,데이터!$E$2:$E$20000,1)))</f>
        <v/>
      </c>
      <c r="C263" s="5">
        <f>IFERROR(IF(OR($B263="",COUNTIFS(데이터!$A$2:$A$20000,$A263,데이터!$E$2:$E$20000,설정!$B$2)=0),"",$B263/SUMIFS(데이터!$C$2:$C$20000,데이터!$A$2:$A$20000,$A263,데이터!$E$2:$E$20000,설정!$B$2)-1),"")</f>
        <v/>
      </c>
      <c r="D263" s="5">
        <f>IFERROR(IF(OR($B263="",COUNTIFS(데이터!$A$2:$A$20000,$A263,데이터!$E$2:$E$20000,설정!$B$3)=0),"",$B263/SUMIFS(데이터!$C$2:$C$20000,데이터!$A$2:$A$20000,$A263,데이터!$E$2:$E$20000,설정!$B$3)-1),"")</f>
        <v/>
      </c>
      <c r="E263" s="5">
        <f>IFERROR(IF(OR($B263="",COUNTIFS(데이터!$A$2:$A$20000,$A263,데이터!$E$2:$E$20000,설정!$B$4)=0),"",$B263/SUMIFS(데이터!$C$2:$C$20000,데이터!$A$2:$A$20000,$A263,데이터!$E$2:$E$20000,설정!$B$4)-1),"")</f>
        <v/>
      </c>
      <c r="F263" s="5">
        <f>IFERROR(IF(OR($B263="",COUNTIFS(데이터!$A$2:$A$20000,$A263,데이터!$E$2:$E$20000,설정!$B$5)=0),"",$B263/SUMIFS(데이터!$C$2:$C$20000,데이터!$A$2:$A$20000,$A263,데이터!$E$2:$E$20000,설정!$B$5)-1),"")</f>
        <v/>
      </c>
      <c r="G263" s="5">
        <f>IFERROR(IF(OR($B263="",COUNTIFS(데이터!$A$2:$A$20000,$A263,데이터!$E$2:$E$20000,설정!$B$6)=0),"",$B263/SUMIFS(데이터!$C$2:$C$20000,데이터!$A$2:$A$20000,$A263,데이터!$E$2:$E$20000,설정!$B$6)-1),"")</f>
        <v/>
      </c>
      <c r="H263" s="5">
        <f>IFERROR(IF(OR($B263="",COUNTIFS(데이터!$A$2:$A$20000,$A263,데이터!$E$2:$E$20000,설정!$B$7)=0),"",$B263/SUMIFS(데이터!$C$2:$C$20000,데이터!$A$2:$A$20000,$A263,데이터!$E$2:$E$20000,설정!$B$7)-1),"")</f>
        <v/>
      </c>
      <c r="J263">
        <f>IF(C263="","",C263+ROW()*0.000000001)</f>
        <v/>
      </c>
      <c r="K263">
        <f>IF(D263="","",D263+ROW()*0.000000001)</f>
        <v/>
      </c>
      <c r="L263">
        <f>IF(E263="","",E263+ROW()*0.000000001)</f>
        <v/>
      </c>
      <c r="M263">
        <f>IF(F263="","",F263+ROW()*0.000000001)</f>
        <v/>
      </c>
      <c r="N263">
        <f>IF(G263="","",G263+ROW()*0.000000001)</f>
        <v/>
      </c>
      <c r="O263">
        <f>IF(H263="","",H263+ROW()*0.000000001)</f>
        <v/>
      </c>
    </row>
    <row r="264">
      <c r="B264" s="4">
        <f>IF($A264="","",IF(COUNTIFS(데이터!$A$2:$A$20000,$A264,데이터!$E$2:$E$20000,1)=0,"",SUMIFS(데이터!$C$2:$C$20000,데이터!$A$2:$A$20000,$A264,데이터!$E$2:$E$20000,1)))</f>
        <v/>
      </c>
      <c r="C264" s="5">
        <f>IFERROR(IF(OR($B264="",COUNTIFS(데이터!$A$2:$A$20000,$A264,데이터!$E$2:$E$20000,설정!$B$2)=0),"",$B264/SUMIFS(데이터!$C$2:$C$20000,데이터!$A$2:$A$20000,$A264,데이터!$E$2:$E$20000,설정!$B$2)-1),"")</f>
        <v/>
      </c>
      <c r="D264" s="5">
        <f>IFERROR(IF(OR($B264="",COUNTIFS(데이터!$A$2:$A$20000,$A264,데이터!$E$2:$E$20000,설정!$B$3)=0),"",$B264/SUMIFS(데이터!$C$2:$C$20000,데이터!$A$2:$A$20000,$A264,데이터!$E$2:$E$20000,설정!$B$3)-1),"")</f>
        <v/>
      </c>
      <c r="E264" s="5">
        <f>IFERROR(IF(OR($B264="",COUNTIFS(데이터!$A$2:$A$20000,$A264,데이터!$E$2:$E$20000,설정!$B$4)=0),"",$B264/SUMIFS(데이터!$C$2:$C$20000,데이터!$A$2:$A$20000,$A264,데이터!$E$2:$E$20000,설정!$B$4)-1),"")</f>
        <v/>
      </c>
      <c r="F264" s="5">
        <f>IFERROR(IF(OR($B264="",COUNTIFS(데이터!$A$2:$A$20000,$A264,데이터!$E$2:$E$20000,설정!$B$5)=0),"",$B264/SUMIFS(데이터!$C$2:$C$20000,데이터!$A$2:$A$20000,$A264,데이터!$E$2:$E$20000,설정!$B$5)-1),"")</f>
        <v/>
      </c>
      <c r="G264" s="5">
        <f>IFERROR(IF(OR($B264="",COUNTIFS(데이터!$A$2:$A$20000,$A264,데이터!$E$2:$E$20000,설정!$B$6)=0),"",$B264/SUMIFS(데이터!$C$2:$C$20000,데이터!$A$2:$A$20000,$A264,데이터!$E$2:$E$20000,설정!$B$6)-1),"")</f>
        <v/>
      </c>
      <c r="H264" s="5">
        <f>IFERROR(IF(OR($B264="",COUNTIFS(데이터!$A$2:$A$20000,$A264,데이터!$E$2:$E$20000,설정!$B$7)=0),"",$B264/SUMIFS(데이터!$C$2:$C$20000,데이터!$A$2:$A$20000,$A264,데이터!$E$2:$E$20000,설정!$B$7)-1),"")</f>
        <v/>
      </c>
      <c r="J264">
        <f>IF(C264="","",C264+ROW()*0.000000001)</f>
        <v/>
      </c>
      <c r="K264">
        <f>IF(D264="","",D264+ROW()*0.000000001)</f>
        <v/>
      </c>
      <c r="L264">
        <f>IF(E264="","",E264+ROW()*0.000000001)</f>
        <v/>
      </c>
      <c r="M264">
        <f>IF(F264="","",F264+ROW()*0.000000001)</f>
        <v/>
      </c>
      <c r="N264">
        <f>IF(G264="","",G264+ROW()*0.000000001)</f>
        <v/>
      </c>
      <c r="O264">
        <f>IF(H264="","",H264+ROW()*0.000000001)</f>
        <v/>
      </c>
    </row>
    <row r="265">
      <c r="B265" s="4">
        <f>IF($A265="","",IF(COUNTIFS(데이터!$A$2:$A$20000,$A265,데이터!$E$2:$E$20000,1)=0,"",SUMIFS(데이터!$C$2:$C$20000,데이터!$A$2:$A$20000,$A265,데이터!$E$2:$E$20000,1)))</f>
        <v/>
      </c>
      <c r="C265" s="5">
        <f>IFERROR(IF(OR($B265="",COUNTIFS(데이터!$A$2:$A$20000,$A265,데이터!$E$2:$E$20000,설정!$B$2)=0),"",$B265/SUMIFS(데이터!$C$2:$C$20000,데이터!$A$2:$A$20000,$A265,데이터!$E$2:$E$20000,설정!$B$2)-1),"")</f>
        <v/>
      </c>
      <c r="D265" s="5">
        <f>IFERROR(IF(OR($B265="",COUNTIFS(데이터!$A$2:$A$20000,$A265,데이터!$E$2:$E$20000,설정!$B$3)=0),"",$B265/SUMIFS(데이터!$C$2:$C$20000,데이터!$A$2:$A$20000,$A265,데이터!$E$2:$E$20000,설정!$B$3)-1),"")</f>
        <v/>
      </c>
      <c r="E265" s="5">
        <f>IFERROR(IF(OR($B265="",COUNTIFS(데이터!$A$2:$A$20000,$A265,데이터!$E$2:$E$20000,설정!$B$4)=0),"",$B265/SUMIFS(데이터!$C$2:$C$20000,데이터!$A$2:$A$20000,$A265,데이터!$E$2:$E$20000,설정!$B$4)-1),"")</f>
        <v/>
      </c>
      <c r="F265" s="5">
        <f>IFERROR(IF(OR($B265="",COUNTIFS(데이터!$A$2:$A$20000,$A265,데이터!$E$2:$E$20000,설정!$B$5)=0),"",$B265/SUMIFS(데이터!$C$2:$C$20000,데이터!$A$2:$A$20000,$A265,데이터!$E$2:$E$20000,설정!$B$5)-1),"")</f>
        <v/>
      </c>
      <c r="G265" s="5">
        <f>IFERROR(IF(OR($B265="",COUNTIFS(데이터!$A$2:$A$20000,$A265,데이터!$E$2:$E$20000,설정!$B$6)=0),"",$B265/SUMIFS(데이터!$C$2:$C$20000,데이터!$A$2:$A$20000,$A265,데이터!$E$2:$E$20000,설정!$B$6)-1),"")</f>
        <v/>
      </c>
      <c r="H265" s="5">
        <f>IFERROR(IF(OR($B265="",COUNTIFS(데이터!$A$2:$A$20000,$A265,데이터!$E$2:$E$20000,설정!$B$7)=0),"",$B265/SUMIFS(데이터!$C$2:$C$20000,데이터!$A$2:$A$20000,$A265,데이터!$E$2:$E$20000,설정!$B$7)-1),"")</f>
        <v/>
      </c>
      <c r="J265">
        <f>IF(C265="","",C265+ROW()*0.000000001)</f>
        <v/>
      </c>
      <c r="K265">
        <f>IF(D265="","",D265+ROW()*0.000000001)</f>
        <v/>
      </c>
      <c r="L265">
        <f>IF(E265="","",E265+ROW()*0.000000001)</f>
        <v/>
      </c>
      <c r="M265">
        <f>IF(F265="","",F265+ROW()*0.000000001)</f>
        <v/>
      </c>
      <c r="N265">
        <f>IF(G265="","",G265+ROW()*0.000000001)</f>
        <v/>
      </c>
      <c r="O265">
        <f>IF(H265="","",H265+ROW()*0.000000001)</f>
        <v/>
      </c>
    </row>
    <row r="266">
      <c r="B266" s="4">
        <f>IF($A266="","",IF(COUNTIFS(데이터!$A$2:$A$20000,$A266,데이터!$E$2:$E$20000,1)=0,"",SUMIFS(데이터!$C$2:$C$20000,데이터!$A$2:$A$20000,$A266,데이터!$E$2:$E$20000,1)))</f>
        <v/>
      </c>
      <c r="C266" s="5">
        <f>IFERROR(IF(OR($B266="",COUNTIFS(데이터!$A$2:$A$20000,$A266,데이터!$E$2:$E$20000,설정!$B$2)=0),"",$B266/SUMIFS(데이터!$C$2:$C$20000,데이터!$A$2:$A$20000,$A266,데이터!$E$2:$E$20000,설정!$B$2)-1),"")</f>
        <v/>
      </c>
      <c r="D266" s="5">
        <f>IFERROR(IF(OR($B266="",COUNTIFS(데이터!$A$2:$A$20000,$A266,데이터!$E$2:$E$20000,설정!$B$3)=0),"",$B266/SUMIFS(데이터!$C$2:$C$20000,데이터!$A$2:$A$20000,$A266,데이터!$E$2:$E$20000,설정!$B$3)-1),"")</f>
        <v/>
      </c>
      <c r="E266" s="5">
        <f>IFERROR(IF(OR($B266="",COUNTIFS(데이터!$A$2:$A$20000,$A266,데이터!$E$2:$E$20000,설정!$B$4)=0),"",$B266/SUMIFS(데이터!$C$2:$C$20000,데이터!$A$2:$A$20000,$A266,데이터!$E$2:$E$20000,설정!$B$4)-1),"")</f>
        <v/>
      </c>
      <c r="F266" s="5">
        <f>IFERROR(IF(OR($B266="",COUNTIFS(데이터!$A$2:$A$20000,$A266,데이터!$E$2:$E$20000,설정!$B$5)=0),"",$B266/SUMIFS(데이터!$C$2:$C$20000,데이터!$A$2:$A$20000,$A266,데이터!$E$2:$E$20000,설정!$B$5)-1),"")</f>
        <v/>
      </c>
      <c r="G266" s="5">
        <f>IFERROR(IF(OR($B266="",COUNTIFS(데이터!$A$2:$A$20000,$A266,데이터!$E$2:$E$20000,설정!$B$6)=0),"",$B266/SUMIFS(데이터!$C$2:$C$20000,데이터!$A$2:$A$20000,$A266,데이터!$E$2:$E$20000,설정!$B$6)-1),"")</f>
        <v/>
      </c>
      <c r="H266" s="5">
        <f>IFERROR(IF(OR($B266="",COUNTIFS(데이터!$A$2:$A$20000,$A266,데이터!$E$2:$E$20000,설정!$B$7)=0),"",$B266/SUMIFS(데이터!$C$2:$C$20000,데이터!$A$2:$A$20000,$A266,데이터!$E$2:$E$20000,설정!$B$7)-1),"")</f>
        <v/>
      </c>
      <c r="J266">
        <f>IF(C266="","",C266+ROW()*0.000000001)</f>
        <v/>
      </c>
      <c r="K266">
        <f>IF(D266="","",D266+ROW()*0.000000001)</f>
        <v/>
      </c>
      <c r="L266">
        <f>IF(E266="","",E266+ROW()*0.000000001)</f>
        <v/>
      </c>
      <c r="M266">
        <f>IF(F266="","",F266+ROW()*0.000000001)</f>
        <v/>
      </c>
      <c r="N266">
        <f>IF(G266="","",G266+ROW()*0.000000001)</f>
        <v/>
      </c>
      <c r="O266">
        <f>IF(H266="","",H266+ROW()*0.000000001)</f>
        <v/>
      </c>
    </row>
    <row r="267">
      <c r="B267" s="4">
        <f>IF($A267="","",IF(COUNTIFS(데이터!$A$2:$A$20000,$A267,데이터!$E$2:$E$20000,1)=0,"",SUMIFS(데이터!$C$2:$C$20000,데이터!$A$2:$A$20000,$A267,데이터!$E$2:$E$20000,1)))</f>
        <v/>
      </c>
      <c r="C267" s="5">
        <f>IFERROR(IF(OR($B267="",COUNTIFS(데이터!$A$2:$A$20000,$A267,데이터!$E$2:$E$20000,설정!$B$2)=0),"",$B267/SUMIFS(데이터!$C$2:$C$20000,데이터!$A$2:$A$20000,$A267,데이터!$E$2:$E$20000,설정!$B$2)-1),"")</f>
        <v/>
      </c>
      <c r="D267" s="5">
        <f>IFERROR(IF(OR($B267="",COUNTIFS(데이터!$A$2:$A$20000,$A267,데이터!$E$2:$E$20000,설정!$B$3)=0),"",$B267/SUMIFS(데이터!$C$2:$C$20000,데이터!$A$2:$A$20000,$A267,데이터!$E$2:$E$20000,설정!$B$3)-1),"")</f>
        <v/>
      </c>
      <c r="E267" s="5">
        <f>IFERROR(IF(OR($B267="",COUNTIFS(데이터!$A$2:$A$20000,$A267,데이터!$E$2:$E$20000,설정!$B$4)=0),"",$B267/SUMIFS(데이터!$C$2:$C$20000,데이터!$A$2:$A$20000,$A267,데이터!$E$2:$E$20000,설정!$B$4)-1),"")</f>
        <v/>
      </c>
      <c r="F267" s="5">
        <f>IFERROR(IF(OR($B267="",COUNTIFS(데이터!$A$2:$A$20000,$A267,데이터!$E$2:$E$20000,설정!$B$5)=0),"",$B267/SUMIFS(데이터!$C$2:$C$20000,데이터!$A$2:$A$20000,$A267,데이터!$E$2:$E$20000,설정!$B$5)-1),"")</f>
        <v/>
      </c>
      <c r="G267" s="5">
        <f>IFERROR(IF(OR($B267="",COUNTIFS(데이터!$A$2:$A$20000,$A267,데이터!$E$2:$E$20000,설정!$B$6)=0),"",$B267/SUMIFS(데이터!$C$2:$C$20000,데이터!$A$2:$A$20000,$A267,데이터!$E$2:$E$20000,설정!$B$6)-1),"")</f>
        <v/>
      </c>
      <c r="H267" s="5">
        <f>IFERROR(IF(OR($B267="",COUNTIFS(데이터!$A$2:$A$20000,$A267,데이터!$E$2:$E$20000,설정!$B$7)=0),"",$B267/SUMIFS(데이터!$C$2:$C$20000,데이터!$A$2:$A$20000,$A267,데이터!$E$2:$E$20000,설정!$B$7)-1),"")</f>
        <v/>
      </c>
      <c r="J267">
        <f>IF(C267="","",C267+ROW()*0.000000001)</f>
        <v/>
      </c>
      <c r="K267">
        <f>IF(D267="","",D267+ROW()*0.000000001)</f>
        <v/>
      </c>
      <c r="L267">
        <f>IF(E267="","",E267+ROW()*0.000000001)</f>
        <v/>
      </c>
      <c r="M267">
        <f>IF(F267="","",F267+ROW()*0.000000001)</f>
        <v/>
      </c>
      <c r="N267">
        <f>IF(G267="","",G267+ROW()*0.000000001)</f>
        <v/>
      </c>
      <c r="O267">
        <f>IF(H267="","",H267+ROW()*0.000000001)</f>
        <v/>
      </c>
    </row>
    <row r="268">
      <c r="B268" s="4">
        <f>IF($A268="","",IF(COUNTIFS(데이터!$A$2:$A$20000,$A268,데이터!$E$2:$E$20000,1)=0,"",SUMIFS(데이터!$C$2:$C$20000,데이터!$A$2:$A$20000,$A268,데이터!$E$2:$E$20000,1)))</f>
        <v/>
      </c>
      <c r="C268" s="5">
        <f>IFERROR(IF(OR($B268="",COUNTIFS(데이터!$A$2:$A$20000,$A268,데이터!$E$2:$E$20000,설정!$B$2)=0),"",$B268/SUMIFS(데이터!$C$2:$C$20000,데이터!$A$2:$A$20000,$A268,데이터!$E$2:$E$20000,설정!$B$2)-1),"")</f>
        <v/>
      </c>
      <c r="D268" s="5">
        <f>IFERROR(IF(OR($B268="",COUNTIFS(데이터!$A$2:$A$20000,$A268,데이터!$E$2:$E$20000,설정!$B$3)=0),"",$B268/SUMIFS(데이터!$C$2:$C$20000,데이터!$A$2:$A$20000,$A268,데이터!$E$2:$E$20000,설정!$B$3)-1),"")</f>
        <v/>
      </c>
      <c r="E268" s="5">
        <f>IFERROR(IF(OR($B268="",COUNTIFS(데이터!$A$2:$A$20000,$A268,데이터!$E$2:$E$20000,설정!$B$4)=0),"",$B268/SUMIFS(데이터!$C$2:$C$20000,데이터!$A$2:$A$20000,$A268,데이터!$E$2:$E$20000,설정!$B$4)-1),"")</f>
        <v/>
      </c>
      <c r="F268" s="5">
        <f>IFERROR(IF(OR($B268="",COUNTIFS(데이터!$A$2:$A$20000,$A268,데이터!$E$2:$E$20000,설정!$B$5)=0),"",$B268/SUMIFS(데이터!$C$2:$C$20000,데이터!$A$2:$A$20000,$A268,데이터!$E$2:$E$20000,설정!$B$5)-1),"")</f>
        <v/>
      </c>
      <c r="G268" s="5">
        <f>IFERROR(IF(OR($B268="",COUNTIFS(데이터!$A$2:$A$20000,$A268,데이터!$E$2:$E$20000,설정!$B$6)=0),"",$B268/SUMIFS(데이터!$C$2:$C$20000,데이터!$A$2:$A$20000,$A268,데이터!$E$2:$E$20000,설정!$B$6)-1),"")</f>
        <v/>
      </c>
      <c r="H268" s="5">
        <f>IFERROR(IF(OR($B268="",COUNTIFS(데이터!$A$2:$A$20000,$A268,데이터!$E$2:$E$20000,설정!$B$7)=0),"",$B268/SUMIFS(데이터!$C$2:$C$20000,데이터!$A$2:$A$20000,$A268,데이터!$E$2:$E$20000,설정!$B$7)-1),"")</f>
        <v/>
      </c>
      <c r="J268">
        <f>IF(C268="","",C268+ROW()*0.000000001)</f>
        <v/>
      </c>
      <c r="K268">
        <f>IF(D268="","",D268+ROW()*0.000000001)</f>
        <v/>
      </c>
      <c r="L268">
        <f>IF(E268="","",E268+ROW()*0.000000001)</f>
        <v/>
      </c>
      <c r="M268">
        <f>IF(F268="","",F268+ROW()*0.000000001)</f>
        <v/>
      </c>
      <c r="N268">
        <f>IF(G268="","",G268+ROW()*0.000000001)</f>
        <v/>
      </c>
      <c r="O268">
        <f>IF(H268="","",H268+ROW()*0.000000001)</f>
        <v/>
      </c>
    </row>
    <row r="269">
      <c r="B269" s="4">
        <f>IF($A269="","",IF(COUNTIFS(데이터!$A$2:$A$20000,$A269,데이터!$E$2:$E$20000,1)=0,"",SUMIFS(데이터!$C$2:$C$20000,데이터!$A$2:$A$20000,$A269,데이터!$E$2:$E$20000,1)))</f>
        <v/>
      </c>
      <c r="C269" s="5">
        <f>IFERROR(IF(OR($B269="",COUNTIFS(데이터!$A$2:$A$20000,$A269,데이터!$E$2:$E$20000,설정!$B$2)=0),"",$B269/SUMIFS(데이터!$C$2:$C$20000,데이터!$A$2:$A$20000,$A269,데이터!$E$2:$E$20000,설정!$B$2)-1),"")</f>
        <v/>
      </c>
      <c r="D269" s="5">
        <f>IFERROR(IF(OR($B269="",COUNTIFS(데이터!$A$2:$A$20000,$A269,데이터!$E$2:$E$20000,설정!$B$3)=0),"",$B269/SUMIFS(데이터!$C$2:$C$20000,데이터!$A$2:$A$20000,$A269,데이터!$E$2:$E$20000,설정!$B$3)-1),"")</f>
        <v/>
      </c>
      <c r="E269" s="5">
        <f>IFERROR(IF(OR($B269="",COUNTIFS(데이터!$A$2:$A$20000,$A269,데이터!$E$2:$E$20000,설정!$B$4)=0),"",$B269/SUMIFS(데이터!$C$2:$C$20000,데이터!$A$2:$A$20000,$A269,데이터!$E$2:$E$20000,설정!$B$4)-1),"")</f>
        <v/>
      </c>
      <c r="F269" s="5">
        <f>IFERROR(IF(OR($B269="",COUNTIFS(데이터!$A$2:$A$20000,$A269,데이터!$E$2:$E$20000,설정!$B$5)=0),"",$B269/SUMIFS(데이터!$C$2:$C$20000,데이터!$A$2:$A$20000,$A269,데이터!$E$2:$E$20000,설정!$B$5)-1),"")</f>
        <v/>
      </c>
      <c r="G269" s="5">
        <f>IFERROR(IF(OR($B269="",COUNTIFS(데이터!$A$2:$A$20000,$A269,데이터!$E$2:$E$20000,설정!$B$6)=0),"",$B269/SUMIFS(데이터!$C$2:$C$20000,데이터!$A$2:$A$20000,$A269,데이터!$E$2:$E$20000,설정!$B$6)-1),"")</f>
        <v/>
      </c>
      <c r="H269" s="5">
        <f>IFERROR(IF(OR($B269="",COUNTIFS(데이터!$A$2:$A$20000,$A269,데이터!$E$2:$E$20000,설정!$B$7)=0),"",$B269/SUMIFS(데이터!$C$2:$C$20000,데이터!$A$2:$A$20000,$A269,데이터!$E$2:$E$20000,설정!$B$7)-1),"")</f>
        <v/>
      </c>
      <c r="J269">
        <f>IF(C269="","",C269+ROW()*0.000000001)</f>
        <v/>
      </c>
      <c r="K269">
        <f>IF(D269="","",D269+ROW()*0.000000001)</f>
        <v/>
      </c>
      <c r="L269">
        <f>IF(E269="","",E269+ROW()*0.000000001)</f>
        <v/>
      </c>
      <c r="M269">
        <f>IF(F269="","",F269+ROW()*0.000000001)</f>
        <v/>
      </c>
      <c r="N269">
        <f>IF(G269="","",G269+ROW()*0.000000001)</f>
        <v/>
      </c>
      <c r="O269">
        <f>IF(H269="","",H269+ROW()*0.000000001)</f>
        <v/>
      </c>
    </row>
    <row r="270">
      <c r="B270" s="4">
        <f>IF($A270="","",IF(COUNTIFS(데이터!$A$2:$A$20000,$A270,데이터!$E$2:$E$20000,1)=0,"",SUMIFS(데이터!$C$2:$C$20000,데이터!$A$2:$A$20000,$A270,데이터!$E$2:$E$20000,1)))</f>
        <v/>
      </c>
      <c r="C270" s="5">
        <f>IFERROR(IF(OR($B270="",COUNTIFS(데이터!$A$2:$A$20000,$A270,데이터!$E$2:$E$20000,설정!$B$2)=0),"",$B270/SUMIFS(데이터!$C$2:$C$20000,데이터!$A$2:$A$20000,$A270,데이터!$E$2:$E$20000,설정!$B$2)-1),"")</f>
        <v/>
      </c>
      <c r="D270" s="5">
        <f>IFERROR(IF(OR($B270="",COUNTIFS(데이터!$A$2:$A$20000,$A270,데이터!$E$2:$E$20000,설정!$B$3)=0),"",$B270/SUMIFS(데이터!$C$2:$C$20000,데이터!$A$2:$A$20000,$A270,데이터!$E$2:$E$20000,설정!$B$3)-1),"")</f>
        <v/>
      </c>
      <c r="E270" s="5">
        <f>IFERROR(IF(OR($B270="",COUNTIFS(데이터!$A$2:$A$20000,$A270,데이터!$E$2:$E$20000,설정!$B$4)=0),"",$B270/SUMIFS(데이터!$C$2:$C$20000,데이터!$A$2:$A$20000,$A270,데이터!$E$2:$E$20000,설정!$B$4)-1),"")</f>
        <v/>
      </c>
      <c r="F270" s="5">
        <f>IFERROR(IF(OR($B270="",COUNTIFS(데이터!$A$2:$A$20000,$A270,데이터!$E$2:$E$20000,설정!$B$5)=0),"",$B270/SUMIFS(데이터!$C$2:$C$20000,데이터!$A$2:$A$20000,$A270,데이터!$E$2:$E$20000,설정!$B$5)-1),"")</f>
        <v/>
      </c>
      <c r="G270" s="5">
        <f>IFERROR(IF(OR($B270="",COUNTIFS(데이터!$A$2:$A$20000,$A270,데이터!$E$2:$E$20000,설정!$B$6)=0),"",$B270/SUMIFS(데이터!$C$2:$C$20000,데이터!$A$2:$A$20000,$A270,데이터!$E$2:$E$20000,설정!$B$6)-1),"")</f>
        <v/>
      </c>
      <c r="H270" s="5">
        <f>IFERROR(IF(OR($B270="",COUNTIFS(데이터!$A$2:$A$20000,$A270,데이터!$E$2:$E$20000,설정!$B$7)=0),"",$B270/SUMIFS(데이터!$C$2:$C$20000,데이터!$A$2:$A$20000,$A270,데이터!$E$2:$E$20000,설정!$B$7)-1),"")</f>
        <v/>
      </c>
      <c r="J270">
        <f>IF(C270="","",C270+ROW()*0.000000001)</f>
        <v/>
      </c>
      <c r="K270">
        <f>IF(D270="","",D270+ROW()*0.000000001)</f>
        <v/>
      </c>
      <c r="L270">
        <f>IF(E270="","",E270+ROW()*0.000000001)</f>
        <v/>
      </c>
      <c r="M270">
        <f>IF(F270="","",F270+ROW()*0.000000001)</f>
        <v/>
      </c>
      <c r="N270">
        <f>IF(G270="","",G270+ROW()*0.000000001)</f>
        <v/>
      </c>
      <c r="O270">
        <f>IF(H270="","",H270+ROW()*0.000000001)</f>
        <v/>
      </c>
    </row>
    <row r="271">
      <c r="B271" s="4">
        <f>IF($A271="","",IF(COUNTIFS(데이터!$A$2:$A$20000,$A271,데이터!$E$2:$E$20000,1)=0,"",SUMIFS(데이터!$C$2:$C$20000,데이터!$A$2:$A$20000,$A271,데이터!$E$2:$E$20000,1)))</f>
        <v/>
      </c>
      <c r="C271" s="5">
        <f>IFERROR(IF(OR($B271="",COUNTIFS(데이터!$A$2:$A$20000,$A271,데이터!$E$2:$E$20000,설정!$B$2)=0),"",$B271/SUMIFS(데이터!$C$2:$C$20000,데이터!$A$2:$A$20000,$A271,데이터!$E$2:$E$20000,설정!$B$2)-1),"")</f>
        <v/>
      </c>
      <c r="D271" s="5">
        <f>IFERROR(IF(OR($B271="",COUNTIFS(데이터!$A$2:$A$20000,$A271,데이터!$E$2:$E$20000,설정!$B$3)=0),"",$B271/SUMIFS(데이터!$C$2:$C$20000,데이터!$A$2:$A$20000,$A271,데이터!$E$2:$E$20000,설정!$B$3)-1),"")</f>
        <v/>
      </c>
      <c r="E271" s="5">
        <f>IFERROR(IF(OR($B271="",COUNTIFS(데이터!$A$2:$A$20000,$A271,데이터!$E$2:$E$20000,설정!$B$4)=0),"",$B271/SUMIFS(데이터!$C$2:$C$20000,데이터!$A$2:$A$20000,$A271,데이터!$E$2:$E$20000,설정!$B$4)-1),"")</f>
        <v/>
      </c>
      <c r="F271" s="5">
        <f>IFERROR(IF(OR($B271="",COUNTIFS(데이터!$A$2:$A$20000,$A271,데이터!$E$2:$E$20000,설정!$B$5)=0),"",$B271/SUMIFS(데이터!$C$2:$C$20000,데이터!$A$2:$A$20000,$A271,데이터!$E$2:$E$20000,설정!$B$5)-1),"")</f>
        <v/>
      </c>
      <c r="G271" s="5">
        <f>IFERROR(IF(OR($B271="",COUNTIFS(데이터!$A$2:$A$20000,$A271,데이터!$E$2:$E$20000,설정!$B$6)=0),"",$B271/SUMIFS(데이터!$C$2:$C$20000,데이터!$A$2:$A$20000,$A271,데이터!$E$2:$E$20000,설정!$B$6)-1),"")</f>
        <v/>
      </c>
      <c r="H271" s="5">
        <f>IFERROR(IF(OR($B271="",COUNTIFS(데이터!$A$2:$A$20000,$A271,데이터!$E$2:$E$20000,설정!$B$7)=0),"",$B271/SUMIFS(데이터!$C$2:$C$20000,데이터!$A$2:$A$20000,$A271,데이터!$E$2:$E$20000,설정!$B$7)-1),"")</f>
        <v/>
      </c>
      <c r="J271">
        <f>IF(C271="","",C271+ROW()*0.000000001)</f>
        <v/>
      </c>
      <c r="K271">
        <f>IF(D271="","",D271+ROW()*0.000000001)</f>
        <v/>
      </c>
      <c r="L271">
        <f>IF(E271="","",E271+ROW()*0.000000001)</f>
        <v/>
      </c>
      <c r="M271">
        <f>IF(F271="","",F271+ROW()*0.000000001)</f>
        <v/>
      </c>
      <c r="N271">
        <f>IF(G271="","",G271+ROW()*0.000000001)</f>
        <v/>
      </c>
      <c r="O271">
        <f>IF(H271="","",H271+ROW()*0.000000001)</f>
        <v/>
      </c>
    </row>
    <row r="272">
      <c r="B272" s="4">
        <f>IF($A272="","",IF(COUNTIFS(데이터!$A$2:$A$20000,$A272,데이터!$E$2:$E$20000,1)=0,"",SUMIFS(데이터!$C$2:$C$20000,데이터!$A$2:$A$20000,$A272,데이터!$E$2:$E$20000,1)))</f>
        <v/>
      </c>
      <c r="C272" s="5">
        <f>IFERROR(IF(OR($B272="",COUNTIFS(데이터!$A$2:$A$20000,$A272,데이터!$E$2:$E$20000,설정!$B$2)=0),"",$B272/SUMIFS(데이터!$C$2:$C$20000,데이터!$A$2:$A$20000,$A272,데이터!$E$2:$E$20000,설정!$B$2)-1),"")</f>
        <v/>
      </c>
      <c r="D272" s="5">
        <f>IFERROR(IF(OR($B272="",COUNTIFS(데이터!$A$2:$A$20000,$A272,데이터!$E$2:$E$20000,설정!$B$3)=0),"",$B272/SUMIFS(데이터!$C$2:$C$20000,데이터!$A$2:$A$20000,$A272,데이터!$E$2:$E$20000,설정!$B$3)-1),"")</f>
        <v/>
      </c>
      <c r="E272" s="5">
        <f>IFERROR(IF(OR($B272="",COUNTIFS(데이터!$A$2:$A$20000,$A272,데이터!$E$2:$E$20000,설정!$B$4)=0),"",$B272/SUMIFS(데이터!$C$2:$C$20000,데이터!$A$2:$A$20000,$A272,데이터!$E$2:$E$20000,설정!$B$4)-1),"")</f>
        <v/>
      </c>
      <c r="F272" s="5">
        <f>IFERROR(IF(OR($B272="",COUNTIFS(데이터!$A$2:$A$20000,$A272,데이터!$E$2:$E$20000,설정!$B$5)=0),"",$B272/SUMIFS(데이터!$C$2:$C$20000,데이터!$A$2:$A$20000,$A272,데이터!$E$2:$E$20000,설정!$B$5)-1),"")</f>
        <v/>
      </c>
      <c r="G272" s="5">
        <f>IFERROR(IF(OR($B272="",COUNTIFS(데이터!$A$2:$A$20000,$A272,데이터!$E$2:$E$20000,설정!$B$6)=0),"",$B272/SUMIFS(데이터!$C$2:$C$20000,데이터!$A$2:$A$20000,$A272,데이터!$E$2:$E$20000,설정!$B$6)-1),"")</f>
        <v/>
      </c>
      <c r="H272" s="5">
        <f>IFERROR(IF(OR($B272="",COUNTIFS(데이터!$A$2:$A$20000,$A272,데이터!$E$2:$E$20000,설정!$B$7)=0),"",$B272/SUMIFS(데이터!$C$2:$C$20000,데이터!$A$2:$A$20000,$A272,데이터!$E$2:$E$20000,설정!$B$7)-1),"")</f>
        <v/>
      </c>
      <c r="J272">
        <f>IF(C272="","",C272+ROW()*0.000000001)</f>
        <v/>
      </c>
      <c r="K272">
        <f>IF(D272="","",D272+ROW()*0.000000001)</f>
        <v/>
      </c>
      <c r="L272">
        <f>IF(E272="","",E272+ROW()*0.000000001)</f>
        <v/>
      </c>
      <c r="M272">
        <f>IF(F272="","",F272+ROW()*0.000000001)</f>
        <v/>
      </c>
      <c r="N272">
        <f>IF(G272="","",G272+ROW()*0.000000001)</f>
        <v/>
      </c>
      <c r="O272">
        <f>IF(H272="","",H272+ROW()*0.000000001)</f>
        <v/>
      </c>
    </row>
    <row r="273">
      <c r="B273" s="4">
        <f>IF($A273="","",IF(COUNTIFS(데이터!$A$2:$A$20000,$A273,데이터!$E$2:$E$20000,1)=0,"",SUMIFS(데이터!$C$2:$C$20000,데이터!$A$2:$A$20000,$A273,데이터!$E$2:$E$20000,1)))</f>
        <v/>
      </c>
      <c r="C273" s="5">
        <f>IFERROR(IF(OR($B273="",COUNTIFS(데이터!$A$2:$A$20000,$A273,데이터!$E$2:$E$20000,설정!$B$2)=0),"",$B273/SUMIFS(데이터!$C$2:$C$20000,데이터!$A$2:$A$20000,$A273,데이터!$E$2:$E$20000,설정!$B$2)-1),"")</f>
        <v/>
      </c>
      <c r="D273" s="5">
        <f>IFERROR(IF(OR($B273="",COUNTIFS(데이터!$A$2:$A$20000,$A273,데이터!$E$2:$E$20000,설정!$B$3)=0),"",$B273/SUMIFS(데이터!$C$2:$C$20000,데이터!$A$2:$A$20000,$A273,데이터!$E$2:$E$20000,설정!$B$3)-1),"")</f>
        <v/>
      </c>
      <c r="E273" s="5">
        <f>IFERROR(IF(OR($B273="",COUNTIFS(데이터!$A$2:$A$20000,$A273,데이터!$E$2:$E$20000,설정!$B$4)=0),"",$B273/SUMIFS(데이터!$C$2:$C$20000,데이터!$A$2:$A$20000,$A273,데이터!$E$2:$E$20000,설정!$B$4)-1),"")</f>
        <v/>
      </c>
      <c r="F273" s="5">
        <f>IFERROR(IF(OR($B273="",COUNTIFS(데이터!$A$2:$A$20000,$A273,데이터!$E$2:$E$20000,설정!$B$5)=0),"",$B273/SUMIFS(데이터!$C$2:$C$20000,데이터!$A$2:$A$20000,$A273,데이터!$E$2:$E$20000,설정!$B$5)-1),"")</f>
        <v/>
      </c>
      <c r="G273" s="5">
        <f>IFERROR(IF(OR($B273="",COUNTIFS(데이터!$A$2:$A$20000,$A273,데이터!$E$2:$E$20000,설정!$B$6)=0),"",$B273/SUMIFS(데이터!$C$2:$C$20000,데이터!$A$2:$A$20000,$A273,데이터!$E$2:$E$20000,설정!$B$6)-1),"")</f>
        <v/>
      </c>
      <c r="H273" s="5">
        <f>IFERROR(IF(OR($B273="",COUNTIFS(데이터!$A$2:$A$20000,$A273,데이터!$E$2:$E$20000,설정!$B$7)=0),"",$B273/SUMIFS(데이터!$C$2:$C$20000,데이터!$A$2:$A$20000,$A273,데이터!$E$2:$E$20000,설정!$B$7)-1),"")</f>
        <v/>
      </c>
      <c r="J273">
        <f>IF(C273="","",C273+ROW()*0.000000001)</f>
        <v/>
      </c>
      <c r="K273">
        <f>IF(D273="","",D273+ROW()*0.000000001)</f>
        <v/>
      </c>
      <c r="L273">
        <f>IF(E273="","",E273+ROW()*0.000000001)</f>
        <v/>
      </c>
      <c r="M273">
        <f>IF(F273="","",F273+ROW()*0.000000001)</f>
        <v/>
      </c>
      <c r="N273">
        <f>IF(G273="","",G273+ROW()*0.000000001)</f>
        <v/>
      </c>
      <c r="O273">
        <f>IF(H273="","",H273+ROW()*0.000000001)</f>
        <v/>
      </c>
    </row>
    <row r="274">
      <c r="B274" s="4">
        <f>IF($A274="","",IF(COUNTIFS(데이터!$A$2:$A$20000,$A274,데이터!$E$2:$E$20000,1)=0,"",SUMIFS(데이터!$C$2:$C$20000,데이터!$A$2:$A$20000,$A274,데이터!$E$2:$E$20000,1)))</f>
        <v/>
      </c>
      <c r="C274" s="5">
        <f>IFERROR(IF(OR($B274="",COUNTIFS(데이터!$A$2:$A$20000,$A274,데이터!$E$2:$E$20000,설정!$B$2)=0),"",$B274/SUMIFS(데이터!$C$2:$C$20000,데이터!$A$2:$A$20000,$A274,데이터!$E$2:$E$20000,설정!$B$2)-1),"")</f>
        <v/>
      </c>
      <c r="D274" s="5">
        <f>IFERROR(IF(OR($B274="",COUNTIFS(데이터!$A$2:$A$20000,$A274,데이터!$E$2:$E$20000,설정!$B$3)=0),"",$B274/SUMIFS(데이터!$C$2:$C$20000,데이터!$A$2:$A$20000,$A274,데이터!$E$2:$E$20000,설정!$B$3)-1),"")</f>
        <v/>
      </c>
      <c r="E274" s="5">
        <f>IFERROR(IF(OR($B274="",COUNTIFS(데이터!$A$2:$A$20000,$A274,데이터!$E$2:$E$20000,설정!$B$4)=0),"",$B274/SUMIFS(데이터!$C$2:$C$20000,데이터!$A$2:$A$20000,$A274,데이터!$E$2:$E$20000,설정!$B$4)-1),"")</f>
        <v/>
      </c>
      <c r="F274" s="5">
        <f>IFERROR(IF(OR($B274="",COUNTIFS(데이터!$A$2:$A$20000,$A274,데이터!$E$2:$E$20000,설정!$B$5)=0),"",$B274/SUMIFS(데이터!$C$2:$C$20000,데이터!$A$2:$A$20000,$A274,데이터!$E$2:$E$20000,설정!$B$5)-1),"")</f>
        <v/>
      </c>
      <c r="G274" s="5">
        <f>IFERROR(IF(OR($B274="",COUNTIFS(데이터!$A$2:$A$20000,$A274,데이터!$E$2:$E$20000,설정!$B$6)=0),"",$B274/SUMIFS(데이터!$C$2:$C$20000,데이터!$A$2:$A$20000,$A274,데이터!$E$2:$E$20000,설정!$B$6)-1),"")</f>
        <v/>
      </c>
      <c r="H274" s="5">
        <f>IFERROR(IF(OR($B274="",COUNTIFS(데이터!$A$2:$A$20000,$A274,데이터!$E$2:$E$20000,설정!$B$7)=0),"",$B274/SUMIFS(데이터!$C$2:$C$20000,데이터!$A$2:$A$20000,$A274,데이터!$E$2:$E$20000,설정!$B$7)-1),"")</f>
        <v/>
      </c>
      <c r="J274">
        <f>IF(C274="","",C274+ROW()*0.000000001)</f>
        <v/>
      </c>
      <c r="K274">
        <f>IF(D274="","",D274+ROW()*0.000000001)</f>
        <v/>
      </c>
      <c r="L274">
        <f>IF(E274="","",E274+ROW()*0.000000001)</f>
        <v/>
      </c>
      <c r="M274">
        <f>IF(F274="","",F274+ROW()*0.000000001)</f>
        <v/>
      </c>
      <c r="N274">
        <f>IF(G274="","",G274+ROW()*0.000000001)</f>
        <v/>
      </c>
      <c r="O274">
        <f>IF(H274="","",H274+ROW()*0.000000001)</f>
        <v/>
      </c>
    </row>
    <row r="275">
      <c r="B275" s="4">
        <f>IF($A275="","",IF(COUNTIFS(데이터!$A$2:$A$20000,$A275,데이터!$E$2:$E$20000,1)=0,"",SUMIFS(데이터!$C$2:$C$20000,데이터!$A$2:$A$20000,$A275,데이터!$E$2:$E$20000,1)))</f>
        <v/>
      </c>
      <c r="C275" s="5">
        <f>IFERROR(IF(OR($B275="",COUNTIFS(데이터!$A$2:$A$20000,$A275,데이터!$E$2:$E$20000,설정!$B$2)=0),"",$B275/SUMIFS(데이터!$C$2:$C$20000,데이터!$A$2:$A$20000,$A275,데이터!$E$2:$E$20000,설정!$B$2)-1),"")</f>
        <v/>
      </c>
      <c r="D275" s="5">
        <f>IFERROR(IF(OR($B275="",COUNTIFS(데이터!$A$2:$A$20000,$A275,데이터!$E$2:$E$20000,설정!$B$3)=0),"",$B275/SUMIFS(데이터!$C$2:$C$20000,데이터!$A$2:$A$20000,$A275,데이터!$E$2:$E$20000,설정!$B$3)-1),"")</f>
        <v/>
      </c>
      <c r="E275" s="5">
        <f>IFERROR(IF(OR($B275="",COUNTIFS(데이터!$A$2:$A$20000,$A275,데이터!$E$2:$E$20000,설정!$B$4)=0),"",$B275/SUMIFS(데이터!$C$2:$C$20000,데이터!$A$2:$A$20000,$A275,데이터!$E$2:$E$20000,설정!$B$4)-1),"")</f>
        <v/>
      </c>
      <c r="F275" s="5">
        <f>IFERROR(IF(OR($B275="",COUNTIFS(데이터!$A$2:$A$20000,$A275,데이터!$E$2:$E$20000,설정!$B$5)=0),"",$B275/SUMIFS(데이터!$C$2:$C$20000,데이터!$A$2:$A$20000,$A275,데이터!$E$2:$E$20000,설정!$B$5)-1),"")</f>
        <v/>
      </c>
      <c r="G275" s="5">
        <f>IFERROR(IF(OR($B275="",COUNTIFS(데이터!$A$2:$A$20000,$A275,데이터!$E$2:$E$20000,설정!$B$6)=0),"",$B275/SUMIFS(데이터!$C$2:$C$20000,데이터!$A$2:$A$20000,$A275,데이터!$E$2:$E$20000,설정!$B$6)-1),"")</f>
        <v/>
      </c>
      <c r="H275" s="5">
        <f>IFERROR(IF(OR($B275="",COUNTIFS(데이터!$A$2:$A$20000,$A275,데이터!$E$2:$E$20000,설정!$B$7)=0),"",$B275/SUMIFS(데이터!$C$2:$C$20000,데이터!$A$2:$A$20000,$A275,데이터!$E$2:$E$20000,설정!$B$7)-1),"")</f>
        <v/>
      </c>
      <c r="J275">
        <f>IF(C275="","",C275+ROW()*0.000000001)</f>
        <v/>
      </c>
      <c r="K275">
        <f>IF(D275="","",D275+ROW()*0.000000001)</f>
        <v/>
      </c>
      <c r="L275">
        <f>IF(E275="","",E275+ROW()*0.000000001)</f>
        <v/>
      </c>
      <c r="M275">
        <f>IF(F275="","",F275+ROW()*0.000000001)</f>
        <v/>
      </c>
      <c r="N275">
        <f>IF(G275="","",G275+ROW()*0.000000001)</f>
        <v/>
      </c>
      <c r="O275">
        <f>IF(H275="","",H275+ROW()*0.000000001)</f>
        <v/>
      </c>
    </row>
    <row r="276">
      <c r="B276" s="4">
        <f>IF($A276="","",IF(COUNTIFS(데이터!$A$2:$A$20000,$A276,데이터!$E$2:$E$20000,1)=0,"",SUMIFS(데이터!$C$2:$C$20000,데이터!$A$2:$A$20000,$A276,데이터!$E$2:$E$20000,1)))</f>
        <v/>
      </c>
      <c r="C276" s="5">
        <f>IFERROR(IF(OR($B276="",COUNTIFS(데이터!$A$2:$A$20000,$A276,데이터!$E$2:$E$20000,설정!$B$2)=0),"",$B276/SUMIFS(데이터!$C$2:$C$20000,데이터!$A$2:$A$20000,$A276,데이터!$E$2:$E$20000,설정!$B$2)-1),"")</f>
        <v/>
      </c>
      <c r="D276" s="5">
        <f>IFERROR(IF(OR($B276="",COUNTIFS(데이터!$A$2:$A$20000,$A276,데이터!$E$2:$E$20000,설정!$B$3)=0),"",$B276/SUMIFS(데이터!$C$2:$C$20000,데이터!$A$2:$A$20000,$A276,데이터!$E$2:$E$20000,설정!$B$3)-1),"")</f>
        <v/>
      </c>
      <c r="E276" s="5">
        <f>IFERROR(IF(OR($B276="",COUNTIFS(데이터!$A$2:$A$20000,$A276,데이터!$E$2:$E$20000,설정!$B$4)=0),"",$B276/SUMIFS(데이터!$C$2:$C$20000,데이터!$A$2:$A$20000,$A276,데이터!$E$2:$E$20000,설정!$B$4)-1),"")</f>
        <v/>
      </c>
      <c r="F276" s="5">
        <f>IFERROR(IF(OR($B276="",COUNTIFS(데이터!$A$2:$A$20000,$A276,데이터!$E$2:$E$20000,설정!$B$5)=0),"",$B276/SUMIFS(데이터!$C$2:$C$20000,데이터!$A$2:$A$20000,$A276,데이터!$E$2:$E$20000,설정!$B$5)-1),"")</f>
        <v/>
      </c>
      <c r="G276" s="5">
        <f>IFERROR(IF(OR($B276="",COUNTIFS(데이터!$A$2:$A$20000,$A276,데이터!$E$2:$E$20000,설정!$B$6)=0),"",$B276/SUMIFS(데이터!$C$2:$C$20000,데이터!$A$2:$A$20000,$A276,데이터!$E$2:$E$20000,설정!$B$6)-1),"")</f>
        <v/>
      </c>
      <c r="H276" s="5">
        <f>IFERROR(IF(OR($B276="",COUNTIFS(데이터!$A$2:$A$20000,$A276,데이터!$E$2:$E$20000,설정!$B$7)=0),"",$B276/SUMIFS(데이터!$C$2:$C$20000,데이터!$A$2:$A$20000,$A276,데이터!$E$2:$E$20000,설정!$B$7)-1),"")</f>
        <v/>
      </c>
      <c r="J276">
        <f>IF(C276="","",C276+ROW()*0.000000001)</f>
        <v/>
      </c>
      <c r="K276">
        <f>IF(D276="","",D276+ROW()*0.000000001)</f>
        <v/>
      </c>
      <c r="L276">
        <f>IF(E276="","",E276+ROW()*0.000000001)</f>
        <v/>
      </c>
      <c r="M276">
        <f>IF(F276="","",F276+ROW()*0.000000001)</f>
        <v/>
      </c>
      <c r="N276">
        <f>IF(G276="","",G276+ROW()*0.000000001)</f>
        <v/>
      </c>
      <c r="O276">
        <f>IF(H276="","",H276+ROW()*0.000000001)</f>
        <v/>
      </c>
    </row>
    <row r="277">
      <c r="B277" s="4">
        <f>IF($A277="","",IF(COUNTIFS(데이터!$A$2:$A$20000,$A277,데이터!$E$2:$E$20000,1)=0,"",SUMIFS(데이터!$C$2:$C$20000,데이터!$A$2:$A$20000,$A277,데이터!$E$2:$E$20000,1)))</f>
        <v/>
      </c>
      <c r="C277" s="5">
        <f>IFERROR(IF(OR($B277="",COUNTIFS(데이터!$A$2:$A$20000,$A277,데이터!$E$2:$E$20000,설정!$B$2)=0),"",$B277/SUMIFS(데이터!$C$2:$C$20000,데이터!$A$2:$A$20000,$A277,데이터!$E$2:$E$20000,설정!$B$2)-1),"")</f>
        <v/>
      </c>
      <c r="D277" s="5">
        <f>IFERROR(IF(OR($B277="",COUNTIFS(데이터!$A$2:$A$20000,$A277,데이터!$E$2:$E$20000,설정!$B$3)=0),"",$B277/SUMIFS(데이터!$C$2:$C$20000,데이터!$A$2:$A$20000,$A277,데이터!$E$2:$E$20000,설정!$B$3)-1),"")</f>
        <v/>
      </c>
      <c r="E277" s="5">
        <f>IFERROR(IF(OR($B277="",COUNTIFS(데이터!$A$2:$A$20000,$A277,데이터!$E$2:$E$20000,설정!$B$4)=0),"",$B277/SUMIFS(데이터!$C$2:$C$20000,데이터!$A$2:$A$20000,$A277,데이터!$E$2:$E$20000,설정!$B$4)-1),"")</f>
        <v/>
      </c>
      <c r="F277" s="5">
        <f>IFERROR(IF(OR($B277="",COUNTIFS(데이터!$A$2:$A$20000,$A277,데이터!$E$2:$E$20000,설정!$B$5)=0),"",$B277/SUMIFS(데이터!$C$2:$C$20000,데이터!$A$2:$A$20000,$A277,데이터!$E$2:$E$20000,설정!$B$5)-1),"")</f>
        <v/>
      </c>
      <c r="G277" s="5">
        <f>IFERROR(IF(OR($B277="",COUNTIFS(데이터!$A$2:$A$20000,$A277,데이터!$E$2:$E$20000,설정!$B$6)=0),"",$B277/SUMIFS(데이터!$C$2:$C$20000,데이터!$A$2:$A$20000,$A277,데이터!$E$2:$E$20000,설정!$B$6)-1),"")</f>
        <v/>
      </c>
      <c r="H277" s="5">
        <f>IFERROR(IF(OR($B277="",COUNTIFS(데이터!$A$2:$A$20000,$A277,데이터!$E$2:$E$20000,설정!$B$7)=0),"",$B277/SUMIFS(데이터!$C$2:$C$20000,데이터!$A$2:$A$20000,$A277,데이터!$E$2:$E$20000,설정!$B$7)-1),"")</f>
        <v/>
      </c>
      <c r="J277">
        <f>IF(C277="","",C277+ROW()*0.000000001)</f>
        <v/>
      </c>
      <c r="K277">
        <f>IF(D277="","",D277+ROW()*0.000000001)</f>
        <v/>
      </c>
      <c r="L277">
        <f>IF(E277="","",E277+ROW()*0.000000001)</f>
        <v/>
      </c>
      <c r="M277">
        <f>IF(F277="","",F277+ROW()*0.000000001)</f>
        <v/>
      </c>
      <c r="N277">
        <f>IF(G277="","",G277+ROW()*0.000000001)</f>
        <v/>
      </c>
      <c r="O277">
        <f>IF(H277="","",H277+ROW()*0.000000001)</f>
        <v/>
      </c>
    </row>
    <row r="278">
      <c r="B278" s="4">
        <f>IF($A278="","",IF(COUNTIFS(데이터!$A$2:$A$20000,$A278,데이터!$E$2:$E$20000,1)=0,"",SUMIFS(데이터!$C$2:$C$20000,데이터!$A$2:$A$20000,$A278,데이터!$E$2:$E$20000,1)))</f>
        <v/>
      </c>
      <c r="C278" s="5">
        <f>IFERROR(IF(OR($B278="",COUNTIFS(데이터!$A$2:$A$20000,$A278,데이터!$E$2:$E$20000,설정!$B$2)=0),"",$B278/SUMIFS(데이터!$C$2:$C$20000,데이터!$A$2:$A$20000,$A278,데이터!$E$2:$E$20000,설정!$B$2)-1),"")</f>
        <v/>
      </c>
      <c r="D278" s="5">
        <f>IFERROR(IF(OR($B278="",COUNTIFS(데이터!$A$2:$A$20000,$A278,데이터!$E$2:$E$20000,설정!$B$3)=0),"",$B278/SUMIFS(데이터!$C$2:$C$20000,데이터!$A$2:$A$20000,$A278,데이터!$E$2:$E$20000,설정!$B$3)-1),"")</f>
        <v/>
      </c>
      <c r="E278" s="5">
        <f>IFERROR(IF(OR($B278="",COUNTIFS(데이터!$A$2:$A$20000,$A278,데이터!$E$2:$E$20000,설정!$B$4)=0),"",$B278/SUMIFS(데이터!$C$2:$C$20000,데이터!$A$2:$A$20000,$A278,데이터!$E$2:$E$20000,설정!$B$4)-1),"")</f>
        <v/>
      </c>
      <c r="F278" s="5">
        <f>IFERROR(IF(OR($B278="",COUNTIFS(데이터!$A$2:$A$20000,$A278,데이터!$E$2:$E$20000,설정!$B$5)=0),"",$B278/SUMIFS(데이터!$C$2:$C$20000,데이터!$A$2:$A$20000,$A278,데이터!$E$2:$E$20000,설정!$B$5)-1),"")</f>
        <v/>
      </c>
      <c r="G278" s="5">
        <f>IFERROR(IF(OR($B278="",COUNTIFS(데이터!$A$2:$A$20000,$A278,데이터!$E$2:$E$20000,설정!$B$6)=0),"",$B278/SUMIFS(데이터!$C$2:$C$20000,데이터!$A$2:$A$20000,$A278,데이터!$E$2:$E$20000,설정!$B$6)-1),"")</f>
        <v/>
      </c>
      <c r="H278" s="5">
        <f>IFERROR(IF(OR($B278="",COUNTIFS(데이터!$A$2:$A$20000,$A278,데이터!$E$2:$E$20000,설정!$B$7)=0),"",$B278/SUMIFS(데이터!$C$2:$C$20000,데이터!$A$2:$A$20000,$A278,데이터!$E$2:$E$20000,설정!$B$7)-1),"")</f>
        <v/>
      </c>
      <c r="J278">
        <f>IF(C278="","",C278+ROW()*0.000000001)</f>
        <v/>
      </c>
      <c r="K278">
        <f>IF(D278="","",D278+ROW()*0.000000001)</f>
        <v/>
      </c>
      <c r="L278">
        <f>IF(E278="","",E278+ROW()*0.000000001)</f>
        <v/>
      </c>
      <c r="M278">
        <f>IF(F278="","",F278+ROW()*0.000000001)</f>
        <v/>
      </c>
      <c r="N278">
        <f>IF(G278="","",G278+ROW()*0.000000001)</f>
        <v/>
      </c>
      <c r="O278">
        <f>IF(H278="","",H278+ROW()*0.000000001)</f>
        <v/>
      </c>
    </row>
    <row r="279">
      <c r="B279" s="4">
        <f>IF($A279="","",IF(COUNTIFS(데이터!$A$2:$A$20000,$A279,데이터!$E$2:$E$20000,1)=0,"",SUMIFS(데이터!$C$2:$C$20000,데이터!$A$2:$A$20000,$A279,데이터!$E$2:$E$20000,1)))</f>
        <v/>
      </c>
      <c r="C279" s="5">
        <f>IFERROR(IF(OR($B279="",COUNTIFS(데이터!$A$2:$A$20000,$A279,데이터!$E$2:$E$20000,설정!$B$2)=0),"",$B279/SUMIFS(데이터!$C$2:$C$20000,데이터!$A$2:$A$20000,$A279,데이터!$E$2:$E$20000,설정!$B$2)-1),"")</f>
        <v/>
      </c>
      <c r="D279" s="5">
        <f>IFERROR(IF(OR($B279="",COUNTIFS(데이터!$A$2:$A$20000,$A279,데이터!$E$2:$E$20000,설정!$B$3)=0),"",$B279/SUMIFS(데이터!$C$2:$C$20000,데이터!$A$2:$A$20000,$A279,데이터!$E$2:$E$20000,설정!$B$3)-1),"")</f>
        <v/>
      </c>
      <c r="E279" s="5">
        <f>IFERROR(IF(OR($B279="",COUNTIFS(데이터!$A$2:$A$20000,$A279,데이터!$E$2:$E$20000,설정!$B$4)=0),"",$B279/SUMIFS(데이터!$C$2:$C$20000,데이터!$A$2:$A$20000,$A279,데이터!$E$2:$E$20000,설정!$B$4)-1),"")</f>
        <v/>
      </c>
      <c r="F279" s="5">
        <f>IFERROR(IF(OR($B279="",COUNTIFS(데이터!$A$2:$A$20000,$A279,데이터!$E$2:$E$20000,설정!$B$5)=0),"",$B279/SUMIFS(데이터!$C$2:$C$20000,데이터!$A$2:$A$20000,$A279,데이터!$E$2:$E$20000,설정!$B$5)-1),"")</f>
        <v/>
      </c>
      <c r="G279" s="5">
        <f>IFERROR(IF(OR($B279="",COUNTIFS(데이터!$A$2:$A$20000,$A279,데이터!$E$2:$E$20000,설정!$B$6)=0),"",$B279/SUMIFS(데이터!$C$2:$C$20000,데이터!$A$2:$A$20000,$A279,데이터!$E$2:$E$20000,설정!$B$6)-1),"")</f>
        <v/>
      </c>
      <c r="H279" s="5">
        <f>IFERROR(IF(OR($B279="",COUNTIFS(데이터!$A$2:$A$20000,$A279,데이터!$E$2:$E$20000,설정!$B$7)=0),"",$B279/SUMIFS(데이터!$C$2:$C$20000,데이터!$A$2:$A$20000,$A279,데이터!$E$2:$E$20000,설정!$B$7)-1),"")</f>
        <v/>
      </c>
      <c r="J279">
        <f>IF(C279="","",C279+ROW()*0.000000001)</f>
        <v/>
      </c>
      <c r="K279">
        <f>IF(D279="","",D279+ROW()*0.000000001)</f>
        <v/>
      </c>
      <c r="L279">
        <f>IF(E279="","",E279+ROW()*0.000000001)</f>
        <v/>
      </c>
      <c r="M279">
        <f>IF(F279="","",F279+ROW()*0.000000001)</f>
        <v/>
      </c>
      <c r="N279">
        <f>IF(G279="","",G279+ROW()*0.000000001)</f>
        <v/>
      </c>
      <c r="O279">
        <f>IF(H279="","",H279+ROW()*0.000000001)</f>
        <v/>
      </c>
    </row>
    <row r="280">
      <c r="B280" s="4">
        <f>IF($A280="","",IF(COUNTIFS(데이터!$A$2:$A$20000,$A280,데이터!$E$2:$E$20000,1)=0,"",SUMIFS(데이터!$C$2:$C$20000,데이터!$A$2:$A$20000,$A280,데이터!$E$2:$E$20000,1)))</f>
        <v/>
      </c>
      <c r="C280" s="5">
        <f>IFERROR(IF(OR($B280="",COUNTIFS(데이터!$A$2:$A$20000,$A280,데이터!$E$2:$E$20000,설정!$B$2)=0),"",$B280/SUMIFS(데이터!$C$2:$C$20000,데이터!$A$2:$A$20000,$A280,데이터!$E$2:$E$20000,설정!$B$2)-1),"")</f>
        <v/>
      </c>
      <c r="D280" s="5">
        <f>IFERROR(IF(OR($B280="",COUNTIFS(데이터!$A$2:$A$20000,$A280,데이터!$E$2:$E$20000,설정!$B$3)=0),"",$B280/SUMIFS(데이터!$C$2:$C$20000,데이터!$A$2:$A$20000,$A280,데이터!$E$2:$E$20000,설정!$B$3)-1),"")</f>
        <v/>
      </c>
      <c r="E280" s="5">
        <f>IFERROR(IF(OR($B280="",COUNTIFS(데이터!$A$2:$A$20000,$A280,데이터!$E$2:$E$20000,설정!$B$4)=0),"",$B280/SUMIFS(데이터!$C$2:$C$20000,데이터!$A$2:$A$20000,$A280,데이터!$E$2:$E$20000,설정!$B$4)-1),"")</f>
        <v/>
      </c>
      <c r="F280" s="5">
        <f>IFERROR(IF(OR($B280="",COUNTIFS(데이터!$A$2:$A$20000,$A280,데이터!$E$2:$E$20000,설정!$B$5)=0),"",$B280/SUMIFS(데이터!$C$2:$C$20000,데이터!$A$2:$A$20000,$A280,데이터!$E$2:$E$20000,설정!$B$5)-1),"")</f>
        <v/>
      </c>
      <c r="G280" s="5">
        <f>IFERROR(IF(OR($B280="",COUNTIFS(데이터!$A$2:$A$20000,$A280,데이터!$E$2:$E$20000,설정!$B$6)=0),"",$B280/SUMIFS(데이터!$C$2:$C$20000,데이터!$A$2:$A$20000,$A280,데이터!$E$2:$E$20000,설정!$B$6)-1),"")</f>
        <v/>
      </c>
      <c r="H280" s="5">
        <f>IFERROR(IF(OR($B280="",COUNTIFS(데이터!$A$2:$A$20000,$A280,데이터!$E$2:$E$20000,설정!$B$7)=0),"",$B280/SUMIFS(데이터!$C$2:$C$20000,데이터!$A$2:$A$20000,$A280,데이터!$E$2:$E$20000,설정!$B$7)-1),"")</f>
        <v/>
      </c>
      <c r="J280">
        <f>IF(C280="","",C280+ROW()*0.000000001)</f>
        <v/>
      </c>
      <c r="K280">
        <f>IF(D280="","",D280+ROW()*0.000000001)</f>
        <v/>
      </c>
      <c r="L280">
        <f>IF(E280="","",E280+ROW()*0.000000001)</f>
        <v/>
      </c>
      <c r="M280">
        <f>IF(F280="","",F280+ROW()*0.000000001)</f>
        <v/>
      </c>
      <c r="N280">
        <f>IF(G280="","",G280+ROW()*0.000000001)</f>
        <v/>
      </c>
      <c r="O280">
        <f>IF(H280="","",H280+ROW()*0.000000001)</f>
        <v/>
      </c>
    </row>
    <row r="281">
      <c r="B281" s="4">
        <f>IF($A281="","",IF(COUNTIFS(데이터!$A$2:$A$20000,$A281,데이터!$E$2:$E$20000,1)=0,"",SUMIFS(데이터!$C$2:$C$20000,데이터!$A$2:$A$20000,$A281,데이터!$E$2:$E$20000,1)))</f>
        <v/>
      </c>
      <c r="C281" s="5">
        <f>IFERROR(IF(OR($B281="",COUNTIFS(데이터!$A$2:$A$20000,$A281,데이터!$E$2:$E$20000,설정!$B$2)=0),"",$B281/SUMIFS(데이터!$C$2:$C$20000,데이터!$A$2:$A$20000,$A281,데이터!$E$2:$E$20000,설정!$B$2)-1),"")</f>
        <v/>
      </c>
      <c r="D281" s="5">
        <f>IFERROR(IF(OR($B281="",COUNTIFS(데이터!$A$2:$A$20000,$A281,데이터!$E$2:$E$20000,설정!$B$3)=0),"",$B281/SUMIFS(데이터!$C$2:$C$20000,데이터!$A$2:$A$20000,$A281,데이터!$E$2:$E$20000,설정!$B$3)-1),"")</f>
        <v/>
      </c>
      <c r="E281" s="5">
        <f>IFERROR(IF(OR($B281="",COUNTIFS(데이터!$A$2:$A$20000,$A281,데이터!$E$2:$E$20000,설정!$B$4)=0),"",$B281/SUMIFS(데이터!$C$2:$C$20000,데이터!$A$2:$A$20000,$A281,데이터!$E$2:$E$20000,설정!$B$4)-1),"")</f>
        <v/>
      </c>
      <c r="F281" s="5">
        <f>IFERROR(IF(OR($B281="",COUNTIFS(데이터!$A$2:$A$20000,$A281,데이터!$E$2:$E$20000,설정!$B$5)=0),"",$B281/SUMIFS(데이터!$C$2:$C$20000,데이터!$A$2:$A$20000,$A281,데이터!$E$2:$E$20000,설정!$B$5)-1),"")</f>
        <v/>
      </c>
      <c r="G281" s="5">
        <f>IFERROR(IF(OR($B281="",COUNTIFS(데이터!$A$2:$A$20000,$A281,데이터!$E$2:$E$20000,설정!$B$6)=0),"",$B281/SUMIFS(데이터!$C$2:$C$20000,데이터!$A$2:$A$20000,$A281,데이터!$E$2:$E$20000,설정!$B$6)-1),"")</f>
        <v/>
      </c>
      <c r="H281" s="5">
        <f>IFERROR(IF(OR($B281="",COUNTIFS(데이터!$A$2:$A$20000,$A281,데이터!$E$2:$E$20000,설정!$B$7)=0),"",$B281/SUMIFS(데이터!$C$2:$C$20000,데이터!$A$2:$A$20000,$A281,데이터!$E$2:$E$20000,설정!$B$7)-1),"")</f>
        <v/>
      </c>
      <c r="J281">
        <f>IF(C281="","",C281+ROW()*0.000000001)</f>
        <v/>
      </c>
      <c r="K281">
        <f>IF(D281="","",D281+ROW()*0.000000001)</f>
        <v/>
      </c>
      <c r="L281">
        <f>IF(E281="","",E281+ROW()*0.000000001)</f>
        <v/>
      </c>
      <c r="M281">
        <f>IF(F281="","",F281+ROW()*0.000000001)</f>
        <v/>
      </c>
      <c r="N281">
        <f>IF(G281="","",G281+ROW()*0.000000001)</f>
        <v/>
      </c>
      <c r="O281">
        <f>IF(H281="","",H281+ROW()*0.000000001)</f>
        <v/>
      </c>
    </row>
    <row r="282">
      <c r="B282" s="4">
        <f>IF($A282="","",IF(COUNTIFS(데이터!$A$2:$A$20000,$A282,데이터!$E$2:$E$20000,1)=0,"",SUMIFS(데이터!$C$2:$C$20000,데이터!$A$2:$A$20000,$A282,데이터!$E$2:$E$20000,1)))</f>
        <v/>
      </c>
      <c r="C282" s="5">
        <f>IFERROR(IF(OR($B282="",COUNTIFS(데이터!$A$2:$A$20000,$A282,데이터!$E$2:$E$20000,설정!$B$2)=0),"",$B282/SUMIFS(데이터!$C$2:$C$20000,데이터!$A$2:$A$20000,$A282,데이터!$E$2:$E$20000,설정!$B$2)-1),"")</f>
        <v/>
      </c>
      <c r="D282" s="5">
        <f>IFERROR(IF(OR($B282="",COUNTIFS(데이터!$A$2:$A$20000,$A282,데이터!$E$2:$E$20000,설정!$B$3)=0),"",$B282/SUMIFS(데이터!$C$2:$C$20000,데이터!$A$2:$A$20000,$A282,데이터!$E$2:$E$20000,설정!$B$3)-1),"")</f>
        <v/>
      </c>
      <c r="E282" s="5">
        <f>IFERROR(IF(OR($B282="",COUNTIFS(데이터!$A$2:$A$20000,$A282,데이터!$E$2:$E$20000,설정!$B$4)=0),"",$B282/SUMIFS(데이터!$C$2:$C$20000,데이터!$A$2:$A$20000,$A282,데이터!$E$2:$E$20000,설정!$B$4)-1),"")</f>
        <v/>
      </c>
      <c r="F282" s="5">
        <f>IFERROR(IF(OR($B282="",COUNTIFS(데이터!$A$2:$A$20000,$A282,데이터!$E$2:$E$20000,설정!$B$5)=0),"",$B282/SUMIFS(데이터!$C$2:$C$20000,데이터!$A$2:$A$20000,$A282,데이터!$E$2:$E$20000,설정!$B$5)-1),"")</f>
        <v/>
      </c>
      <c r="G282" s="5">
        <f>IFERROR(IF(OR($B282="",COUNTIFS(데이터!$A$2:$A$20000,$A282,데이터!$E$2:$E$20000,설정!$B$6)=0),"",$B282/SUMIFS(데이터!$C$2:$C$20000,데이터!$A$2:$A$20000,$A282,데이터!$E$2:$E$20000,설정!$B$6)-1),"")</f>
        <v/>
      </c>
      <c r="H282" s="5">
        <f>IFERROR(IF(OR($B282="",COUNTIFS(데이터!$A$2:$A$20000,$A282,데이터!$E$2:$E$20000,설정!$B$7)=0),"",$B282/SUMIFS(데이터!$C$2:$C$20000,데이터!$A$2:$A$20000,$A282,데이터!$E$2:$E$20000,설정!$B$7)-1),"")</f>
        <v/>
      </c>
      <c r="J282">
        <f>IF(C282="","",C282+ROW()*0.000000001)</f>
        <v/>
      </c>
      <c r="K282">
        <f>IF(D282="","",D282+ROW()*0.000000001)</f>
        <v/>
      </c>
      <c r="L282">
        <f>IF(E282="","",E282+ROW()*0.000000001)</f>
        <v/>
      </c>
      <c r="M282">
        <f>IF(F282="","",F282+ROW()*0.000000001)</f>
        <v/>
      </c>
      <c r="N282">
        <f>IF(G282="","",G282+ROW()*0.000000001)</f>
        <v/>
      </c>
      <c r="O282">
        <f>IF(H282="","",H282+ROW()*0.000000001)</f>
        <v/>
      </c>
    </row>
    <row r="283">
      <c r="B283" s="4">
        <f>IF($A283="","",IF(COUNTIFS(데이터!$A$2:$A$20000,$A283,데이터!$E$2:$E$20000,1)=0,"",SUMIFS(데이터!$C$2:$C$20000,데이터!$A$2:$A$20000,$A283,데이터!$E$2:$E$20000,1)))</f>
        <v/>
      </c>
      <c r="C283" s="5">
        <f>IFERROR(IF(OR($B283="",COUNTIFS(데이터!$A$2:$A$20000,$A283,데이터!$E$2:$E$20000,설정!$B$2)=0),"",$B283/SUMIFS(데이터!$C$2:$C$20000,데이터!$A$2:$A$20000,$A283,데이터!$E$2:$E$20000,설정!$B$2)-1),"")</f>
        <v/>
      </c>
      <c r="D283" s="5">
        <f>IFERROR(IF(OR($B283="",COUNTIFS(데이터!$A$2:$A$20000,$A283,데이터!$E$2:$E$20000,설정!$B$3)=0),"",$B283/SUMIFS(데이터!$C$2:$C$20000,데이터!$A$2:$A$20000,$A283,데이터!$E$2:$E$20000,설정!$B$3)-1),"")</f>
        <v/>
      </c>
      <c r="E283" s="5">
        <f>IFERROR(IF(OR($B283="",COUNTIFS(데이터!$A$2:$A$20000,$A283,데이터!$E$2:$E$20000,설정!$B$4)=0),"",$B283/SUMIFS(데이터!$C$2:$C$20000,데이터!$A$2:$A$20000,$A283,데이터!$E$2:$E$20000,설정!$B$4)-1),"")</f>
        <v/>
      </c>
      <c r="F283" s="5">
        <f>IFERROR(IF(OR($B283="",COUNTIFS(데이터!$A$2:$A$20000,$A283,데이터!$E$2:$E$20000,설정!$B$5)=0),"",$B283/SUMIFS(데이터!$C$2:$C$20000,데이터!$A$2:$A$20000,$A283,데이터!$E$2:$E$20000,설정!$B$5)-1),"")</f>
        <v/>
      </c>
      <c r="G283" s="5">
        <f>IFERROR(IF(OR($B283="",COUNTIFS(데이터!$A$2:$A$20000,$A283,데이터!$E$2:$E$20000,설정!$B$6)=0),"",$B283/SUMIFS(데이터!$C$2:$C$20000,데이터!$A$2:$A$20000,$A283,데이터!$E$2:$E$20000,설정!$B$6)-1),"")</f>
        <v/>
      </c>
      <c r="H283" s="5">
        <f>IFERROR(IF(OR($B283="",COUNTIFS(데이터!$A$2:$A$20000,$A283,데이터!$E$2:$E$20000,설정!$B$7)=0),"",$B283/SUMIFS(데이터!$C$2:$C$20000,데이터!$A$2:$A$20000,$A283,데이터!$E$2:$E$20000,설정!$B$7)-1),"")</f>
        <v/>
      </c>
      <c r="J283">
        <f>IF(C283="","",C283+ROW()*0.000000001)</f>
        <v/>
      </c>
      <c r="K283">
        <f>IF(D283="","",D283+ROW()*0.000000001)</f>
        <v/>
      </c>
      <c r="L283">
        <f>IF(E283="","",E283+ROW()*0.000000001)</f>
        <v/>
      </c>
      <c r="M283">
        <f>IF(F283="","",F283+ROW()*0.000000001)</f>
        <v/>
      </c>
      <c r="N283">
        <f>IF(G283="","",G283+ROW()*0.000000001)</f>
        <v/>
      </c>
      <c r="O283">
        <f>IF(H283="","",H283+ROW()*0.000000001)</f>
        <v/>
      </c>
    </row>
    <row r="284">
      <c r="B284" s="4">
        <f>IF($A284="","",IF(COUNTIFS(데이터!$A$2:$A$20000,$A284,데이터!$E$2:$E$20000,1)=0,"",SUMIFS(데이터!$C$2:$C$20000,데이터!$A$2:$A$20000,$A284,데이터!$E$2:$E$20000,1)))</f>
        <v/>
      </c>
      <c r="C284" s="5">
        <f>IFERROR(IF(OR($B284="",COUNTIFS(데이터!$A$2:$A$20000,$A284,데이터!$E$2:$E$20000,설정!$B$2)=0),"",$B284/SUMIFS(데이터!$C$2:$C$20000,데이터!$A$2:$A$20000,$A284,데이터!$E$2:$E$20000,설정!$B$2)-1),"")</f>
        <v/>
      </c>
      <c r="D284" s="5">
        <f>IFERROR(IF(OR($B284="",COUNTIFS(데이터!$A$2:$A$20000,$A284,데이터!$E$2:$E$20000,설정!$B$3)=0),"",$B284/SUMIFS(데이터!$C$2:$C$20000,데이터!$A$2:$A$20000,$A284,데이터!$E$2:$E$20000,설정!$B$3)-1),"")</f>
        <v/>
      </c>
      <c r="E284" s="5">
        <f>IFERROR(IF(OR($B284="",COUNTIFS(데이터!$A$2:$A$20000,$A284,데이터!$E$2:$E$20000,설정!$B$4)=0),"",$B284/SUMIFS(데이터!$C$2:$C$20000,데이터!$A$2:$A$20000,$A284,데이터!$E$2:$E$20000,설정!$B$4)-1),"")</f>
        <v/>
      </c>
      <c r="F284" s="5">
        <f>IFERROR(IF(OR($B284="",COUNTIFS(데이터!$A$2:$A$20000,$A284,데이터!$E$2:$E$20000,설정!$B$5)=0),"",$B284/SUMIFS(데이터!$C$2:$C$20000,데이터!$A$2:$A$20000,$A284,데이터!$E$2:$E$20000,설정!$B$5)-1),"")</f>
        <v/>
      </c>
      <c r="G284" s="5">
        <f>IFERROR(IF(OR($B284="",COUNTIFS(데이터!$A$2:$A$20000,$A284,데이터!$E$2:$E$20000,설정!$B$6)=0),"",$B284/SUMIFS(데이터!$C$2:$C$20000,데이터!$A$2:$A$20000,$A284,데이터!$E$2:$E$20000,설정!$B$6)-1),"")</f>
        <v/>
      </c>
      <c r="H284" s="5">
        <f>IFERROR(IF(OR($B284="",COUNTIFS(데이터!$A$2:$A$20000,$A284,데이터!$E$2:$E$20000,설정!$B$7)=0),"",$B284/SUMIFS(데이터!$C$2:$C$20000,데이터!$A$2:$A$20000,$A284,데이터!$E$2:$E$20000,설정!$B$7)-1),"")</f>
        <v/>
      </c>
      <c r="J284">
        <f>IF(C284="","",C284+ROW()*0.000000001)</f>
        <v/>
      </c>
      <c r="K284">
        <f>IF(D284="","",D284+ROW()*0.000000001)</f>
        <v/>
      </c>
      <c r="L284">
        <f>IF(E284="","",E284+ROW()*0.000000001)</f>
        <v/>
      </c>
      <c r="M284">
        <f>IF(F284="","",F284+ROW()*0.000000001)</f>
        <v/>
      </c>
      <c r="N284">
        <f>IF(G284="","",G284+ROW()*0.000000001)</f>
        <v/>
      </c>
      <c r="O284">
        <f>IF(H284="","",H284+ROW()*0.000000001)</f>
        <v/>
      </c>
    </row>
    <row r="285">
      <c r="B285" s="4">
        <f>IF($A285="","",IF(COUNTIFS(데이터!$A$2:$A$20000,$A285,데이터!$E$2:$E$20000,1)=0,"",SUMIFS(데이터!$C$2:$C$20000,데이터!$A$2:$A$20000,$A285,데이터!$E$2:$E$20000,1)))</f>
        <v/>
      </c>
      <c r="C285" s="5">
        <f>IFERROR(IF(OR($B285="",COUNTIFS(데이터!$A$2:$A$20000,$A285,데이터!$E$2:$E$20000,설정!$B$2)=0),"",$B285/SUMIFS(데이터!$C$2:$C$20000,데이터!$A$2:$A$20000,$A285,데이터!$E$2:$E$20000,설정!$B$2)-1),"")</f>
        <v/>
      </c>
      <c r="D285" s="5">
        <f>IFERROR(IF(OR($B285="",COUNTIFS(데이터!$A$2:$A$20000,$A285,데이터!$E$2:$E$20000,설정!$B$3)=0),"",$B285/SUMIFS(데이터!$C$2:$C$20000,데이터!$A$2:$A$20000,$A285,데이터!$E$2:$E$20000,설정!$B$3)-1),"")</f>
        <v/>
      </c>
      <c r="E285" s="5">
        <f>IFERROR(IF(OR($B285="",COUNTIFS(데이터!$A$2:$A$20000,$A285,데이터!$E$2:$E$20000,설정!$B$4)=0),"",$B285/SUMIFS(데이터!$C$2:$C$20000,데이터!$A$2:$A$20000,$A285,데이터!$E$2:$E$20000,설정!$B$4)-1),"")</f>
        <v/>
      </c>
      <c r="F285" s="5">
        <f>IFERROR(IF(OR($B285="",COUNTIFS(데이터!$A$2:$A$20000,$A285,데이터!$E$2:$E$20000,설정!$B$5)=0),"",$B285/SUMIFS(데이터!$C$2:$C$20000,데이터!$A$2:$A$20000,$A285,데이터!$E$2:$E$20000,설정!$B$5)-1),"")</f>
        <v/>
      </c>
      <c r="G285" s="5">
        <f>IFERROR(IF(OR($B285="",COUNTIFS(데이터!$A$2:$A$20000,$A285,데이터!$E$2:$E$20000,설정!$B$6)=0),"",$B285/SUMIFS(데이터!$C$2:$C$20000,데이터!$A$2:$A$20000,$A285,데이터!$E$2:$E$20000,설정!$B$6)-1),"")</f>
        <v/>
      </c>
      <c r="H285" s="5">
        <f>IFERROR(IF(OR($B285="",COUNTIFS(데이터!$A$2:$A$20000,$A285,데이터!$E$2:$E$20000,설정!$B$7)=0),"",$B285/SUMIFS(데이터!$C$2:$C$20000,데이터!$A$2:$A$20000,$A285,데이터!$E$2:$E$20000,설정!$B$7)-1),"")</f>
        <v/>
      </c>
      <c r="J285">
        <f>IF(C285="","",C285+ROW()*0.000000001)</f>
        <v/>
      </c>
      <c r="K285">
        <f>IF(D285="","",D285+ROW()*0.000000001)</f>
        <v/>
      </c>
      <c r="L285">
        <f>IF(E285="","",E285+ROW()*0.000000001)</f>
        <v/>
      </c>
      <c r="M285">
        <f>IF(F285="","",F285+ROW()*0.000000001)</f>
        <v/>
      </c>
      <c r="N285">
        <f>IF(G285="","",G285+ROW()*0.000000001)</f>
        <v/>
      </c>
      <c r="O285">
        <f>IF(H285="","",H285+ROW()*0.000000001)</f>
        <v/>
      </c>
    </row>
    <row r="286">
      <c r="B286" s="4">
        <f>IF($A286="","",IF(COUNTIFS(데이터!$A$2:$A$20000,$A286,데이터!$E$2:$E$20000,1)=0,"",SUMIFS(데이터!$C$2:$C$20000,데이터!$A$2:$A$20000,$A286,데이터!$E$2:$E$20000,1)))</f>
        <v/>
      </c>
      <c r="C286" s="5">
        <f>IFERROR(IF(OR($B286="",COUNTIFS(데이터!$A$2:$A$20000,$A286,데이터!$E$2:$E$20000,설정!$B$2)=0),"",$B286/SUMIFS(데이터!$C$2:$C$20000,데이터!$A$2:$A$20000,$A286,데이터!$E$2:$E$20000,설정!$B$2)-1),"")</f>
        <v/>
      </c>
      <c r="D286" s="5">
        <f>IFERROR(IF(OR($B286="",COUNTIFS(데이터!$A$2:$A$20000,$A286,데이터!$E$2:$E$20000,설정!$B$3)=0),"",$B286/SUMIFS(데이터!$C$2:$C$20000,데이터!$A$2:$A$20000,$A286,데이터!$E$2:$E$20000,설정!$B$3)-1),"")</f>
        <v/>
      </c>
      <c r="E286" s="5">
        <f>IFERROR(IF(OR($B286="",COUNTIFS(데이터!$A$2:$A$20000,$A286,데이터!$E$2:$E$20000,설정!$B$4)=0),"",$B286/SUMIFS(데이터!$C$2:$C$20000,데이터!$A$2:$A$20000,$A286,데이터!$E$2:$E$20000,설정!$B$4)-1),"")</f>
        <v/>
      </c>
      <c r="F286" s="5">
        <f>IFERROR(IF(OR($B286="",COUNTIFS(데이터!$A$2:$A$20000,$A286,데이터!$E$2:$E$20000,설정!$B$5)=0),"",$B286/SUMIFS(데이터!$C$2:$C$20000,데이터!$A$2:$A$20000,$A286,데이터!$E$2:$E$20000,설정!$B$5)-1),"")</f>
        <v/>
      </c>
      <c r="G286" s="5">
        <f>IFERROR(IF(OR($B286="",COUNTIFS(데이터!$A$2:$A$20000,$A286,데이터!$E$2:$E$20000,설정!$B$6)=0),"",$B286/SUMIFS(데이터!$C$2:$C$20000,데이터!$A$2:$A$20000,$A286,데이터!$E$2:$E$20000,설정!$B$6)-1),"")</f>
        <v/>
      </c>
      <c r="H286" s="5">
        <f>IFERROR(IF(OR($B286="",COUNTIFS(데이터!$A$2:$A$20000,$A286,데이터!$E$2:$E$20000,설정!$B$7)=0),"",$B286/SUMIFS(데이터!$C$2:$C$20000,데이터!$A$2:$A$20000,$A286,데이터!$E$2:$E$20000,설정!$B$7)-1),"")</f>
        <v/>
      </c>
      <c r="J286">
        <f>IF(C286="","",C286+ROW()*0.000000001)</f>
        <v/>
      </c>
      <c r="K286">
        <f>IF(D286="","",D286+ROW()*0.000000001)</f>
        <v/>
      </c>
      <c r="L286">
        <f>IF(E286="","",E286+ROW()*0.000000001)</f>
        <v/>
      </c>
      <c r="M286">
        <f>IF(F286="","",F286+ROW()*0.000000001)</f>
        <v/>
      </c>
      <c r="N286">
        <f>IF(G286="","",G286+ROW()*0.000000001)</f>
        <v/>
      </c>
      <c r="O286">
        <f>IF(H286="","",H286+ROW()*0.000000001)</f>
        <v/>
      </c>
    </row>
    <row r="287">
      <c r="B287" s="4">
        <f>IF($A287="","",IF(COUNTIFS(데이터!$A$2:$A$20000,$A287,데이터!$E$2:$E$20000,1)=0,"",SUMIFS(데이터!$C$2:$C$20000,데이터!$A$2:$A$20000,$A287,데이터!$E$2:$E$20000,1)))</f>
        <v/>
      </c>
      <c r="C287" s="5">
        <f>IFERROR(IF(OR($B287="",COUNTIFS(데이터!$A$2:$A$20000,$A287,데이터!$E$2:$E$20000,설정!$B$2)=0),"",$B287/SUMIFS(데이터!$C$2:$C$20000,데이터!$A$2:$A$20000,$A287,데이터!$E$2:$E$20000,설정!$B$2)-1),"")</f>
        <v/>
      </c>
      <c r="D287" s="5">
        <f>IFERROR(IF(OR($B287="",COUNTIFS(데이터!$A$2:$A$20000,$A287,데이터!$E$2:$E$20000,설정!$B$3)=0),"",$B287/SUMIFS(데이터!$C$2:$C$20000,데이터!$A$2:$A$20000,$A287,데이터!$E$2:$E$20000,설정!$B$3)-1),"")</f>
        <v/>
      </c>
      <c r="E287" s="5">
        <f>IFERROR(IF(OR($B287="",COUNTIFS(데이터!$A$2:$A$20000,$A287,데이터!$E$2:$E$20000,설정!$B$4)=0),"",$B287/SUMIFS(데이터!$C$2:$C$20000,데이터!$A$2:$A$20000,$A287,데이터!$E$2:$E$20000,설정!$B$4)-1),"")</f>
        <v/>
      </c>
      <c r="F287" s="5">
        <f>IFERROR(IF(OR($B287="",COUNTIFS(데이터!$A$2:$A$20000,$A287,데이터!$E$2:$E$20000,설정!$B$5)=0),"",$B287/SUMIFS(데이터!$C$2:$C$20000,데이터!$A$2:$A$20000,$A287,데이터!$E$2:$E$20000,설정!$B$5)-1),"")</f>
        <v/>
      </c>
      <c r="G287" s="5">
        <f>IFERROR(IF(OR($B287="",COUNTIFS(데이터!$A$2:$A$20000,$A287,데이터!$E$2:$E$20000,설정!$B$6)=0),"",$B287/SUMIFS(데이터!$C$2:$C$20000,데이터!$A$2:$A$20000,$A287,데이터!$E$2:$E$20000,설정!$B$6)-1),"")</f>
        <v/>
      </c>
      <c r="H287" s="5">
        <f>IFERROR(IF(OR($B287="",COUNTIFS(데이터!$A$2:$A$20000,$A287,데이터!$E$2:$E$20000,설정!$B$7)=0),"",$B287/SUMIFS(데이터!$C$2:$C$20000,데이터!$A$2:$A$20000,$A287,데이터!$E$2:$E$20000,설정!$B$7)-1),"")</f>
        <v/>
      </c>
      <c r="J287">
        <f>IF(C287="","",C287+ROW()*0.000000001)</f>
        <v/>
      </c>
      <c r="K287">
        <f>IF(D287="","",D287+ROW()*0.000000001)</f>
        <v/>
      </c>
      <c r="L287">
        <f>IF(E287="","",E287+ROW()*0.000000001)</f>
        <v/>
      </c>
      <c r="M287">
        <f>IF(F287="","",F287+ROW()*0.000000001)</f>
        <v/>
      </c>
      <c r="N287">
        <f>IF(G287="","",G287+ROW()*0.000000001)</f>
        <v/>
      </c>
      <c r="O287">
        <f>IF(H287="","",H287+ROW()*0.000000001)</f>
        <v/>
      </c>
    </row>
    <row r="288">
      <c r="B288" s="4">
        <f>IF($A288="","",IF(COUNTIFS(데이터!$A$2:$A$20000,$A288,데이터!$E$2:$E$20000,1)=0,"",SUMIFS(데이터!$C$2:$C$20000,데이터!$A$2:$A$20000,$A288,데이터!$E$2:$E$20000,1)))</f>
        <v/>
      </c>
      <c r="C288" s="5">
        <f>IFERROR(IF(OR($B288="",COUNTIFS(데이터!$A$2:$A$20000,$A288,데이터!$E$2:$E$20000,설정!$B$2)=0),"",$B288/SUMIFS(데이터!$C$2:$C$20000,데이터!$A$2:$A$20000,$A288,데이터!$E$2:$E$20000,설정!$B$2)-1),"")</f>
        <v/>
      </c>
      <c r="D288" s="5">
        <f>IFERROR(IF(OR($B288="",COUNTIFS(데이터!$A$2:$A$20000,$A288,데이터!$E$2:$E$20000,설정!$B$3)=0),"",$B288/SUMIFS(데이터!$C$2:$C$20000,데이터!$A$2:$A$20000,$A288,데이터!$E$2:$E$20000,설정!$B$3)-1),"")</f>
        <v/>
      </c>
      <c r="E288" s="5">
        <f>IFERROR(IF(OR($B288="",COUNTIFS(데이터!$A$2:$A$20000,$A288,데이터!$E$2:$E$20000,설정!$B$4)=0),"",$B288/SUMIFS(데이터!$C$2:$C$20000,데이터!$A$2:$A$20000,$A288,데이터!$E$2:$E$20000,설정!$B$4)-1),"")</f>
        <v/>
      </c>
      <c r="F288" s="5">
        <f>IFERROR(IF(OR($B288="",COUNTIFS(데이터!$A$2:$A$20000,$A288,데이터!$E$2:$E$20000,설정!$B$5)=0),"",$B288/SUMIFS(데이터!$C$2:$C$20000,데이터!$A$2:$A$20000,$A288,데이터!$E$2:$E$20000,설정!$B$5)-1),"")</f>
        <v/>
      </c>
      <c r="G288" s="5">
        <f>IFERROR(IF(OR($B288="",COUNTIFS(데이터!$A$2:$A$20000,$A288,데이터!$E$2:$E$20000,설정!$B$6)=0),"",$B288/SUMIFS(데이터!$C$2:$C$20000,데이터!$A$2:$A$20000,$A288,데이터!$E$2:$E$20000,설정!$B$6)-1),"")</f>
        <v/>
      </c>
      <c r="H288" s="5">
        <f>IFERROR(IF(OR($B288="",COUNTIFS(데이터!$A$2:$A$20000,$A288,데이터!$E$2:$E$20000,설정!$B$7)=0),"",$B288/SUMIFS(데이터!$C$2:$C$20000,데이터!$A$2:$A$20000,$A288,데이터!$E$2:$E$20000,설정!$B$7)-1),"")</f>
        <v/>
      </c>
      <c r="J288">
        <f>IF(C288="","",C288+ROW()*0.000000001)</f>
        <v/>
      </c>
      <c r="K288">
        <f>IF(D288="","",D288+ROW()*0.000000001)</f>
        <v/>
      </c>
      <c r="L288">
        <f>IF(E288="","",E288+ROW()*0.000000001)</f>
        <v/>
      </c>
      <c r="M288">
        <f>IF(F288="","",F288+ROW()*0.000000001)</f>
        <v/>
      </c>
      <c r="N288">
        <f>IF(G288="","",G288+ROW()*0.000000001)</f>
        <v/>
      </c>
      <c r="O288">
        <f>IF(H288="","",H288+ROW()*0.000000001)</f>
        <v/>
      </c>
    </row>
    <row r="289">
      <c r="B289" s="4">
        <f>IF($A289="","",IF(COUNTIFS(데이터!$A$2:$A$20000,$A289,데이터!$E$2:$E$20000,1)=0,"",SUMIFS(데이터!$C$2:$C$20000,데이터!$A$2:$A$20000,$A289,데이터!$E$2:$E$20000,1)))</f>
        <v/>
      </c>
      <c r="C289" s="5">
        <f>IFERROR(IF(OR($B289="",COUNTIFS(데이터!$A$2:$A$20000,$A289,데이터!$E$2:$E$20000,설정!$B$2)=0),"",$B289/SUMIFS(데이터!$C$2:$C$20000,데이터!$A$2:$A$20000,$A289,데이터!$E$2:$E$20000,설정!$B$2)-1),"")</f>
        <v/>
      </c>
      <c r="D289" s="5">
        <f>IFERROR(IF(OR($B289="",COUNTIFS(데이터!$A$2:$A$20000,$A289,데이터!$E$2:$E$20000,설정!$B$3)=0),"",$B289/SUMIFS(데이터!$C$2:$C$20000,데이터!$A$2:$A$20000,$A289,데이터!$E$2:$E$20000,설정!$B$3)-1),"")</f>
        <v/>
      </c>
      <c r="E289" s="5">
        <f>IFERROR(IF(OR($B289="",COUNTIFS(데이터!$A$2:$A$20000,$A289,데이터!$E$2:$E$20000,설정!$B$4)=0),"",$B289/SUMIFS(데이터!$C$2:$C$20000,데이터!$A$2:$A$20000,$A289,데이터!$E$2:$E$20000,설정!$B$4)-1),"")</f>
        <v/>
      </c>
      <c r="F289" s="5">
        <f>IFERROR(IF(OR($B289="",COUNTIFS(데이터!$A$2:$A$20000,$A289,데이터!$E$2:$E$20000,설정!$B$5)=0),"",$B289/SUMIFS(데이터!$C$2:$C$20000,데이터!$A$2:$A$20000,$A289,데이터!$E$2:$E$20000,설정!$B$5)-1),"")</f>
        <v/>
      </c>
      <c r="G289" s="5">
        <f>IFERROR(IF(OR($B289="",COUNTIFS(데이터!$A$2:$A$20000,$A289,데이터!$E$2:$E$20000,설정!$B$6)=0),"",$B289/SUMIFS(데이터!$C$2:$C$20000,데이터!$A$2:$A$20000,$A289,데이터!$E$2:$E$20000,설정!$B$6)-1),"")</f>
        <v/>
      </c>
      <c r="H289" s="5">
        <f>IFERROR(IF(OR($B289="",COUNTIFS(데이터!$A$2:$A$20000,$A289,데이터!$E$2:$E$20000,설정!$B$7)=0),"",$B289/SUMIFS(데이터!$C$2:$C$20000,데이터!$A$2:$A$20000,$A289,데이터!$E$2:$E$20000,설정!$B$7)-1),"")</f>
        <v/>
      </c>
      <c r="J289">
        <f>IF(C289="","",C289+ROW()*0.000000001)</f>
        <v/>
      </c>
      <c r="K289">
        <f>IF(D289="","",D289+ROW()*0.000000001)</f>
        <v/>
      </c>
      <c r="L289">
        <f>IF(E289="","",E289+ROW()*0.000000001)</f>
        <v/>
      </c>
      <c r="M289">
        <f>IF(F289="","",F289+ROW()*0.000000001)</f>
        <v/>
      </c>
      <c r="N289">
        <f>IF(G289="","",G289+ROW()*0.000000001)</f>
        <v/>
      </c>
      <c r="O289">
        <f>IF(H289="","",H289+ROW()*0.000000001)</f>
        <v/>
      </c>
    </row>
    <row r="290">
      <c r="B290" s="4">
        <f>IF($A290="","",IF(COUNTIFS(데이터!$A$2:$A$20000,$A290,데이터!$E$2:$E$20000,1)=0,"",SUMIFS(데이터!$C$2:$C$20000,데이터!$A$2:$A$20000,$A290,데이터!$E$2:$E$20000,1)))</f>
        <v/>
      </c>
      <c r="C290" s="5">
        <f>IFERROR(IF(OR($B290="",COUNTIFS(데이터!$A$2:$A$20000,$A290,데이터!$E$2:$E$20000,설정!$B$2)=0),"",$B290/SUMIFS(데이터!$C$2:$C$20000,데이터!$A$2:$A$20000,$A290,데이터!$E$2:$E$20000,설정!$B$2)-1),"")</f>
        <v/>
      </c>
      <c r="D290" s="5">
        <f>IFERROR(IF(OR($B290="",COUNTIFS(데이터!$A$2:$A$20000,$A290,데이터!$E$2:$E$20000,설정!$B$3)=0),"",$B290/SUMIFS(데이터!$C$2:$C$20000,데이터!$A$2:$A$20000,$A290,데이터!$E$2:$E$20000,설정!$B$3)-1),"")</f>
        <v/>
      </c>
      <c r="E290" s="5">
        <f>IFERROR(IF(OR($B290="",COUNTIFS(데이터!$A$2:$A$20000,$A290,데이터!$E$2:$E$20000,설정!$B$4)=0),"",$B290/SUMIFS(데이터!$C$2:$C$20000,데이터!$A$2:$A$20000,$A290,데이터!$E$2:$E$20000,설정!$B$4)-1),"")</f>
        <v/>
      </c>
      <c r="F290" s="5">
        <f>IFERROR(IF(OR($B290="",COUNTIFS(데이터!$A$2:$A$20000,$A290,데이터!$E$2:$E$20000,설정!$B$5)=0),"",$B290/SUMIFS(데이터!$C$2:$C$20000,데이터!$A$2:$A$20000,$A290,데이터!$E$2:$E$20000,설정!$B$5)-1),"")</f>
        <v/>
      </c>
      <c r="G290" s="5">
        <f>IFERROR(IF(OR($B290="",COUNTIFS(데이터!$A$2:$A$20000,$A290,데이터!$E$2:$E$20000,설정!$B$6)=0),"",$B290/SUMIFS(데이터!$C$2:$C$20000,데이터!$A$2:$A$20000,$A290,데이터!$E$2:$E$20000,설정!$B$6)-1),"")</f>
        <v/>
      </c>
      <c r="H290" s="5">
        <f>IFERROR(IF(OR($B290="",COUNTIFS(데이터!$A$2:$A$20000,$A290,데이터!$E$2:$E$20000,설정!$B$7)=0),"",$B290/SUMIFS(데이터!$C$2:$C$20000,데이터!$A$2:$A$20000,$A290,데이터!$E$2:$E$20000,설정!$B$7)-1),"")</f>
        <v/>
      </c>
      <c r="J290">
        <f>IF(C290="","",C290+ROW()*0.000000001)</f>
        <v/>
      </c>
      <c r="K290">
        <f>IF(D290="","",D290+ROW()*0.000000001)</f>
        <v/>
      </c>
      <c r="L290">
        <f>IF(E290="","",E290+ROW()*0.000000001)</f>
        <v/>
      </c>
      <c r="M290">
        <f>IF(F290="","",F290+ROW()*0.000000001)</f>
        <v/>
      </c>
      <c r="N290">
        <f>IF(G290="","",G290+ROW()*0.000000001)</f>
        <v/>
      </c>
      <c r="O290">
        <f>IF(H290="","",H290+ROW()*0.000000001)</f>
        <v/>
      </c>
    </row>
    <row r="291">
      <c r="B291" s="4">
        <f>IF($A291="","",IF(COUNTIFS(데이터!$A$2:$A$20000,$A291,데이터!$E$2:$E$20000,1)=0,"",SUMIFS(데이터!$C$2:$C$20000,데이터!$A$2:$A$20000,$A291,데이터!$E$2:$E$20000,1)))</f>
        <v/>
      </c>
      <c r="C291" s="5">
        <f>IFERROR(IF(OR($B291="",COUNTIFS(데이터!$A$2:$A$20000,$A291,데이터!$E$2:$E$20000,설정!$B$2)=0),"",$B291/SUMIFS(데이터!$C$2:$C$20000,데이터!$A$2:$A$20000,$A291,데이터!$E$2:$E$20000,설정!$B$2)-1),"")</f>
        <v/>
      </c>
      <c r="D291" s="5">
        <f>IFERROR(IF(OR($B291="",COUNTIFS(데이터!$A$2:$A$20000,$A291,데이터!$E$2:$E$20000,설정!$B$3)=0),"",$B291/SUMIFS(데이터!$C$2:$C$20000,데이터!$A$2:$A$20000,$A291,데이터!$E$2:$E$20000,설정!$B$3)-1),"")</f>
        <v/>
      </c>
      <c r="E291" s="5">
        <f>IFERROR(IF(OR($B291="",COUNTIFS(데이터!$A$2:$A$20000,$A291,데이터!$E$2:$E$20000,설정!$B$4)=0),"",$B291/SUMIFS(데이터!$C$2:$C$20000,데이터!$A$2:$A$20000,$A291,데이터!$E$2:$E$20000,설정!$B$4)-1),"")</f>
        <v/>
      </c>
      <c r="F291" s="5">
        <f>IFERROR(IF(OR($B291="",COUNTIFS(데이터!$A$2:$A$20000,$A291,데이터!$E$2:$E$20000,설정!$B$5)=0),"",$B291/SUMIFS(데이터!$C$2:$C$20000,데이터!$A$2:$A$20000,$A291,데이터!$E$2:$E$20000,설정!$B$5)-1),"")</f>
        <v/>
      </c>
      <c r="G291" s="5">
        <f>IFERROR(IF(OR($B291="",COUNTIFS(데이터!$A$2:$A$20000,$A291,데이터!$E$2:$E$20000,설정!$B$6)=0),"",$B291/SUMIFS(데이터!$C$2:$C$20000,데이터!$A$2:$A$20000,$A291,데이터!$E$2:$E$20000,설정!$B$6)-1),"")</f>
        <v/>
      </c>
      <c r="H291" s="5">
        <f>IFERROR(IF(OR($B291="",COUNTIFS(데이터!$A$2:$A$20000,$A291,데이터!$E$2:$E$20000,설정!$B$7)=0),"",$B291/SUMIFS(데이터!$C$2:$C$20000,데이터!$A$2:$A$20000,$A291,데이터!$E$2:$E$20000,설정!$B$7)-1),"")</f>
        <v/>
      </c>
      <c r="J291">
        <f>IF(C291="","",C291+ROW()*0.000000001)</f>
        <v/>
      </c>
      <c r="K291">
        <f>IF(D291="","",D291+ROW()*0.000000001)</f>
        <v/>
      </c>
      <c r="L291">
        <f>IF(E291="","",E291+ROW()*0.000000001)</f>
        <v/>
      </c>
      <c r="M291">
        <f>IF(F291="","",F291+ROW()*0.000000001)</f>
        <v/>
      </c>
      <c r="N291">
        <f>IF(G291="","",G291+ROW()*0.000000001)</f>
        <v/>
      </c>
      <c r="O291">
        <f>IF(H291="","",H291+ROW()*0.000000001)</f>
        <v/>
      </c>
    </row>
    <row r="292">
      <c r="B292" s="4">
        <f>IF($A292="","",IF(COUNTIFS(데이터!$A$2:$A$20000,$A292,데이터!$E$2:$E$20000,1)=0,"",SUMIFS(데이터!$C$2:$C$20000,데이터!$A$2:$A$20000,$A292,데이터!$E$2:$E$20000,1)))</f>
        <v/>
      </c>
      <c r="C292" s="5">
        <f>IFERROR(IF(OR($B292="",COUNTIFS(데이터!$A$2:$A$20000,$A292,데이터!$E$2:$E$20000,설정!$B$2)=0),"",$B292/SUMIFS(데이터!$C$2:$C$20000,데이터!$A$2:$A$20000,$A292,데이터!$E$2:$E$20000,설정!$B$2)-1),"")</f>
        <v/>
      </c>
      <c r="D292" s="5">
        <f>IFERROR(IF(OR($B292="",COUNTIFS(데이터!$A$2:$A$20000,$A292,데이터!$E$2:$E$20000,설정!$B$3)=0),"",$B292/SUMIFS(데이터!$C$2:$C$20000,데이터!$A$2:$A$20000,$A292,데이터!$E$2:$E$20000,설정!$B$3)-1),"")</f>
        <v/>
      </c>
      <c r="E292" s="5">
        <f>IFERROR(IF(OR($B292="",COUNTIFS(데이터!$A$2:$A$20000,$A292,데이터!$E$2:$E$20000,설정!$B$4)=0),"",$B292/SUMIFS(데이터!$C$2:$C$20000,데이터!$A$2:$A$20000,$A292,데이터!$E$2:$E$20000,설정!$B$4)-1),"")</f>
        <v/>
      </c>
      <c r="F292" s="5">
        <f>IFERROR(IF(OR($B292="",COUNTIFS(데이터!$A$2:$A$20000,$A292,데이터!$E$2:$E$20000,설정!$B$5)=0),"",$B292/SUMIFS(데이터!$C$2:$C$20000,데이터!$A$2:$A$20000,$A292,데이터!$E$2:$E$20000,설정!$B$5)-1),"")</f>
        <v/>
      </c>
      <c r="G292" s="5">
        <f>IFERROR(IF(OR($B292="",COUNTIFS(데이터!$A$2:$A$20000,$A292,데이터!$E$2:$E$20000,설정!$B$6)=0),"",$B292/SUMIFS(데이터!$C$2:$C$20000,데이터!$A$2:$A$20000,$A292,데이터!$E$2:$E$20000,설정!$B$6)-1),"")</f>
        <v/>
      </c>
      <c r="H292" s="5">
        <f>IFERROR(IF(OR($B292="",COUNTIFS(데이터!$A$2:$A$20000,$A292,데이터!$E$2:$E$20000,설정!$B$7)=0),"",$B292/SUMIFS(데이터!$C$2:$C$20000,데이터!$A$2:$A$20000,$A292,데이터!$E$2:$E$20000,설정!$B$7)-1),"")</f>
        <v/>
      </c>
      <c r="J292">
        <f>IF(C292="","",C292+ROW()*0.000000001)</f>
        <v/>
      </c>
      <c r="K292">
        <f>IF(D292="","",D292+ROW()*0.000000001)</f>
        <v/>
      </c>
      <c r="L292">
        <f>IF(E292="","",E292+ROW()*0.000000001)</f>
        <v/>
      </c>
      <c r="M292">
        <f>IF(F292="","",F292+ROW()*0.000000001)</f>
        <v/>
      </c>
      <c r="N292">
        <f>IF(G292="","",G292+ROW()*0.000000001)</f>
        <v/>
      </c>
      <c r="O292">
        <f>IF(H292="","",H292+ROW()*0.000000001)</f>
        <v/>
      </c>
    </row>
    <row r="293">
      <c r="B293" s="4">
        <f>IF($A293="","",IF(COUNTIFS(데이터!$A$2:$A$20000,$A293,데이터!$E$2:$E$20000,1)=0,"",SUMIFS(데이터!$C$2:$C$20000,데이터!$A$2:$A$20000,$A293,데이터!$E$2:$E$20000,1)))</f>
        <v/>
      </c>
      <c r="C293" s="5">
        <f>IFERROR(IF(OR($B293="",COUNTIFS(데이터!$A$2:$A$20000,$A293,데이터!$E$2:$E$20000,설정!$B$2)=0),"",$B293/SUMIFS(데이터!$C$2:$C$20000,데이터!$A$2:$A$20000,$A293,데이터!$E$2:$E$20000,설정!$B$2)-1),"")</f>
        <v/>
      </c>
      <c r="D293" s="5">
        <f>IFERROR(IF(OR($B293="",COUNTIFS(데이터!$A$2:$A$20000,$A293,데이터!$E$2:$E$20000,설정!$B$3)=0),"",$B293/SUMIFS(데이터!$C$2:$C$20000,데이터!$A$2:$A$20000,$A293,데이터!$E$2:$E$20000,설정!$B$3)-1),"")</f>
        <v/>
      </c>
      <c r="E293" s="5">
        <f>IFERROR(IF(OR($B293="",COUNTIFS(데이터!$A$2:$A$20000,$A293,데이터!$E$2:$E$20000,설정!$B$4)=0),"",$B293/SUMIFS(데이터!$C$2:$C$20000,데이터!$A$2:$A$20000,$A293,데이터!$E$2:$E$20000,설정!$B$4)-1),"")</f>
        <v/>
      </c>
      <c r="F293" s="5">
        <f>IFERROR(IF(OR($B293="",COUNTIFS(데이터!$A$2:$A$20000,$A293,데이터!$E$2:$E$20000,설정!$B$5)=0),"",$B293/SUMIFS(데이터!$C$2:$C$20000,데이터!$A$2:$A$20000,$A293,데이터!$E$2:$E$20000,설정!$B$5)-1),"")</f>
        <v/>
      </c>
      <c r="G293" s="5">
        <f>IFERROR(IF(OR($B293="",COUNTIFS(데이터!$A$2:$A$20000,$A293,데이터!$E$2:$E$20000,설정!$B$6)=0),"",$B293/SUMIFS(데이터!$C$2:$C$20000,데이터!$A$2:$A$20000,$A293,데이터!$E$2:$E$20000,설정!$B$6)-1),"")</f>
        <v/>
      </c>
      <c r="H293" s="5">
        <f>IFERROR(IF(OR($B293="",COUNTIFS(데이터!$A$2:$A$20000,$A293,데이터!$E$2:$E$20000,설정!$B$7)=0),"",$B293/SUMIFS(데이터!$C$2:$C$20000,데이터!$A$2:$A$20000,$A293,데이터!$E$2:$E$20000,설정!$B$7)-1),"")</f>
        <v/>
      </c>
      <c r="J293">
        <f>IF(C293="","",C293+ROW()*0.000000001)</f>
        <v/>
      </c>
      <c r="K293">
        <f>IF(D293="","",D293+ROW()*0.000000001)</f>
        <v/>
      </c>
      <c r="L293">
        <f>IF(E293="","",E293+ROW()*0.000000001)</f>
        <v/>
      </c>
      <c r="M293">
        <f>IF(F293="","",F293+ROW()*0.000000001)</f>
        <v/>
      </c>
      <c r="N293">
        <f>IF(G293="","",G293+ROW()*0.000000001)</f>
        <v/>
      </c>
      <c r="O293">
        <f>IF(H293="","",H293+ROW()*0.000000001)</f>
        <v/>
      </c>
    </row>
    <row r="294">
      <c r="B294" s="4">
        <f>IF($A294="","",IF(COUNTIFS(데이터!$A$2:$A$20000,$A294,데이터!$E$2:$E$20000,1)=0,"",SUMIFS(데이터!$C$2:$C$20000,데이터!$A$2:$A$20000,$A294,데이터!$E$2:$E$20000,1)))</f>
        <v/>
      </c>
      <c r="C294" s="5">
        <f>IFERROR(IF(OR($B294="",COUNTIFS(데이터!$A$2:$A$20000,$A294,데이터!$E$2:$E$20000,설정!$B$2)=0),"",$B294/SUMIFS(데이터!$C$2:$C$20000,데이터!$A$2:$A$20000,$A294,데이터!$E$2:$E$20000,설정!$B$2)-1),"")</f>
        <v/>
      </c>
      <c r="D294" s="5">
        <f>IFERROR(IF(OR($B294="",COUNTIFS(데이터!$A$2:$A$20000,$A294,데이터!$E$2:$E$20000,설정!$B$3)=0),"",$B294/SUMIFS(데이터!$C$2:$C$20000,데이터!$A$2:$A$20000,$A294,데이터!$E$2:$E$20000,설정!$B$3)-1),"")</f>
        <v/>
      </c>
      <c r="E294" s="5">
        <f>IFERROR(IF(OR($B294="",COUNTIFS(데이터!$A$2:$A$20000,$A294,데이터!$E$2:$E$20000,설정!$B$4)=0),"",$B294/SUMIFS(데이터!$C$2:$C$20000,데이터!$A$2:$A$20000,$A294,데이터!$E$2:$E$20000,설정!$B$4)-1),"")</f>
        <v/>
      </c>
      <c r="F294" s="5">
        <f>IFERROR(IF(OR($B294="",COUNTIFS(데이터!$A$2:$A$20000,$A294,데이터!$E$2:$E$20000,설정!$B$5)=0),"",$B294/SUMIFS(데이터!$C$2:$C$20000,데이터!$A$2:$A$20000,$A294,데이터!$E$2:$E$20000,설정!$B$5)-1),"")</f>
        <v/>
      </c>
      <c r="G294" s="5">
        <f>IFERROR(IF(OR($B294="",COUNTIFS(데이터!$A$2:$A$20000,$A294,데이터!$E$2:$E$20000,설정!$B$6)=0),"",$B294/SUMIFS(데이터!$C$2:$C$20000,데이터!$A$2:$A$20000,$A294,데이터!$E$2:$E$20000,설정!$B$6)-1),"")</f>
        <v/>
      </c>
      <c r="H294" s="5">
        <f>IFERROR(IF(OR($B294="",COUNTIFS(데이터!$A$2:$A$20000,$A294,데이터!$E$2:$E$20000,설정!$B$7)=0),"",$B294/SUMIFS(데이터!$C$2:$C$20000,데이터!$A$2:$A$20000,$A294,데이터!$E$2:$E$20000,설정!$B$7)-1),"")</f>
        <v/>
      </c>
      <c r="J294">
        <f>IF(C294="","",C294+ROW()*0.000000001)</f>
        <v/>
      </c>
      <c r="K294">
        <f>IF(D294="","",D294+ROW()*0.000000001)</f>
        <v/>
      </c>
      <c r="L294">
        <f>IF(E294="","",E294+ROW()*0.000000001)</f>
        <v/>
      </c>
      <c r="M294">
        <f>IF(F294="","",F294+ROW()*0.000000001)</f>
        <v/>
      </c>
      <c r="N294">
        <f>IF(G294="","",G294+ROW()*0.000000001)</f>
        <v/>
      </c>
      <c r="O294">
        <f>IF(H294="","",H294+ROW()*0.000000001)</f>
        <v/>
      </c>
    </row>
    <row r="295">
      <c r="B295" s="4">
        <f>IF($A295="","",IF(COUNTIFS(데이터!$A$2:$A$20000,$A295,데이터!$E$2:$E$20000,1)=0,"",SUMIFS(데이터!$C$2:$C$20000,데이터!$A$2:$A$20000,$A295,데이터!$E$2:$E$20000,1)))</f>
        <v/>
      </c>
      <c r="C295" s="5">
        <f>IFERROR(IF(OR($B295="",COUNTIFS(데이터!$A$2:$A$20000,$A295,데이터!$E$2:$E$20000,설정!$B$2)=0),"",$B295/SUMIFS(데이터!$C$2:$C$20000,데이터!$A$2:$A$20000,$A295,데이터!$E$2:$E$20000,설정!$B$2)-1),"")</f>
        <v/>
      </c>
      <c r="D295" s="5">
        <f>IFERROR(IF(OR($B295="",COUNTIFS(데이터!$A$2:$A$20000,$A295,데이터!$E$2:$E$20000,설정!$B$3)=0),"",$B295/SUMIFS(데이터!$C$2:$C$20000,데이터!$A$2:$A$20000,$A295,데이터!$E$2:$E$20000,설정!$B$3)-1),"")</f>
        <v/>
      </c>
      <c r="E295" s="5">
        <f>IFERROR(IF(OR($B295="",COUNTIFS(데이터!$A$2:$A$20000,$A295,데이터!$E$2:$E$20000,설정!$B$4)=0),"",$B295/SUMIFS(데이터!$C$2:$C$20000,데이터!$A$2:$A$20000,$A295,데이터!$E$2:$E$20000,설정!$B$4)-1),"")</f>
        <v/>
      </c>
      <c r="F295" s="5">
        <f>IFERROR(IF(OR($B295="",COUNTIFS(데이터!$A$2:$A$20000,$A295,데이터!$E$2:$E$20000,설정!$B$5)=0),"",$B295/SUMIFS(데이터!$C$2:$C$20000,데이터!$A$2:$A$20000,$A295,데이터!$E$2:$E$20000,설정!$B$5)-1),"")</f>
        <v/>
      </c>
      <c r="G295" s="5">
        <f>IFERROR(IF(OR($B295="",COUNTIFS(데이터!$A$2:$A$20000,$A295,데이터!$E$2:$E$20000,설정!$B$6)=0),"",$B295/SUMIFS(데이터!$C$2:$C$20000,데이터!$A$2:$A$20000,$A295,데이터!$E$2:$E$20000,설정!$B$6)-1),"")</f>
        <v/>
      </c>
      <c r="H295" s="5">
        <f>IFERROR(IF(OR($B295="",COUNTIFS(데이터!$A$2:$A$20000,$A295,데이터!$E$2:$E$20000,설정!$B$7)=0),"",$B295/SUMIFS(데이터!$C$2:$C$20000,데이터!$A$2:$A$20000,$A295,데이터!$E$2:$E$20000,설정!$B$7)-1),"")</f>
        <v/>
      </c>
      <c r="J295">
        <f>IF(C295="","",C295+ROW()*0.000000001)</f>
        <v/>
      </c>
      <c r="K295">
        <f>IF(D295="","",D295+ROW()*0.000000001)</f>
        <v/>
      </c>
      <c r="L295">
        <f>IF(E295="","",E295+ROW()*0.000000001)</f>
        <v/>
      </c>
      <c r="M295">
        <f>IF(F295="","",F295+ROW()*0.000000001)</f>
        <v/>
      </c>
      <c r="N295">
        <f>IF(G295="","",G295+ROW()*0.000000001)</f>
        <v/>
      </c>
      <c r="O295">
        <f>IF(H295="","",H295+ROW()*0.000000001)</f>
        <v/>
      </c>
    </row>
    <row r="296">
      <c r="B296" s="4">
        <f>IF($A296="","",IF(COUNTIFS(데이터!$A$2:$A$20000,$A296,데이터!$E$2:$E$20000,1)=0,"",SUMIFS(데이터!$C$2:$C$20000,데이터!$A$2:$A$20000,$A296,데이터!$E$2:$E$20000,1)))</f>
        <v/>
      </c>
      <c r="C296" s="5">
        <f>IFERROR(IF(OR($B296="",COUNTIFS(데이터!$A$2:$A$20000,$A296,데이터!$E$2:$E$20000,설정!$B$2)=0),"",$B296/SUMIFS(데이터!$C$2:$C$20000,데이터!$A$2:$A$20000,$A296,데이터!$E$2:$E$20000,설정!$B$2)-1),"")</f>
        <v/>
      </c>
      <c r="D296" s="5">
        <f>IFERROR(IF(OR($B296="",COUNTIFS(데이터!$A$2:$A$20000,$A296,데이터!$E$2:$E$20000,설정!$B$3)=0),"",$B296/SUMIFS(데이터!$C$2:$C$20000,데이터!$A$2:$A$20000,$A296,데이터!$E$2:$E$20000,설정!$B$3)-1),"")</f>
        <v/>
      </c>
      <c r="E296" s="5">
        <f>IFERROR(IF(OR($B296="",COUNTIFS(데이터!$A$2:$A$20000,$A296,데이터!$E$2:$E$20000,설정!$B$4)=0),"",$B296/SUMIFS(데이터!$C$2:$C$20000,데이터!$A$2:$A$20000,$A296,데이터!$E$2:$E$20000,설정!$B$4)-1),"")</f>
        <v/>
      </c>
      <c r="F296" s="5">
        <f>IFERROR(IF(OR($B296="",COUNTIFS(데이터!$A$2:$A$20000,$A296,데이터!$E$2:$E$20000,설정!$B$5)=0),"",$B296/SUMIFS(데이터!$C$2:$C$20000,데이터!$A$2:$A$20000,$A296,데이터!$E$2:$E$20000,설정!$B$5)-1),"")</f>
        <v/>
      </c>
      <c r="G296" s="5">
        <f>IFERROR(IF(OR($B296="",COUNTIFS(데이터!$A$2:$A$20000,$A296,데이터!$E$2:$E$20000,설정!$B$6)=0),"",$B296/SUMIFS(데이터!$C$2:$C$20000,데이터!$A$2:$A$20000,$A296,데이터!$E$2:$E$20000,설정!$B$6)-1),"")</f>
        <v/>
      </c>
      <c r="H296" s="5">
        <f>IFERROR(IF(OR($B296="",COUNTIFS(데이터!$A$2:$A$20000,$A296,데이터!$E$2:$E$20000,설정!$B$7)=0),"",$B296/SUMIFS(데이터!$C$2:$C$20000,데이터!$A$2:$A$20000,$A296,데이터!$E$2:$E$20000,설정!$B$7)-1),"")</f>
        <v/>
      </c>
      <c r="J296">
        <f>IF(C296="","",C296+ROW()*0.000000001)</f>
        <v/>
      </c>
      <c r="K296">
        <f>IF(D296="","",D296+ROW()*0.000000001)</f>
        <v/>
      </c>
      <c r="L296">
        <f>IF(E296="","",E296+ROW()*0.000000001)</f>
        <v/>
      </c>
      <c r="M296">
        <f>IF(F296="","",F296+ROW()*0.000000001)</f>
        <v/>
      </c>
      <c r="N296">
        <f>IF(G296="","",G296+ROW()*0.000000001)</f>
        <v/>
      </c>
      <c r="O296">
        <f>IF(H296="","",H296+ROW()*0.000000001)</f>
        <v/>
      </c>
    </row>
    <row r="297">
      <c r="B297" s="4">
        <f>IF($A297="","",IF(COUNTIFS(데이터!$A$2:$A$20000,$A297,데이터!$E$2:$E$20000,1)=0,"",SUMIFS(데이터!$C$2:$C$20000,데이터!$A$2:$A$20000,$A297,데이터!$E$2:$E$20000,1)))</f>
        <v/>
      </c>
      <c r="C297" s="5">
        <f>IFERROR(IF(OR($B297="",COUNTIFS(데이터!$A$2:$A$20000,$A297,데이터!$E$2:$E$20000,설정!$B$2)=0),"",$B297/SUMIFS(데이터!$C$2:$C$20000,데이터!$A$2:$A$20000,$A297,데이터!$E$2:$E$20000,설정!$B$2)-1),"")</f>
        <v/>
      </c>
      <c r="D297" s="5">
        <f>IFERROR(IF(OR($B297="",COUNTIFS(데이터!$A$2:$A$20000,$A297,데이터!$E$2:$E$20000,설정!$B$3)=0),"",$B297/SUMIFS(데이터!$C$2:$C$20000,데이터!$A$2:$A$20000,$A297,데이터!$E$2:$E$20000,설정!$B$3)-1),"")</f>
        <v/>
      </c>
      <c r="E297" s="5">
        <f>IFERROR(IF(OR($B297="",COUNTIFS(데이터!$A$2:$A$20000,$A297,데이터!$E$2:$E$20000,설정!$B$4)=0),"",$B297/SUMIFS(데이터!$C$2:$C$20000,데이터!$A$2:$A$20000,$A297,데이터!$E$2:$E$20000,설정!$B$4)-1),"")</f>
        <v/>
      </c>
      <c r="F297" s="5">
        <f>IFERROR(IF(OR($B297="",COUNTIFS(데이터!$A$2:$A$20000,$A297,데이터!$E$2:$E$20000,설정!$B$5)=0),"",$B297/SUMIFS(데이터!$C$2:$C$20000,데이터!$A$2:$A$20000,$A297,데이터!$E$2:$E$20000,설정!$B$5)-1),"")</f>
        <v/>
      </c>
      <c r="G297" s="5">
        <f>IFERROR(IF(OR($B297="",COUNTIFS(데이터!$A$2:$A$20000,$A297,데이터!$E$2:$E$20000,설정!$B$6)=0),"",$B297/SUMIFS(데이터!$C$2:$C$20000,데이터!$A$2:$A$20000,$A297,데이터!$E$2:$E$20000,설정!$B$6)-1),"")</f>
        <v/>
      </c>
      <c r="H297" s="5">
        <f>IFERROR(IF(OR($B297="",COUNTIFS(데이터!$A$2:$A$20000,$A297,데이터!$E$2:$E$20000,설정!$B$7)=0),"",$B297/SUMIFS(데이터!$C$2:$C$20000,데이터!$A$2:$A$20000,$A297,데이터!$E$2:$E$20000,설정!$B$7)-1),"")</f>
        <v/>
      </c>
      <c r="J297">
        <f>IF(C297="","",C297+ROW()*0.000000001)</f>
        <v/>
      </c>
      <c r="K297">
        <f>IF(D297="","",D297+ROW()*0.000000001)</f>
        <v/>
      </c>
      <c r="L297">
        <f>IF(E297="","",E297+ROW()*0.000000001)</f>
        <v/>
      </c>
      <c r="M297">
        <f>IF(F297="","",F297+ROW()*0.000000001)</f>
        <v/>
      </c>
      <c r="N297">
        <f>IF(G297="","",G297+ROW()*0.000000001)</f>
        <v/>
      </c>
      <c r="O297">
        <f>IF(H297="","",H297+ROW()*0.000000001)</f>
        <v/>
      </c>
    </row>
    <row r="298">
      <c r="B298" s="4">
        <f>IF($A298="","",IF(COUNTIFS(데이터!$A$2:$A$20000,$A298,데이터!$E$2:$E$20000,1)=0,"",SUMIFS(데이터!$C$2:$C$20000,데이터!$A$2:$A$20000,$A298,데이터!$E$2:$E$20000,1)))</f>
        <v/>
      </c>
      <c r="C298" s="5">
        <f>IFERROR(IF(OR($B298="",COUNTIFS(데이터!$A$2:$A$20000,$A298,데이터!$E$2:$E$20000,설정!$B$2)=0),"",$B298/SUMIFS(데이터!$C$2:$C$20000,데이터!$A$2:$A$20000,$A298,데이터!$E$2:$E$20000,설정!$B$2)-1),"")</f>
        <v/>
      </c>
      <c r="D298" s="5">
        <f>IFERROR(IF(OR($B298="",COUNTIFS(데이터!$A$2:$A$20000,$A298,데이터!$E$2:$E$20000,설정!$B$3)=0),"",$B298/SUMIFS(데이터!$C$2:$C$20000,데이터!$A$2:$A$20000,$A298,데이터!$E$2:$E$20000,설정!$B$3)-1),"")</f>
        <v/>
      </c>
      <c r="E298" s="5">
        <f>IFERROR(IF(OR($B298="",COUNTIFS(데이터!$A$2:$A$20000,$A298,데이터!$E$2:$E$20000,설정!$B$4)=0),"",$B298/SUMIFS(데이터!$C$2:$C$20000,데이터!$A$2:$A$20000,$A298,데이터!$E$2:$E$20000,설정!$B$4)-1),"")</f>
        <v/>
      </c>
      <c r="F298" s="5">
        <f>IFERROR(IF(OR($B298="",COUNTIFS(데이터!$A$2:$A$20000,$A298,데이터!$E$2:$E$20000,설정!$B$5)=0),"",$B298/SUMIFS(데이터!$C$2:$C$20000,데이터!$A$2:$A$20000,$A298,데이터!$E$2:$E$20000,설정!$B$5)-1),"")</f>
        <v/>
      </c>
      <c r="G298" s="5">
        <f>IFERROR(IF(OR($B298="",COUNTIFS(데이터!$A$2:$A$20000,$A298,데이터!$E$2:$E$20000,설정!$B$6)=0),"",$B298/SUMIFS(데이터!$C$2:$C$20000,데이터!$A$2:$A$20000,$A298,데이터!$E$2:$E$20000,설정!$B$6)-1),"")</f>
        <v/>
      </c>
      <c r="H298" s="5">
        <f>IFERROR(IF(OR($B298="",COUNTIFS(데이터!$A$2:$A$20000,$A298,데이터!$E$2:$E$20000,설정!$B$7)=0),"",$B298/SUMIFS(데이터!$C$2:$C$20000,데이터!$A$2:$A$20000,$A298,데이터!$E$2:$E$20000,설정!$B$7)-1),"")</f>
        <v/>
      </c>
      <c r="J298">
        <f>IF(C298="","",C298+ROW()*0.000000001)</f>
        <v/>
      </c>
      <c r="K298">
        <f>IF(D298="","",D298+ROW()*0.000000001)</f>
        <v/>
      </c>
      <c r="L298">
        <f>IF(E298="","",E298+ROW()*0.000000001)</f>
        <v/>
      </c>
      <c r="M298">
        <f>IF(F298="","",F298+ROW()*0.000000001)</f>
        <v/>
      </c>
      <c r="N298">
        <f>IF(G298="","",G298+ROW()*0.000000001)</f>
        <v/>
      </c>
      <c r="O298">
        <f>IF(H298="","",H298+ROW()*0.000000001)</f>
        <v/>
      </c>
    </row>
    <row r="299">
      <c r="B299" s="4">
        <f>IF($A299="","",IF(COUNTIFS(데이터!$A$2:$A$20000,$A299,데이터!$E$2:$E$20000,1)=0,"",SUMIFS(데이터!$C$2:$C$20000,데이터!$A$2:$A$20000,$A299,데이터!$E$2:$E$20000,1)))</f>
        <v/>
      </c>
      <c r="C299" s="5">
        <f>IFERROR(IF(OR($B299="",COUNTIFS(데이터!$A$2:$A$20000,$A299,데이터!$E$2:$E$20000,설정!$B$2)=0),"",$B299/SUMIFS(데이터!$C$2:$C$20000,데이터!$A$2:$A$20000,$A299,데이터!$E$2:$E$20000,설정!$B$2)-1),"")</f>
        <v/>
      </c>
      <c r="D299" s="5">
        <f>IFERROR(IF(OR($B299="",COUNTIFS(데이터!$A$2:$A$20000,$A299,데이터!$E$2:$E$20000,설정!$B$3)=0),"",$B299/SUMIFS(데이터!$C$2:$C$20000,데이터!$A$2:$A$20000,$A299,데이터!$E$2:$E$20000,설정!$B$3)-1),"")</f>
        <v/>
      </c>
      <c r="E299" s="5">
        <f>IFERROR(IF(OR($B299="",COUNTIFS(데이터!$A$2:$A$20000,$A299,데이터!$E$2:$E$20000,설정!$B$4)=0),"",$B299/SUMIFS(데이터!$C$2:$C$20000,데이터!$A$2:$A$20000,$A299,데이터!$E$2:$E$20000,설정!$B$4)-1),"")</f>
        <v/>
      </c>
      <c r="F299" s="5">
        <f>IFERROR(IF(OR($B299="",COUNTIFS(데이터!$A$2:$A$20000,$A299,데이터!$E$2:$E$20000,설정!$B$5)=0),"",$B299/SUMIFS(데이터!$C$2:$C$20000,데이터!$A$2:$A$20000,$A299,데이터!$E$2:$E$20000,설정!$B$5)-1),"")</f>
        <v/>
      </c>
      <c r="G299" s="5">
        <f>IFERROR(IF(OR($B299="",COUNTIFS(데이터!$A$2:$A$20000,$A299,데이터!$E$2:$E$20000,설정!$B$6)=0),"",$B299/SUMIFS(데이터!$C$2:$C$20000,데이터!$A$2:$A$20000,$A299,데이터!$E$2:$E$20000,설정!$B$6)-1),"")</f>
        <v/>
      </c>
      <c r="H299" s="5">
        <f>IFERROR(IF(OR($B299="",COUNTIFS(데이터!$A$2:$A$20000,$A299,데이터!$E$2:$E$20000,설정!$B$7)=0),"",$B299/SUMIFS(데이터!$C$2:$C$20000,데이터!$A$2:$A$20000,$A299,데이터!$E$2:$E$20000,설정!$B$7)-1),"")</f>
        <v/>
      </c>
      <c r="J299">
        <f>IF(C299="","",C299+ROW()*0.000000001)</f>
        <v/>
      </c>
      <c r="K299">
        <f>IF(D299="","",D299+ROW()*0.000000001)</f>
        <v/>
      </c>
      <c r="L299">
        <f>IF(E299="","",E299+ROW()*0.000000001)</f>
        <v/>
      </c>
      <c r="M299">
        <f>IF(F299="","",F299+ROW()*0.000000001)</f>
        <v/>
      </c>
      <c r="N299">
        <f>IF(G299="","",G299+ROW()*0.000000001)</f>
        <v/>
      </c>
      <c r="O299">
        <f>IF(H299="","",H299+ROW()*0.000000001)</f>
        <v/>
      </c>
    </row>
    <row r="300">
      <c r="B300" s="4">
        <f>IF($A300="","",IF(COUNTIFS(데이터!$A$2:$A$20000,$A300,데이터!$E$2:$E$20000,1)=0,"",SUMIFS(데이터!$C$2:$C$20000,데이터!$A$2:$A$20000,$A300,데이터!$E$2:$E$20000,1)))</f>
        <v/>
      </c>
      <c r="C300" s="5">
        <f>IFERROR(IF(OR($B300="",COUNTIFS(데이터!$A$2:$A$20000,$A300,데이터!$E$2:$E$20000,설정!$B$2)=0),"",$B300/SUMIFS(데이터!$C$2:$C$20000,데이터!$A$2:$A$20000,$A300,데이터!$E$2:$E$20000,설정!$B$2)-1),"")</f>
        <v/>
      </c>
      <c r="D300" s="5">
        <f>IFERROR(IF(OR($B300="",COUNTIFS(데이터!$A$2:$A$20000,$A300,데이터!$E$2:$E$20000,설정!$B$3)=0),"",$B300/SUMIFS(데이터!$C$2:$C$20000,데이터!$A$2:$A$20000,$A300,데이터!$E$2:$E$20000,설정!$B$3)-1),"")</f>
        <v/>
      </c>
      <c r="E300" s="5">
        <f>IFERROR(IF(OR($B300="",COUNTIFS(데이터!$A$2:$A$20000,$A300,데이터!$E$2:$E$20000,설정!$B$4)=0),"",$B300/SUMIFS(데이터!$C$2:$C$20000,데이터!$A$2:$A$20000,$A300,데이터!$E$2:$E$20000,설정!$B$4)-1),"")</f>
        <v/>
      </c>
      <c r="F300" s="5">
        <f>IFERROR(IF(OR($B300="",COUNTIFS(데이터!$A$2:$A$20000,$A300,데이터!$E$2:$E$20000,설정!$B$5)=0),"",$B300/SUMIFS(데이터!$C$2:$C$20000,데이터!$A$2:$A$20000,$A300,데이터!$E$2:$E$20000,설정!$B$5)-1),"")</f>
        <v/>
      </c>
      <c r="G300" s="5">
        <f>IFERROR(IF(OR($B300="",COUNTIFS(데이터!$A$2:$A$20000,$A300,데이터!$E$2:$E$20000,설정!$B$6)=0),"",$B300/SUMIFS(데이터!$C$2:$C$20000,데이터!$A$2:$A$20000,$A300,데이터!$E$2:$E$20000,설정!$B$6)-1),"")</f>
        <v/>
      </c>
      <c r="H300" s="5">
        <f>IFERROR(IF(OR($B300="",COUNTIFS(데이터!$A$2:$A$20000,$A300,데이터!$E$2:$E$20000,설정!$B$7)=0),"",$B300/SUMIFS(데이터!$C$2:$C$20000,데이터!$A$2:$A$20000,$A300,데이터!$E$2:$E$20000,설정!$B$7)-1),"")</f>
        <v/>
      </c>
      <c r="J300">
        <f>IF(C300="","",C300+ROW()*0.000000001)</f>
        <v/>
      </c>
      <c r="K300">
        <f>IF(D300="","",D300+ROW()*0.000000001)</f>
        <v/>
      </c>
      <c r="L300">
        <f>IF(E300="","",E300+ROW()*0.000000001)</f>
        <v/>
      </c>
      <c r="M300">
        <f>IF(F300="","",F300+ROW()*0.000000001)</f>
        <v/>
      </c>
      <c r="N300">
        <f>IF(G300="","",G300+ROW()*0.000000001)</f>
        <v/>
      </c>
      <c r="O300">
        <f>IF(H300="","",H300+ROW()*0.000000001)</f>
        <v/>
      </c>
    </row>
    <row r="301">
      <c r="B301" s="4">
        <f>IF($A301="","",IF(COUNTIFS(데이터!$A$2:$A$20000,$A301,데이터!$E$2:$E$20000,1)=0,"",SUMIFS(데이터!$C$2:$C$20000,데이터!$A$2:$A$20000,$A301,데이터!$E$2:$E$20000,1)))</f>
        <v/>
      </c>
      <c r="C301" s="5">
        <f>IFERROR(IF(OR($B301="",COUNTIFS(데이터!$A$2:$A$20000,$A301,데이터!$E$2:$E$20000,설정!$B$2)=0),"",$B301/SUMIFS(데이터!$C$2:$C$20000,데이터!$A$2:$A$20000,$A301,데이터!$E$2:$E$20000,설정!$B$2)-1),"")</f>
        <v/>
      </c>
      <c r="D301" s="5">
        <f>IFERROR(IF(OR($B301="",COUNTIFS(데이터!$A$2:$A$20000,$A301,데이터!$E$2:$E$20000,설정!$B$3)=0),"",$B301/SUMIFS(데이터!$C$2:$C$20000,데이터!$A$2:$A$20000,$A301,데이터!$E$2:$E$20000,설정!$B$3)-1),"")</f>
        <v/>
      </c>
      <c r="E301" s="5">
        <f>IFERROR(IF(OR($B301="",COUNTIFS(데이터!$A$2:$A$20000,$A301,데이터!$E$2:$E$20000,설정!$B$4)=0),"",$B301/SUMIFS(데이터!$C$2:$C$20000,데이터!$A$2:$A$20000,$A301,데이터!$E$2:$E$20000,설정!$B$4)-1),"")</f>
        <v/>
      </c>
      <c r="F301" s="5">
        <f>IFERROR(IF(OR($B301="",COUNTIFS(데이터!$A$2:$A$20000,$A301,데이터!$E$2:$E$20000,설정!$B$5)=0),"",$B301/SUMIFS(데이터!$C$2:$C$20000,데이터!$A$2:$A$20000,$A301,데이터!$E$2:$E$20000,설정!$B$5)-1),"")</f>
        <v/>
      </c>
      <c r="G301" s="5">
        <f>IFERROR(IF(OR($B301="",COUNTIFS(데이터!$A$2:$A$20000,$A301,데이터!$E$2:$E$20000,설정!$B$6)=0),"",$B301/SUMIFS(데이터!$C$2:$C$20000,데이터!$A$2:$A$20000,$A301,데이터!$E$2:$E$20000,설정!$B$6)-1),"")</f>
        <v/>
      </c>
      <c r="H301" s="5">
        <f>IFERROR(IF(OR($B301="",COUNTIFS(데이터!$A$2:$A$20000,$A301,데이터!$E$2:$E$20000,설정!$B$7)=0),"",$B301/SUMIFS(데이터!$C$2:$C$20000,데이터!$A$2:$A$20000,$A301,데이터!$E$2:$E$20000,설정!$B$7)-1),"")</f>
        <v/>
      </c>
      <c r="J301">
        <f>IF(C301="","",C301+ROW()*0.000000001)</f>
        <v/>
      </c>
      <c r="K301">
        <f>IF(D301="","",D301+ROW()*0.000000001)</f>
        <v/>
      </c>
      <c r="L301">
        <f>IF(E301="","",E301+ROW()*0.000000001)</f>
        <v/>
      </c>
      <c r="M301">
        <f>IF(F301="","",F301+ROW()*0.000000001)</f>
        <v/>
      </c>
      <c r="N301">
        <f>IF(G301="","",G301+ROW()*0.000000001)</f>
        <v/>
      </c>
      <c r="O301">
        <f>IF(H301="","",H301+ROW()*0.000000001)</f>
        <v/>
      </c>
    </row>
    <row r="302">
      <c r="B302" s="4">
        <f>IF($A302="","",IF(COUNTIFS(데이터!$A$2:$A$20000,$A302,데이터!$E$2:$E$20000,1)=0,"",SUMIFS(데이터!$C$2:$C$20000,데이터!$A$2:$A$20000,$A302,데이터!$E$2:$E$20000,1)))</f>
        <v/>
      </c>
      <c r="C302" s="5">
        <f>IFERROR(IF(OR($B302="",COUNTIFS(데이터!$A$2:$A$20000,$A302,데이터!$E$2:$E$20000,설정!$B$2)=0),"",$B302/SUMIFS(데이터!$C$2:$C$20000,데이터!$A$2:$A$20000,$A302,데이터!$E$2:$E$20000,설정!$B$2)-1),"")</f>
        <v/>
      </c>
      <c r="D302" s="5">
        <f>IFERROR(IF(OR($B302="",COUNTIFS(데이터!$A$2:$A$20000,$A302,데이터!$E$2:$E$20000,설정!$B$3)=0),"",$B302/SUMIFS(데이터!$C$2:$C$20000,데이터!$A$2:$A$20000,$A302,데이터!$E$2:$E$20000,설정!$B$3)-1),"")</f>
        <v/>
      </c>
      <c r="E302" s="5">
        <f>IFERROR(IF(OR($B302="",COUNTIFS(데이터!$A$2:$A$20000,$A302,데이터!$E$2:$E$20000,설정!$B$4)=0),"",$B302/SUMIFS(데이터!$C$2:$C$20000,데이터!$A$2:$A$20000,$A302,데이터!$E$2:$E$20000,설정!$B$4)-1),"")</f>
        <v/>
      </c>
      <c r="F302" s="5">
        <f>IFERROR(IF(OR($B302="",COUNTIFS(데이터!$A$2:$A$20000,$A302,데이터!$E$2:$E$20000,설정!$B$5)=0),"",$B302/SUMIFS(데이터!$C$2:$C$20000,데이터!$A$2:$A$20000,$A302,데이터!$E$2:$E$20000,설정!$B$5)-1),"")</f>
        <v/>
      </c>
      <c r="G302" s="5">
        <f>IFERROR(IF(OR($B302="",COUNTIFS(데이터!$A$2:$A$20000,$A302,데이터!$E$2:$E$20000,설정!$B$6)=0),"",$B302/SUMIFS(데이터!$C$2:$C$20000,데이터!$A$2:$A$20000,$A302,데이터!$E$2:$E$20000,설정!$B$6)-1),"")</f>
        <v/>
      </c>
      <c r="H302" s="5">
        <f>IFERROR(IF(OR($B302="",COUNTIFS(데이터!$A$2:$A$20000,$A302,데이터!$E$2:$E$20000,설정!$B$7)=0),"",$B302/SUMIFS(데이터!$C$2:$C$20000,데이터!$A$2:$A$20000,$A302,데이터!$E$2:$E$20000,설정!$B$7)-1),"")</f>
        <v/>
      </c>
      <c r="J302">
        <f>IF(C302="","",C302+ROW()*0.000000001)</f>
        <v/>
      </c>
      <c r="K302">
        <f>IF(D302="","",D302+ROW()*0.000000001)</f>
        <v/>
      </c>
      <c r="L302">
        <f>IF(E302="","",E302+ROW()*0.000000001)</f>
        <v/>
      </c>
      <c r="M302">
        <f>IF(F302="","",F302+ROW()*0.000000001)</f>
        <v/>
      </c>
      <c r="N302">
        <f>IF(G302="","",G302+ROW()*0.000000001)</f>
        <v/>
      </c>
      <c r="O302">
        <f>IF(H302="","",H302+ROW()*0.000000001)</f>
        <v/>
      </c>
    </row>
    <row r="303">
      <c r="B303" s="4">
        <f>IF($A303="","",IF(COUNTIFS(데이터!$A$2:$A$20000,$A303,데이터!$E$2:$E$20000,1)=0,"",SUMIFS(데이터!$C$2:$C$20000,데이터!$A$2:$A$20000,$A303,데이터!$E$2:$E$20000,1)))</f>
        <v/>
      </c>
      <c r="C303" s="5">
        <f>IFERROR(IF(OR($B303="",COUNTIFS(데이터!$A$2:$A$20000,$A303,데이터!$E$2:$E$20000,설정!$B$2)=0),"",$B303/SUMIFS(데이터!$C$2:$C$20000,데이터!$A$2:$A$20000,$A303,데이터!$E$2:$E$20000,설정!$B$2)-1),"")</f>
        <v/>
      </c>
      <c r="D303" s="5">
        <f>IFERROR(IF(OR($B303="",COUNTIFS(데이터!$A$2:$A$20000,$A303,데이터!$E$2:$E$20000,설정!$B$3)=0),"",$B303/SUMIFS(데이터!$C$2:$C$20000,데이터!$A$2:$A$20000,$A303,데이터!$E$2:$E$20000,설정!$B$3)-1),"")</f>
        <v/>
      </c>
      <c r="E303" s="5">
        <f>IFERROR(IF(OR($B303="",COUNTIFS(데이터!$A$2:$A$20000,$A303,데이터!$E$2:$E$20000,설정!$B$4)=0),"",$B303/SUMIFS(데이터!$C$2:$C$20000,데이터!$A$2:$A$20000,$A303,데이터!$E$2:$E$20000,설정!$B$4)-1),"")</f>
        <v/>
      </c>
      <c r="F303" s="5">
        <f>IFERROR(IF(OR($B303="",COUNTIFS(데이터!$A$2:$A$20000,$A303,데이터!$E$2:$E$20000,설정!$B$5)=0),"",$B303/SUMIFS(데이터!$C$2:$C$20000,데이터!$A$2:$A$20000,$A303,데이터!$E$2:$E$20000,설정!$B$5)-1),"")</f>
        <v/>
      </c>
      <c r="G303" s="5">
        <f>IFERROR(IF(OR($B303="",COUNTIFS(데이터!$A$2:$A$20000,$A303,데이터!$E$2:$E$20000,설정!$B$6)=0),"",$B303/SUMIFS(데이터!$C$2:$C$20000,데이터!$A$2:$A$20000,$A303,데이터!$E$2:$E$20000,설정!$B$6)-1),"")</f>
        <v/>
      </c>
      <c r="H303" s="5">
        <f>IFERROR(IF(OR($B303="",COUNTIFS(데이터!$A$2:$A$20000,$A303,데이터!$E$2:$E$20000,설정!$B$7)=0),"",$B303/SUMIFS(데이터!$C$2:$C$20000,데이터!$A$2:$A$20000,$A303,데이터!$E$2:$E$20000,설정!$B$7)-1),"")</f>
        <v/>
      </c>
      <c r="J303">
        <f>IF(C303="","",C303+ROW()*0.000000001)</f>
        <v/>
      </c>
      <c r="K303">
        <f>IF(D303="","",D303+ROW()*0.000000001)</f>
        <v/>
      </c>
      <c r="L303">
        <f>IF(E303="","",E303+ROW()*0.000000001)</f>
        <v/>
      </c>
      <c r="M303">
        <f>IF(F303="","",F303+ROW()*0.000000001)</f>
        <v/>
      </c>
      <c r="N303">
        <f>IF(G303="","",G303+ROW()*0.000000001)</f>
        <v/>
      </c>
      <c r="O303">
        <f>IF(H303="","",H303+ROW()*0.000000001)</f>
        <v/>
      </c>
    </row>
    <row r="304">
      <c r="B304" s="4">
        <f>IF($A304="","",IF(COUNTIFS(데이터!$A$2:$A$20000,$A304,데이터!$E$2:$E$20000,1)=0,"",SUMIFS(데이터!$C$2:$C$20000,데이터!$A$2:$A$20000,$A304,데이터!$E$2:$E$20000,1)))</f>
        <v/>
      </c>
      <c r="C304" s="5">
        <f>IFERROR(IF(OR($B304="",COUNTIFS(데이터!$A$2:$A$20000,$A304,데이터!$E$2:$E$20000,설정!$B$2)=0),"",$B304/SUMIFS(데이터!$C$2:$C$20000,데이터!$A$2:$A$20000,$A304,데이터!$E$2:$E$20000,설정!$B$2)-1),"")</f>
        <v/>
      </c>
      <c r="D304" s="5">
        <f>IFERROR(IF(OR($B304="",COUNTIFS(데이터!$A$2:$A$20000,$A304,데이터!$E$2:$E$20000,설정!$B$3)=0),"",$B304/SUMIFS(데이터!$C$2:$C$20000,데이터!$A$2:$A$20000,$A304,데이터!$E$2:$E$20000,설정!$B$3)-1),"")</f>
        <v/>
      </c>
      <c r="E304" s="5">
        <f>IFERROR(IF(OR($B304="",COUNTIFS(데이터!$A$2:$A$20000,$A304,데이터!$E$2:$E$20000,설정!$B$4)=0),"",$B304/SUMIFS(데이터!$C$2:$C$20000,데이터!$A$2:$A$20000,$A304,데이터!$E$2:$E$20000,설정!$B$4)-1),"")</f>
        <v/>
      </c>
      <c r="F304" s="5">
        <f>IFERROR(IF(OR($B304="",COUNTIFS(데이터!$A$2:$A$20000,$A304,데이터!$E$2:$E$20000,설정!$B$5)=0),"",$B304/SUMIFS(데이터!$C$2:$C$20000,데이터!$A$2:$A$20000,$A304,데이터!$E$2:$E$20000,설정!$B$5)-1),"")</f>
        <v/>
      </c>
      <c r="G304" s="5">
        <f>IFERROR(IF(OR($B304="",COUNTIFS(데이터!$A$2:$A$20000,$A304,데이터!$E$2:$E$20000,설정!$B$6)=0),"",$B304/SUMIFS(데이터!$C$2:$C$20000,데이터!$A$2:$A$20000,$A304,데이터!$E$2:$E$20000,설정!$B$6)-1),"")</f>
        <v/>
      </c>
      <c r="H304" s="5">
        <f>IFERROR(IF(OR($B304="",COUNTIFS(데이터!$A$2:$A$20000,$A304,데이터!$E$2:$E$20000,설정!$B$7)=0),"",$B304/SUMIFS(데이터!$C$2:$C$20000,데이터!$A$2:$A$20000,$A304,데이터!$E$2:$E$20000,설정!$B$7)-1),"")</f>
        <v/>
      </c>
      <c r="J304">
        <f>IF(C304="","",C304+ROW()*0.000000001)</f>
        <v/>
      </c>
      <c r="K304">
        <f>IF(D304="","",D304+ROW()*0.000000001)</f>
        <v/>
      </c>
      <c r="L304">
        <f>IF(E304="","",E304+ROW()*0.000000001)</f>
        <v/>
      </c>
      <c r="M304">
        <f>IF(F304="","",F304+ROW()*0.000000001)</f>
        <v/>
      </c>
      <c r="N304">
        <f>IF(G304="","",G304+ROW()*0.000000001)</f>
        <v/>
      </c>
      <c r="O304">
        <f>IF(H304="","",H304+ROW()*0.000000001)</f>
        <v/>
      </c>
    </row>
    <row r="305">
      <c r="B305" s="4">
        <f>IF($A305="","",IF(COUNTIFS(데이터!$A$2:$A$20000,$A305,데이터!$E$2:$E$20000,1)=0,"",SUMIFS(데이터!$C$2:$C$20000,데이터!$A$2:$A$20000,$A305,데이터!$E$2:$E$20000,1)))</f>
        <v/>
      </c>
      <c r="C305" s="5">
        <f>IFERROR(IF(OR($B305="",COUNTIFS(데이터!$A$2:$A$20000,$A305,데이터!$E$2:$E$20000,설정!$B$2)=0),"",$B305/SUMIFS(데이터!$C$2:$C$20000,데이터!$A$2:$A$20000,$A305,데이터!$E$2:$E$20000,설정!$B$2)-1),"")</f>
        <v/>
      </c>
      <c r="D305" s="5">
        <f>IFERROR(IF(OR($B305="",COUNTIFS(데이터!$A$2:$A$20000,$A305,데이터!$E$2:$E$20000,설정!$B$3)=0),"",$B305/SUMIFS(데이터!$C$2:$C$20000,데이터!$A$2:$A$20000,$A305,데이터!$E$2:$E$20000,설정!$B$3)-1),"")</f>
        <v/>
      </c>
      <c r="E305" s="5">
        <f>IFERROR(IF(OR($B305="",COUNTIFS(데이터!$A$2:$A$20000,$A305,데이터!$E$2:$E$20000,설정!$B$4)=0),"",$B305/SUMIFS(데이터!$C$2:$C$20000,데이터!$A$2:$A$20000,$A305,데이터!$E$2:$E$20000,설정!$B$4)-1),"")</f>
        <v/>
      </c>
      <c r="F305" s="5">
        <f>IFERROR(IF(OR($B305="",COUNTIFS(데이터!$A$2:$A$20000,$A305,데이터!$E$2:$E$20000,설정!$B$5)=0),"",$B305/SUMIFS(데이터!$C$2:$C$20000,데이터!$A$2:$A$20000,$A305,데이터!$E$2:$E$20000,설정!$B$5)-1),"")</f>
        <v/>
      </c>
      <c r="G305" s="5">
        <f>IFERROR(IF(OR($B305="",COUNTIFS(데이터!$A$2:$A$20000,$A305,데이터!$E$2:$E$20000,설정!$B$6)=0),"",$B305/SUMIFS(데이터!$C$2:$C$20000,데이터!$A$2:$A$20000,$A305,데이터!$E$2:$E$20000,설정!$B$6)-1),"")</f>
        <v/>
      </c>
      <c r="H305" s="5">
        <f>IFERROR(IF(OR($B305="",COUNTIFS(데이터!$A$2:$A$20000,$A305,데이터!$E$2:$E$20000,설정!$B$7)=0),"",$B305/SUMIFS(데이터!$C$2:$C$20000,데이터!$A$2:$A$20000,$A305,데이터!$E$2:$E$20000,설정!$B$7)-1),"")</f>
        <v/>
      </c>
      <c r="J305">
        <f>IF(C305="","",C305+ROW()*0.000000001)</f>
        <v/>
      </c>
      <c r="K305">
        <f>IF(D305="","",D305+ROW()*0.000000001)</f>
        <v/>
      </c>
      <c r="L305">
        <f>IF(E305="","",E305+ROW()*0.000000001)</f>
        <v/>
      </c>
      <c r="M305">
        <f>IF(F305="","",F305+ROW()*0.000000001)</f>
        <v/>
      </c>
      <c r="N305">
        <f>IF(G305="","",G305+ROW()*0.000000001)</f>
        <v/>
      </c>
      <c r="O305">
        <f>IF(H305="","",H305+ROW()*0.000000001)</f>
        <v/>
      </c>
    </row>
    <row r="306">
      <c r="B306" s="4">
        <f>IF($A306="","",IF(COUNTIFS(데이터!$A$2:$A$20000,$A306,데이터!$E$2:$E$20000,1)=0,"",SUMIFS(데이터!$C$2:$C$20000,데이터!$A$2:$A$20000,$A306,데이터!$E$2:$E$20000,1)))</f>
        <v/>
      </c>
      <c r="C306" s="5">
        <f>IFERROR(IF(OR($B306="",COUNTIFS(데이터!$A$2:$A$20000,$A306,데이터!$E$2:$E$20000,설정!$B$2)=0),"",$B306/SUMIFS(데이터!$C$2:$C$20000,데이터!$A$2:$A$20000,$A306,데이터!$E$2:$E$20000,설정!$B$2)-1),"")</f>
        <v/>
      </c>
      <c r="D306" s="5">
        <f>IFERROR(IF(OR($B306="",COUNTIFS(데이터!$A$2:$A$20000,$A306,데이터!$E$2:$E$20000,설정!$B$3)=0),"",$B306/SUMIFS(데이터!$C$2:$C$20000,데이터!$A$2:$A$20000,$A306,데이터!$E$2:$E$20000,설정!$B$3)-1),"")</f>
        <v/>
      </c>
      <c r="E306" s="5">
        <f>IFERROR(IF(OR($B306="",COUNTIFS(데이터!$A$2:$A$20000,$A306,데이터!$E$2:$E$20000,설정!$B$4)=0),"",$B306/SUMIFS(데이터!$C$2:$C$20000,데이터!$A$2:$A$20000,$A306,데이터!$E$2:$E$20000,설정!$B$4)-1),"")</f>
        <v/>
      </c>
      <c r="F306" s="5">
        <f>IFERROR(IF(OR($B306="",COUNTIFS(데이터!$A$2:$A$20000,$A306,데이터!$E$2:$E$20000,설정!$B$5)=0),"",$B306/SUMIFS(데이터!$C$2:$C$20000,데이터!$A$2:$A$20000,$A306,데이터!$E$2:$E$20000,설정!$B$5)-1),"")</f>
        <v/>
      </c>
      <c r="G306" s="5">
        <f>IFERROR(IF(OR($B306="",COUNTIFS(데이터!$A$2:$A$20000,$A306,데이터!$E$2:$E$20000,설정!$B$6)=0),"",$B306/SUMIFS(데이터!$C$2:$C$20000,데이터!$A$2:$A$20000,$A306,데이터!$E$2:$E$20000,설정!$B$6)-1),"")</f>
        <v/>
      </c>
      <c r="H306" s="5">
        <f>IFERROR(IF(OR($B306="",COUNTIFS(데이터!$A$2:$A$20000,$A306,데이터!$E$2:$E$20000,설정!$B$7)=0),"",$B306/SUMIFS(데이터!$C$2:$C$20000,데이터!$A$2:$A$20000,$A306,데이터!$E$2:$E$20000,설정!$B$7)-1),"")</f>
        <v/>
      </c>
      <c r="J306">
        <f>IF(C306="","",C306+ROW()*0.000000001)</f>
        <v/>
      </c>
      <c r="K306">
        <f>IF(D306="","",D306+ROW()*0.000000001)</f>
        <v/>
      </c>
      <c r="L306">
        <f>IF(E306="","",E306+ROW()*0.000000001)</f>
        <v/>
      </c>
      <c r="M306">
        <f>IF(F306="","",F306+ROW()*0.000000001)</f>
        <v/>
      </c>
      <c r="N306">
        <f>IF(G306="","",G306+ROW()*0.000000001)</f>
        <v/>
      </c>
      <c r="O306">
        <f>IF(H306="","",H306+ROW()*0.000000001)</f>
        <v/>
      </c>
    </row>
    <row r="307">
      <c r="B307" s="4">
        <f>IF($A307="","",IF(COUNTIFS(데이터!$A$2:$A$20000,$A307,데이터!$E$2:$E$20000,1)=0,"",SUMIFS(데이터!$C$2:$C$20000,데이터!$A$2:$A$20000,$A307,데이터!$E$2:$E$20000,1)))</f>
        <v/>
      </c>
      <c r="C307" s="5">
        <f>IFERROR(IF(OR($B307="",COUNTIFS(데이터!$A$2:$A$20000,$A307,데이터!$E$2:$E$20000,설정!$B$2)=0),"",$B307/SUMIFS(데이터!$C$2:$C$20000,데이터!$A$2:$A$20000,$A307,데이터!$E$2:$E$20000,설정!$B$2)-1),"")</f>
        <v/>
      </c>
      <c r="D307" s="5">
        <f>IFERROR(IF(OR($B307="",COUNTIFS(데이터!$A$2:$A$20000,$A307,데이터!$E$2:$E$20000,설정!$B$3)=0),"",$B307/SUMIFS(데이터!$C$2:$C$20000,데이터!$A$2:$A$20000,$A307,데이터!$E$2:$E$20000,설정!$B$3)-1),"")</f>
        <v/>
      </c>
      <c r="E307" s="5">
        <f>IFERROR(IF(OR($B307="",COUNTIFS(데이터!$A$2:$A$20000,$A307,데이터!$E$2:$E$20000,설정!$B$4)=0),"",$B307/SUMIFS(데이터!$C$2:$C$20000,데이터!$A$2:$A$20000,$A307,데이터!$E$2:$E$20000,설정!$B$4)-1),"")</f>
        <v/>
      </c>
      <c r="F307" s="5">
        <f>IFERROR(IF(OR($B307="",COUNTIFS(데이터!$A$2:$A$20000,$A307,데이터!$E$2:$E$20000,설정!$B$5)=0),"",$B307/SUMIFS(데이터!$C$2:$C$20000,데이터!$A$2:$A$20000,$A307,데이터!$E$2:$E$20000,설정!$B$5)-1),"")</f>
        <v/>
      </c>
      <c r="G307" s="5">
        <f>IFERROR(IF(OR($B307="",COUNTIFS(데이터!$A$2:$A$20000,$A307,데이터!$E$2:$E$20000,설정!$B$6)=0),"",$B307/SUMIFS(데이터!$C$2:$C$20000,데이터!$A$2:$A$20000,$A307,데이터!$E$2:$E$20000,설정!$B$6)-1),"")</f>
        <v/>
      </c>
      <c r="H307" s="5">
        <f>IFERROR(IF(OR($B307="",COUNTIFS(데이터!$A$2:$A$20000,$A307,데이터!$E$2:$E$20000,설정!$B$7)=0),"",$B307/SUMIFS(데이터!$C$2:$C$20000,데이터!$A$2:$A$20000,$A307,데이터!$E$2:$E$20000,설정!$B$7)-1),"")</f>
        <v/>
      </c>
      <c r="J307">
        <f>IF(C307="","",C307+ROW()*0.000000001)</f>
        <v/>
      </c>
      <c r="K307">
        <f>IF(D307="","",D307+ROW()*0.000000001)</f>
        <v/>
      </c>
      <c r="L307">
        <f>IF(E307="","",E307+ROW()*0.000000001)</f>
        <v/>
      </c>
      <c r="M307">
        <f>IF(F307="","",F307+ROW()*0.000000001)</f>
        <v/>
      </c>
      <c r="N307">
        <f>IF(G307="","",G307+ROW()*0.000000001)</f>
        <v/>
      </c>
      <c r="O307">
        <f>IF(H307="","",H307+ROW()*0.000000001)</f>
        <v/>
      </c>
    </row>
    <row r="308">
      <c r="B308" s="4">
        <f>IF($A308="","",IF(COUNTIFS(데이터!$A$2:$A$20000,$A308,데이터!$E$2:$E$20000,1)=0,"",SUMIFS(데이터!$C$2:$C$20000,데이터!$A$2:$A$20000,$A308,데이터!$E$2:$E$20000,1)))</f>
        <v/>
      </c>
      <c r="C308" s="5">
        <f>IFERROR(IF(OR($B308="",COUNTIFS(데이터!$A$2:$A$20000,$A308,데이터!$E$2:$E$20000,설정!$B$2)=0),"",$B308/SUMIFS(데이터!$C$2:$C$20000,데이터!$A$2:$A$20000,$A308,데이터!$E$2:$E$20000,설정!$B$2)-1),"")</f>
        <v/>
      </c>
      <c r="D308" s="5">
        <f>IFERROR(IF(OR($B308="",COUNTIFS(데이터!$A$2:$A$20000,$A308,데이터!$E$2:$E$20000,설정!$B$3)=0),"",$B308/SUMIFS(데이터!$C$2:$C$20000,데이터!$A$2:$A$20000,$A308,데이터!$E$2:$E$20000,설정!$B$3)-1),"")</f>
        <v/>
      </c>
      <c r="E308" s="5">
        <f>IFERROR(IF(OR($B308="",COUNTIFS(데이터!$A$2:$A$20000,$A308,데이터!$E$2:$E$20000,설정!$B$4)=0),"",$B308/SUMIFS(데이터!$C$2:$C$20000,데이터!$A$2:$A$20000,$A308,데이터!$E$2:$E$20000,설정!$B$4)-1),"")</f>
        <v/>
      </c>
      <c r="F308" s="5">
        <f>IFERROR(IF(OR($B308="",COUNTIFS(데이터!$A$2:$A$20000,$A308,데이터!$E$2:$E$20000,설정!$B$5)=0),"",$B308/SUMIFS(데이터!$C$2:$C$20000,데이터!$A$2:$A$20000,$A308,데이터!$E$2:$E$20000,설정!$B$5)-1),"")</f>
        <v/>
      </c>
      <c r="G308" s="5">
        <f>IFERROR(IF(OR($B308="",COUNTIFS(데이터!$A$2:$A$20000,$A308,데이터!$E$2:$E$20000,설정!$B$6)=0),"",$B308/SUMIFS(데이터!$C$2:$C$20000,데이터!$A$2:$A$20000,$A308,데이터!$E$2:$E$20000,설정!$B$6)-1),"")</f>
        <v/>
      </c>
      <c r="H308" s="5">
        <f>IFERROR(IF(OR($B308="",COUNTIFS(데이터!$A$2:$A$20000,$A308,데이터!$E$2:$E$20000,설정!$B$7)=0),"",$B308/SUMIFS(데이터!$C$2:$C$20000,데이터!$A$2:$A$20000,$A308,데이터!$E$2:$E$20000,설정!$B$7)-1),"")</f>
        <v/>
      </c>
      <c r="J308">
        <f>IF(C308="","",C308+ROW()*0.000000001)</f>
        <v/>
      </c>
      <c r="K308">
        <f>IF(D308="","",D308+ROW()*0.000000001)</f>
        <v/>
      </c>
      <c r="L308">
        <f>IF(E308="","",E308+ROW()*0.000000001)</f>
        <v/>
      </c>
      <c r="M308">
        <f>IF(F308="","",F308+ROW()*0.000000001)</f>
        <v/>
      </c>
      <c r="N308">
        <f>IF(G308="","",G308+ROW()*0.000000001)</f>
        <v/>
      </c>
      <c r="O308">
        <f>IF(H308="","",H308+ROW()*0.000000001)</f>
        <v/>
      </c>
    </row>
    <row r="309">
      <c r="B309" s="4">
        <f>IF($A309="","",IF(COUNTIFS(데이터!$A$2:$A$20000,$A309,데이터!$E$2:$E$20000,1)=0,"",SUMIFS(데이터!$C$2:$C$20000,데이터!$A$2:$A$20000,$A309,데이터!$E$2:$E$20000,1)))</f>
        <v/>
      </c>
      <c r="C309" s="5">
        <f>IFERROR(IF(OR($B309="",COUNTIFS(데이터!$A$2:$A$20000,$A309,데이터!$E$2:$E$20000,설정!$B$2)=0),"",$B309/SUMIFS(데이터!$C$2:$C$20000,데이터!$A$2:$A$20000,$A309,데이터!$E$2:$E$20000,설정!$B$2)-1),"")</f>
        <v/>
      </c>
      <c r="D309" s="5">
        <f>IFERROR(IF(OR($B309="",COUNTIFS(데이터!$A$2:$A$20000,$A309,데이터!$E$2:$E$20000,설정!$B$3)=0),"",$B309/SUMIFS(데이터!$C$2:$C$20000,데이터!$A$2:$A$20000,$A309,데이터!$E$2:$E$20000,설정!$B$3)-1),"")</f>
        <v/>
      </c>
      <c r="E309" s="5">
        <f>IFERROR(IF(OR($B309="",COUNTIFS(데이터!$A$2:$A$20000,$A309,데이터!$E$2:$E$20000,설정!$B$4)=0),"",$B309/SUMIFS(데이터!$C$2:$C$20000,데이터!$A$2:$A$20000,$A309,데이터!$E$2:$E$20000,설정!$B$4)-1),"")</f>
        <v/>
      </c>
      <c r="F309" s="5">
        <f>IFERROR(IF(OR($B309="",COUNTIFS(데이터!$A$2:$A$20000,$A309,데이터!$E$2:$E$20000,설정!$B$5)=0),"",$B309/SUMIFS(데이터!$C$2:$C$20000,데이터!$A$2:$A$20000,$A309,데이터!$E$2:$E$20000,설정!$B$5)-1),"")</f>
        <v/>
      </c>
      <c r="G309" s="5">
        <f>IFERROR(IF(OR($B309="",COUNTIFS(데이터!$A$2:$A$20000,$A309,데이터!$E$2:$E$20000,설정!$B$6)=0),"",$B309/SUMIFS(데이터!$C$2:$C$20000,데이터!$A$2:$A$20000,$A309,데이터!$E$2:$E$20000,설정!$B$6)-1),"")</f>
        <v/>
      </c>
      <c r="H309" s="5">
        <f>IFERROR(IF(OR($B309="",COUNTIFS(데이터!$A$2:$A$20000,$A309,데이터!$E$2:$E$20000,설정!$B$7)=0),"",$B309/SUMIFS(데이터!$C$2:$C$20000,데이터!$A$2:$A$20000,$A309,데이터!$E$2:$E$20000,설정!$B$7)-1),"")</f>
        <v/>
      </c>
      <c r="J309">
        <f>IF(C309="","",C309+ROW()*0.000000001)</f>
        <v/>
      </c>
      <c r="K309">
        <f>IF(D309="","",D309+ROW()*0.000000001)</f>
        <v/>
      </c>
      <c r="L309">
        <f>IF(E309="","",E309+ROW()*0.000000001)</f>
        <v/>
      </c>
      <c r="M309">
        <f>IF(F309="","",F309+ROW()*0.000000001)</f>
        <v/>
      </c>
      <c r="N309">
        <f>IF(G309="","",G309+ROW()*0.000000001)</f>
        <v/>
      </c>
      <c r="O309">
        <f>IF(H309="","",H309+ROW()*0.000000001)</f>
        <v/>
      </c>
    </row>
    <row r="310">
      <c r="B310" s="4">
        <f>IF($A310="","",IF(COUNTIFS(데이터!$A$2:$A$20000,$A310,데이터!$E$2:$E$20000,1)=0,"",SUMIFS(데이터!$C$2:$C$20000,데이터!$A$2:$A$20000,$A310,데이터!$E$2:$E$20000,1)))</f>
        <v/>
      </c>
      <c r="C310" s="5">
        <f>IFERROR(IF(OR($B310="",COUNTIFS(데이터!$A$2:$A$20000,$A310,데이터!$E$2:$E$20000,설정!$B$2)=0),"",$B310/SUMIFS(데이터!$C$2:$C$20000,데이터!$A$2:$A$20000,$A310,데이터!$E$2:$E$20000,설정!$B$2)-1),"")</f>
        <v/>
      </c>
      <c r="D310" s="5">
        <f>IFERROR(IF(OR($B310="",COUNTIFS(데이터!$A$2:$A$20000,$A310,데이터!$E$2:$E$20000,설정!$B$3)=0),"",$B310/SUMIFS(데이터!$C$2:$C$20000,데이터!$A$2:$A$20000,$A310,데이터!$E$2:$E$20000,설정!$B$3)-1),"")</f>
        <v/>
      </c>
      <c r="E310" s="5">
        <f>IFERROR(IF(OR($B310="",COUNTIFS(데이터!$A$2:$A$20000,$A310,데이터!$E$2:$E$20000,설정!$B$4)=0),"",$B310/SUMIFS(데이터!$C$2:$C$20000,데이터!$A$2:$A$20000,$A310,데이터!$E$2:$E$20000,설정!$B$4)-1),"")</f>
        <v/>
      </c>
      <c r="F310" s="5">
        <f>IFERROR(IF(OR($B310="",COUNTIFS(데이터!$A$2:$A$20000,$A310,데이터!$E$2:$E$20000,설정!$B$5)=0),"",$B310/SUMIFS(데이터!$C$2:$C$20000,데이터!$A$2:$A$20000,$A310,데이터!$E$2:$E$20000,설정!$B$5)-1),"")</f>
        <v/>
      </c>
      <c r="G310" s="5">
        <f>IFERROR(IF(OR($B310="",COUNTIFS(데이터!$A$2:$A$20000,$A310,데이터!$E$2:$E$20000,설정!$B$6)=0),"",$B310/SUMIFS(데이터!$C$2:$C$20000,데이터!$A$2:$A$20000,$A310,데이터!$E$2:$E$20000,설정!$B$6)-1),"")</f>
        <v/>
      </c>
      <c r="H310" s="5">
        <f>IFERROR(IF(OR($B310="",COUNTIFS(데이터!$A$2:$A$20000,$A310,데이터!$E$2:$E$20000,설정!$B$7)=0),"",$B310/SUMIFS(데이터!$C$2:$C$20000,데이터!$A$2:$A$20000,$A310,데이터!$E$2:$E$20000,설정!$B$7)-1),"")</f>
        <v/>
      </c>
      <c r="J310">
        <f>IF(C310="","",C310+ROW()*0.000000001)</f>
        <v/>
      </c>
      <c r="K310">
        <f>IF(D310="","",D310+ROW()*0.000000001)</f>
        <v/>
      </c>
      <c r="L310">
        <f>IF(E310="","",E310+ROW()*0.000000001)</f>
        <v/>
      </c>
      <c r="M310">
        <f>IF(F310="","",F310+ROW()*0.000000001)</f>
        <v/>
      </c>
      <c r="N310">
        <f>IF(G310="","",G310+ROW()*0.000000001)</f>
        <v/>
      </c>
      <c r="O310">
        <f>IF(H310="","",H310+ROW()*0.000000001)</f>
        <v/>
      </c>
    </row>
    <row r="311">
      <c r="B311" s="4">
        <f>IF($A311="","",IF(COUNTIFS(데이터!$A$2:$A$20000,$A311,데이터!$E$2:$E$20000,1)=0,"",SUMIFS(데이터!$C$2:$C$20000,데이터!$A$2:$A$20000,$A311,데이터!$E$2:$E$20000,1)))</f>
        <v/>
      </c>
      <c r="C311" s="5">
        <f>IFERROR(IF(OR($B311="",COUNTIFS(데이터!$A$2:$A$20000,$A311,데이터!$E$2:$E$20000,설정!$B$2)=0),"",$B311/SUMIFS(데이터!$C$2:$C$20000,데이터!$A$2:$A$20000,$A311,데이터!$E$2:$E$20000,설정!$B$2)-1),"")</f>
        <v/>
      </c>
      <c r="D311" s="5">
        <f>IFERROR(IF(OR($B311="",COUNTIFS(데이터!$A$2:$A$20000,$A311,데이터!$E$2:$E$20000,설정!$B$3)=0),"",$B311/SUMIFS(데이터!$C$2:$C$20000,데이터!$A$2:$A$20000,$A311,데이터!$E$2:$E$20000,설정!$B$3)-1),"")</f>
        <v/>
      </c>
      <c r="E311" s="5">
        <f>IFERROR(IF(OR($B311="",COUNTIFS(데이터!$A$2:$A$20000,$A311,데이터!$E$2:$E$20000,설정!$B$4)=0),"",$B311/SUMIFS(데이터!$C$2:$C$20000,데이터!$A$2:$A$20000,$A311,데이터!$E$2:$E$20000,설정!$B$4)-1),"")</f>
        <v/>
      </c>
      <c r="F311" s="5">
        <f>IFERROR(IF(OR($B311="",COUNTIFS(데이터!$A$2:$A$20000,$A311,데이터!$E$2:$E$20000,설정!$B$5)=0),"",$B311/SUMIFS(데이터!$C$2:$C$20000,데이터!$A$2:$A$20000,$A311,데이터!$E$2:$E$20000,설정!$B$5)-1),"")</f>
        <v/>
      </c>
      <c r="G311" s="5">
        <f>IFERROR(IF(OR($B311="",COUNTIFS(데이터!$A$2:$A$20000,$A311,데이터!$E$2:$E$20000,설정!$B$6)=0),"",$B311/SUMIFS(데이터!$C$2:$C$20000,데이터!$A$2:$A$20000,$A311,데이터!$E$2:$E$20000,설정!$B$6)-1),"")</f>
        <v/>
      </c>
      <c r="H311" s="5">
        <f>IFERROR(IF(OR($B311="",COUNTIFS(데이터!$A$2:$A$20000,$A311,데이터!$E$2:$E$20000,설정!$B$7)=0),"",$B311/SUMIFS(데이터!$C$2:$C$20000,데이터!$A$2:$A$20000,$A311,데이터!$E$2:$E$20000,설정!$B$7)-1),"")</f>
        <v/>
      </c>
      <c r="J311">
        <f>IF(C311="","",C311+ROW()*0.000000001)</f>
        <v/>
      </c>
      <c r="K311">
        <f>IF(D311="","",D311+ROW()*0.000000001)</f>
        <v/>
      </c>
      <c r="L311">
        <f>IF(E311="","",E311+ROW()*0.000000001)</f>
        <v/>
      </c>
      <c r="M311">
        <f>IF(F311="","",F311+ROW()*0.000000001)</f>
        <v/>
      </c>
      <c r="N311">
        <f>IF(G311="","",G311+ROW()*0.000000001)</f>
        <v/>
      </c>
      <c r="O311">
        <f>IF(H311="","",H311+ROW()*0.000000001)</f>
        <v/>
      </c>
    </row>
    <row r="312">
      <c r="B312" s="4">
        <f>IF($A312="","",IF(COUNTIFS(데이터!$A$2:$A$20000,$A312,데이터!$E$2:$E$20000,1)=0,"",SUMIFS(데이터!$C$2:$C$20000,데이터!$A$2:$A$20000,$A312,데이터!$E$2:$E$20000,1)))</f>
        <v/>
      </c>
      <c r="C312" s="5">
        <f>IFERROR(IF(OR($B312="",COUNTIFS(데이터!$A$2:$A$20000,$A312,데이터!$E$2:$E$20000,설정!$B$2)=0),"",$B312/SUMIFS(데이터!$C$2:$C$20000,데이터!$A$2:$A$20000,$A312,데이터!$E$2:$E$20000,설정!$B$2)-1),"")</f>
        <v/>
      </c>
      <c r="D312" s="5">
        <f>IFERROR(IF(OR($B312="",COUNTIFS(데이터!$A$2:$A$20000,$A312,데이터!$E$2:$E$20000,설정!$B$3)=0),"",$B312/SUMIFS(데이터!$C$2:$C$20000,데이터!$A$2:$A$20000,$A312,데이터!$E$2:$E$20000,설정!$B$3)-1),"")</f>
        <v/>
      </c>
      <c r="E312" s="5">
        <f>IFERROR(IF(OR($B312="",COUNTIFS(데이터!$A$2:$A$20000,$A312,데이터!$E$2:$E$20000,설정!$B$4)=0),"",$B312/SUMIFS(데이터!$C$2:$C$20000,데이터!$A$2:$A$20000,$A312,데이터!$E$2:$E$20000,설정!$B$4)-1),"")</f>
        <v/>
      </c>
      <c r="F312" s="5">
        <f>IFERROR(IF(OR($B312="",COUNTIFS(데이터!$A$2:$A$20000,$A312,데이터!$E$2:$E$20000,설정!$B$5)=0),"",$B312/SUMIFS(데이터!$C$2:$C$20000,데이터!$A$2:$A$20000,$A312,데이터!$E$2:$E$20000,설정!$B$5)-1),"")</f>
        <v/>
      </c>
      <c r="G312" s="5">
        <f>IFERROR(IF(OR($B312="",COUNTIFS(데이터!$A$2:$A$20000,$A312,데이터!$E$2:$E$20000,설정!$B$6)=0),"",$B312/SUMIFS(데이터!$C$2:$C$20000,데이터!$A$2:$A$20000,$A312,데이터!$E$2:$E$20000,설정!$B$6)-1),"")</f>
        <v/>
      </c>
      <c r="H312" s="5">
        <f>IFERROR(IF(OR($B312="",COUNTIFS(데이터!$A$2:$A$20000,$A312,데이터!$E$2:$E$20000,설정!$B$7)=0),"",$B312/SUMIFS(데이터!$C$2:$C$20000,데이터!$A$2:$A$20000,$A312,데이터!$E$2:$E$20000,설정!$B$7)-1),"")</f>
        <v/>
      </c>
      <c r="J312">
        <f>IF(C312="","",C312+ROW()*0.000000001)</f>
        <v/>
      </c>
      <c r="K312">
        <f>IF(D312="","",D312+ROW()*0.000000001)</f>
        <v/>
      </c>
      <c r="L312">
        <f>IF(E312="","",E312+ROW()*0.000000001)</f>
        <v/>
      </c>
      <c r="M312">
        <f>IF(F312="","",F312+ROW()*0.000000001)</f>
        <v/>
      </c>
      <c r="N312">
        <f>IF(G312="","",G312+ROW()*0.000000001)</f>
        <v/>
      </c>
      <c r="O312">
        <f>IF(H312="","",H312+ROW()*0.000000001)</f>
        <v/>
      </c>
    </row>
    <row r="313">
      <c r="B313" s="4">
        <f>IF($A313="","",IF(COUNTIFS(데이터!$A$2:$A$20000,$A313,데이터!$E$2:$E$20000,1)=0,"",SUMIFS(데이터!$C$2:$C$20000,데이터!$A$2:$A$20000,$A313,데이터!$E$2:$E$20000,1)))</f>
        <v/>
      </c>
      <c r="C313" s="5">
        <f>IFERROR(IF(OR($B313="",COUNTIFS(데이터!$A$2:$A$20000,$A313,데이터!$E$2:$E$20000,설정!$B$2)=0),"",$B313/SUMIFS(데이터!$C$2:$C$20000,데이터!$A$2:$A$20000,$A313,데이터!$E$2:$E$20000,설정!$B$2)-1),"")</f>
        <v/>
      </c>
      <c r="D313" s="5">
        <f>IFERROR(IF(OR($B313="",COUNTIFS(데이터!$A$2:$A$20000,$A313,데이터!$E$2:$E$20000,설정!$B$3)=0),"",$B313/SUMIFS(데이터!$C$2:$C$20000,데이터!$A$2:$A$20000,$A313,데이터!$E$2:$E$20000,설정!$B$3)-1),"")</f>
        <v/>
      </c>
      <c r="E313" s="5">
        <f>IFERROR(IF(OR($B313="",COUNTIFS(데이터!$A$2:$A$20000,$A313,데이터!$E$2:$E$20000,설정!$B$4)=0),"",$B313/SUMIFS(데이터!$C$2:$C$20000,데이터!$A$2:$A$20000,$A313,데이터!$E$2:$E$20000,설정!$B$4)-1),"")</f>
        <v/>
      </c>
      <c r="F313" s="5">
        <f>IFERROR(IF(OR($B313="",COUNTIFS(데이터!$A$2:$A$20000,$A313,데이터!$E$2:$E$20000,설정!$B$5)=0),"",$B313/SUMIFS(데이터!$C$2:$C$20000,데이터!$A$2:$A$20000,$A313,데이터!$E$2:$E$20000,설정!$B$5)-1),"")</f>
        <v/>
      </c>
      <c r="G313" s="5">
        <f>IFERROR(IF(OR($B313="",COUNTIFS(데이터!$A$2:$A$20000,$A313,데이터!$E$2:$E$20000,설정!$B$6)=0),"",$B313/SUMIFS(데이터!$C$2:$C$20000,데이터!$A$2:$A$20000,$A313,데이터!$E$2:$E$20000,설정!$B$6)-1),"")</f>
        <v/>
      </c>
      <c r="H313" s="5">
        <f>IFERROR(IF(OR($B313="",COUNTIFS(데이터!$A$2:$A$20000,$A313,데이터!$E$2:$E$20000,설정!$B$7)=0),"",$B313/SUMIFS(데이터!$C$2:$C$20000,데이터!$A$2:$A$20000,$A313,데이터!$E$2:$E$20000,설정!$B$7)-1),"")</f>
        <v/>
      </c>
      <c r="J313">
        <f>IF(C313="","",C313+ROW()*0.000000001)</f>
        <v/>
      </c>
      <c r="K313">
        <f>IF(D313="","",D313+ROW()*0.000000001)</f>
        <v/>
      </c>
      <c r="L313">
        <f>IF(E313="","",E313+ROW()*0.000000001)</f>
        <v/>
      </c>
      <c r="M313">
        <f>IF(F313="","",F313+ROW()*0.000000001)</f>
        <v/>
      </c>
      <c r="N313">
        <f>IF(G313="","",G313+ROW()*0.000000001)</f>
        <v/>
      </c>
      <c r="O313">
        <f>IF(H313="","",H313+ROW()*0.000000001)</f>
        <v/>
      </c>
    </row>
    <row r="314">
      <c r="B314" s="4">
        <f>IF($A314="","",IF(COUNTIFS(데이터!$A$2:$A$20000,$A314,데이터!$E$2:$E$20000,1)=0,"",SUMIFS(데이터!$C$2:$C$20000,데이터!$A$2:$A$20000,$A314,데이터!$E$2:$E$20000,1)))</f>
        <v/>
      </c>
      <c r="C314" s="5">
        <f>IFERROR(IF(OR($B314="",COUNTIFS(데이터!$A$2:$A$20000,$A314,데이터!$E$2:$E$20000,설정!$B$2)=0),"",$B314/SUMIFS(데이터!$C$2:$C$20000,데이터!$A$2:$A$20000,$A314,데이터!$E$2:$E$20000,설정!$B$2)-1),"")</f>
        <v/>
      </c>
      <c r="D314" s="5">
        <f>IFERROR(IF(OR($B314="",COUNTIFS(데이터!$A$2:$A$20000,$A314,데이터!$E$2:$E$20000,설정!$B$3)=0),"",$B314/SUMIFS(데이터!$C$2:$C$20000,데이터!$A$2:$A$20000,$A314,데이터!$E$2:$E$20000,설정!$B$3)-1),"")</f>
        <v/>
      </c>
      <c r="E314" s="5">
        <f>IFERROR(IF(OR($B314="",COUNTIFS(데이터!$A$2:$A$20000,$A314,데이터!$E$2:$E$20000,설정!$B$4)=0),"",$B314/SUMIFS(데이터!$C$2:$C$20000,데이터!$A$2:$A$20000,$A314,데이터!$E$2:$E$20000,설정!$B$4)-1),"")</f>
        <v/>
      </c>
      <c r="F314" s="5">
        <f>IFERROR(IF(OR($B314="",COUNTIFS(데이터!$A$2:$A$20000,$A314,데이터!$E$2:$E$20000,설정!$B$5)=0),"",$B314/SUMIFS(데이터!$C$2:$C$20000,데이터!$A$2:$A$20000,$A314,데이터!$E$2:$E$20000,설정!$B$5)-1),"")</f>
        <v/>
      </c>
      <c r="G314" s="5">
        <f>IFERROR(IF(OR($B314="",COUNTIFS(데이터!$A$2:$A$20000,$A314,데이터!$E$2:$E$20000,설정!$B$6)=0),"",$B314/SUMIFS(데이터!$C$2:$C$20000,데이터!$A$2:$A$20000,$A314,데이터!$E$2:$E$20000,설정!$B$6)-1),"")</f>
        <v/>
      </c>
      <c r="H314" s="5">
        <f>IFERROR(IF(OR($B314="",COUNTIFS(데이터!$A$2:$A$20000,$A314,데이터!$E$2:$E$20000,설정!$B$7)=0),"",$B314/SUMIFS(데이터!$C$2:$C$20000,데이터!$A$2:$A$20000,$A314,데이터!$E$2:$E$20000,설정!$B$7)-1),"")</f>
        <v/>
      </c>
      <c r="J314">
        <f>IF(C314="","",C314+ROW()*0.000000001)</f>
        <v/>
      </c>
      <c r="K314">
        <f>IF(D314="","",D314+ROW()*0.000000001)</f>
        <v/>
      </c>
      <c r="L314">
        <f>IF(E314="","",E314+ROW()*0.000000001)</f>
        <v/>
      </c>
      <c r="M314">
        <f>IF(F314="","",F314+ROW()*0.000000001)</f>
        <v/>
      </c>
      <c r="N314">
        <f>IF(G314="","",G314+ROW()*0.000000001)</f>
        <v/>
      </c>
      <c r="O314">
        <f>IF(H314="","",H314+ROW()*0.000000001)</f>
        <v/>
      </c>
    </row>
    <row r="315">
      <c r="B315" s="4">
        <f>IF($A315="","",IF(COUNTIFS(데이터!$A$2:$A$20000,$A315,데이터!$E$2:$E$20000,1)=0,"",SUMIFS(데이터!$C$2:$C$20000,데이터!$A$2:$A$20000,$A315,데이터!$E$2:$E$20000,1)))</f>
        <v/>
      </c>
      <c r="C315" s="5">
        <f>IFERROR(IF(OR($B315="",COUNTIFS(데이터!$A$2:$A$20000,$A315,데이터!$E$2:$E$20000,설정!$B$2)=0),"",$B315/SUMIFS(데이터!$C$2:$C$20000,데이터!$A$2:$A$20000,$A315,데이터!$E$2:$E$20000,설정!$B$2)-1),"")</f>
        <v/>
      </c>
      <c r="D315" s="5">
        <f>IFERROR(IF(OR($B315="",COUNTIFS(데이터!$A$2:$A$20000,$A315,데이터!$E$2:$E$20000,설정!$B$3)=0),"",$B315/SUMIFS(데이터!$C$2:$C$20000,데이터!$A$2:$A$20000,$A315,데이터!$E$2:$E$20000,설정!$B$3)-1),"")</f>
        <v/>
      </c>
      <c r="E315" s="5">
        <f>IFERROR(IF(OR($B315="",COUNTIFS(데이터!$A$2:$A$20000,$A315,데이터!$E$2:$E$20000,설정!$B$4)=0),"",$B315/SUMIFS(데이터!$C$2:$C$20000,데이터!$A$2:$A$20000,$A315,데이터!$E$2:$E$20000,설정!$B$4)-1),"")</f>
        <v/>
      </c>
      <c r="F315" s="5">
        <f>IFERROR(IF(OR($B315="",COUNTIFS(데이터!$A$2:$A$20000,$A315,데이터!$E$2:$E$20000,설정!$B$5)=0),"",$B315/SUMIFS(데이터!$C$2:$C$20000,데이터!$A$2:$A$20000,$A315,데이터!$E$2:$E$20000,설정!$B$5)-1),"")</f>
        <v/>
      </c>
      <c r="G315" s="5">
        <f>IFERROR(IF(OR($B315="",COUNTIFS(데이터!$A$2:$A$20000,$A315,데이터!$E$2:$E$20000,설정!$B$6)=0),"",$B315/SUMIFS(데이터!$C$2:$C$20000,데이터!$A$2:$A$20000,$A315,데이터!$E$2:$E$20000,설정!$B$6)-1),"")</f>
        <v/>
      </c>
      <c r="H315" s="5">
        <f>IFERROR(IF(OR($B315="",COUNTIFS(데이터!$A$2:$A$20000,$A315,데이터!$E$2:$E$20000,설정!$B$7)=0),"",$B315/SUMIFS(데이터!$C$2:$C$20000,데이터!$A$2:$A$20000,$A315,데이터!$E$2:$E$20000,설정!$B$7)-1),"")</f>
        <v/>
      </c>
      <c r="J315">
        <f>IF(C315="","",C315+ROW()*0.000000001)</f>
        <v/>
      </c>
      <c r="K315">
        <f>IF(D315="","",D315+ROW()*0.000000001)</f>
        <v/>
      </c>
      <c r="L315">
        <f>IF(E315="","",E315+ROW()*0.000000001)</f>
        <v/>
      </c>
      <c r="M315">
        <f>IF(F315="","",F315+ROW()*0.000000001)</f>
        <v/>
      </c>
      <c r="N315">
        <f>IF(G315="","",G315+ROW()*0.000000001)</f>
        <v/>
      </c>
      <c r="O315">
        <f>IF(H315="","",H315+ROW()*0.000000001)</f>
        <v/>
      </c>
    </row>
    <row r="316">
      <c r="B316" s="4">
        <f>IF($A316="","",IF(COUNTIFS(데이터!$A$2:$A$20000,$A316,데이터!$E$2:$E$20000,1)=0,"",SUMIFS(데이터!$C$2:$C$20000,데이터!$A$2:$A$20000,$A316,데이터!$E$2:$E$20000,1)))</f>
        <v/>
      </c>
      <c r="C316" s="5">
        <f>IFERROR(IF(OR($B316="",COUNTIFS(데이터!$A$2:$A$20000,$A316,데이터!$E$2:$E$20000,설정!$B$2)=0),"",$B316/SUMIFS(데이터!$C$2:$C$20000,데이터!$A$2:$A$20000,$A316,데이터!$E$2:$E$20000,설정!$B$2)-1),"")</f>
        <v/>
      </c>
      <c r="D316" s="5">
        <f>IFERROR(IF(OR($B316="",COUNTIFS(데이터!$A$2:$A$20000,$A316,데이터!$E$2:$E$20000,설정!$B$3)=0),"",$B316/SUMIFS(데이터!$C$2:$C$20000,데이터!$A$2:$A$20000,$A316,데이터!$E$2:$E$20000,설정!$B$3)-1),"")</f>
        <v/>
      </c>
      <c r="E316" s="5">
        <f>IFERROR(IF(OR($B316="",COUNTIFS(데이터!$A$2:$A$20000,$A316,데이터!$E$2:$E$20000,설정!$B$4)=0),"",$B316/SUMIFS(데이터!$C$2:$C$20000,데이터!$A$2:$A$20000,$A316,데이터!$E$2:$E$20000,설정!$B$4)-1),"")</f>
        <v/>
      </c>
      <c r="F316" s="5">
        <f>IFERROR(IF(OR($B316="",COUNTIFS(데이터!$A$2:$A$20000,$A316,데이터!$E$2:$E$20000,설정!$B$5)=0),"",$B316/SUMIFS(데이터!$C$2:$C$20000,데이터!$A$2:$A$20000,$A316,데이터!$E$2:$E$20000,설정!$B$5)-1),"")</f>
        <v/>
      </c>
      <c r="G316" s="5">
        <f>IFERROR(IF(OR($B316="",COUNTIFS(데이터!$A$2:$A$20000,$A316,데이터!$E$2:$E$20000,설정!$B$6)=0),"",$B316/SUMIFS(데이터!$C$2:$C$20000,데이터!$A$2:$A$20000,$A316,데이터!$E$2:$E$20000,설정!$B$6)-1),"")</f>
        <v/>
      </c>
      <c r="H316" s="5">
        <f>IFERROR(IF(OR($B316="",COUNTIFS(데이터!$A$2:$A$20000,$A316,데이터!$E$2:$E$20000,설정!$B$7)=0),"",$B316/SUMIFS(데이터!$C$2:$C$20000,데이터!$A$2:$A$20000,$A316,데이터!$E$2:$E$20000,설정!$B$7)-1),"")</f>
        <v/>
      </c>
      <c r="J316">
        <f>IF(C316="","",C316+ROW()*0.000000001)</f>
        <v/>
      </c>
      <c r="K316">
        <f>IF(D316="","",D316+ROW()*0.000000001)</f>
        <v/>
      </c>
      <c r="L316">
        <f>IF(E316="","",E316+ROW()*0.000000001)</f>
        <v/>
      </c>
      <c r="M316">
        <f>IF(F316="","",F316+ROW()*0.000000001)</f>
        <v/>
      </c>
      <c r="N316">
        <f>IF(G316="","",G316+ROW()*0.000000001)</f>
        <v/>
      </c>
      <c r="O316">
        <f>IF(H316="","",H316+ROW()*0.000000001)</f>
        <v/>
      </c>
    </row>
    <row r="317">
      <c r="B317" s="4">
        <f>IF($A317="","",IF(COUNTIFS(데이터!$A$2:$A$20000,$A317,데이터!$E$2:$E$20000,1)=0,"",SUMIFS(데이터!$C$2:$C$20000,데이터!$A$2:$A$20000,$A317,데이터!$E$2:$E$20000,1)))</f>
        <v/>
      </c>
      <c r="C317" s="5">
        <f>IFERROR(IF(OR($B317="",COUNTIFS(데이터!$A$2:$A$20000,$A317,데이터!$E$2:$E$20000,설정!$B$2)=0),"",$B317/SUMIFS(데이터!$C$2:$C$20000,데이터!$A$2:$A$20000,$A317,데이터!$E$2:$E$20000,설정!$B$2)-1),"")</f>
        <v/>
      </c>
      <c r="D317" s="5">
        <f>IFERROR(IF(OR($B317="",COUNTIFS(데이터!$A$2:$A$20000,$A317,데이터!$E$2:$E$20000,설정!$B$3)=0),"",$B317/SUMIFS(데이터!$C$2:$C$20000,데이터!$A$2:$A$20000,$A317,데이터!$E$2:$E$20000,설정!$B$3)-1),"")</f>
        <v/>
      </c>
      <c r="E317" s="5">
        <f>IFERROR(IF(OR($B317="",COUNTIFS(데이터!$A$2:$A$20000,$A317,데이터!$E$2:$E$20000,설정!$B$4)=0),"",$B317/SUMIFS(데이터!$C$2:$C$20000,데이터!$A$2:$A$20000,$A317,데이터!$E$2:$E$20000,설정!$B$4)-1),"")</f>
        <v/>
      </c>
      <c r="F317" s="5">
        <f>IFERROR(IF(OR($B317="",COUNTIFS(데이터!$A$2:$A$20000,$A317,데이터!$E$2:$E$20000,설정!$B$5)=0),"",$B317/SUMIFS(데이터!$C$2:$C$20000,데이터!$A$2:$A$20000,$A317,데이터!$E$2:$E$20000,설정!$B$5)-1),"")</f>
        <v/>
      </c>
      <c r="G317" s="5">
        <f>IFERROR(IF(OR($B317="",COUNTIFS(데이터!$A$2:$A$20000,$A317,데이터!$E$2:$E$20000,설정!$B$6)=0),"",$B317/SUMIFS(데이터!$C$2:$C$20000,데이터!$A$2:$A$20000,$A317,데이터!$E$2:$E$20000,설정!$B$6)-1),"")</f>
        <v/>
      </c>
      <c r="H317" s="5">
        <f>IFERROR(IF(OR($B317="",COUNTIFS(데이터!$A$2:$A$20000,$A317,데이터!$E$2:$E$20000,설정!$B$7)=0),"",$B317/SUMIFS(데이터!$C$2:$C$20000,데이터!$A$2:$A$20000,$A317,데이터!$E$2:$E$20000,설정!$B$7)-1),"")</f>
        <v/>
      </c>
      <c r="J317">
        <f>IF(C317="","",C317+ROW()*0.000000001)</f>
        <v/>
      </c>
      <c r="K317">
        <f>IF(D317="","",D317+ROW()*0.000000001)</f>
        <v/>
      </c>
      <c r="L317">
        <f>IF(E317="","",E317+ROW()*0.000000001)</f>
        <v/>
      </c>
      <c r="M317">
        <f>IF(F317="","",F317+ROW()*0.000000001)</f>
        <v/>
      </c>
      <c r="N317">
        <f>IF(G317="","",G317+ROW()*0.000000001)</f>
        <v/>
      </c>
      <c r="O317">
        <f>IF(H317="","",H317+ROW()*0.000000001)</f>
        <v/>
      </c>
    </row>
    <row r="318">
      <c r="B318" s="4">
        <f>IF($A318="","",IF(COUNTIFS(데이터!$A$2:$A$20000,$A318,데이터!$E$2:$E$20000,1)=0,"",SUMIFS(데이터!$C$2:$C$20000,데이터!$A$2:$A$20000,$A318,데이터!$E$2:$E$20000,1)))</f>
        <v/>
      </c>
      <c r="C318" s="5">
        <f>IFERROR(IF(OR($B318="",COUNTIFS(데이터!$A$2:$A$20000,$A318,데이터!$E$2:$E$20000,설정!$B$2)=0),"",$B318/SUMIFS(데이터!$C$2:$C$20000,데이터!$A$2:$A$20000,$A318,데이터!$E$2:$E$20000,설정!$B$2)-1),"")</f>
        <v/>
      </c>
      <c r="D318" s="5">
        <f>IFERROR(IF(OR($B318="",COUNTIFS(데이터!$A$2:$A$20000,$A318,데이터!$E$2:$E$20000,설정!$B$3)=0),"",$B318/SUMIFS(데이터!$C$2:$C$20000,데이터!$A$2:$A$20000,$A318,데이터!$E$2:$E$20000,설정!$B$3)-1),"")</f>
        <v/>
      </c>
      <c r="E318" s="5">
        <f>IFERROR(IF(OR($B318="",COUNTIFS(데이터!$A$2:$A$20000,$A318,데이터!$E$2:$E$20000,설정!$B$4)=0),"",$B318/SUMIFS(데이터!$C$2:$C$20000,데이터!$A$2:$A$20000,$A318,데이터!$E$2:$E$20000,설정!$B$4)-1),"")</f>
        <v/>
      </c>
      <c r="F318" s="5">
        <f>IFERROR(IF(OR($B318="",COUNTIFS(데이터!$A$2:$A$20000,$A318,데이터!$E$2:$E$20000,설정!$B$5)=0),"",$B318/SUMIFS(데이터!$C$2:$C$20000,데이터!$A$2:$A$20000,$A318,데이터!$E$2:$E$20000,설정!$B$5)-1),"")</f>
        <v/>
      </c>
      <c r="G318" s="5">
        <f>IFERROR(IF(OR($B318="",COUNTIFS(데이터!$A$2:$A$20000,$A318,데이터!$E$2:$E$20000,설정!$B$6)=0),"",$B318/SUMIFS(데이터!$C$2:$C$20000,데이터!$A$2:$A$20000,$A318,데이터!$E$2:$E$20000,설정!$B$6)-1),"")</f>
        <v/>
      </c>
      <c r="H318" s="5">
        <f>IFERROR(IF(OR($B318="",COUNTIFS(데이터!$A$2:$A$20000,$A318,데이터!$E$2:$E$20000,설정!$B$7)=0),"",$B318/SUMIFS(데이터!$C$2:$C$20000,데이터!$A$2:$A$20000,$A318,데이터!$E$2:$E$20000,설정!$B$7)-1),"")</f>
        <v/>
      </c>
      <c r="J318">
        <f>IF(C318="","",C318+ROW()*0.000000001)</f>
        <v/>
      </c>
      <c r="K318">
        <f>IF(D318="","",D318+ROW()*0.000000001)</f>
        <v/>
      </c>
      <c r="L318">
        <f>IF(E318="","",E318+ROW()*0.000000001)</f>
        <v/>
      </c>
      <c r="M318">
        <f>IF(F318="","",F318+ROW()*0.000000001)</f>
        <v/>
      </c>
      <c r="N318">
        <f>IF(G318="","",G318+ROW()*0.000000001)</f>
        <v/>
      </c>
      <c r="O318">
        <f>IF(H318="","",H318+ROW()*0.000000001)</f>
        <v/>
      </c>
    </row>
    <row r="319">
      <c r="B319" s="4">
        <f>IF($A319="","",IF(COUNTIFS(데이터!$A$2:$A$20000,$A319,데이터!$E$2:$E$20000,1)=0,"",SUMIFS(데이터!$C$2:$C$20000,데이터!$A$2:$A$20000,$A319,데이터!$E$2:$E$20000,1)))</f>
        <v/>
      </c>
      <c r="C319" s="5">
        <f>IFERROR(IF(OR($B319="",COUNTIFS(데이터!$A$2:$A$20000,$A319,데이터!$E$2:$E$20000,설정!$B$2)=0),"",$B319/SUMIFS(데이터!$C$2:$C$20000,데이터!$A$2:$A$20000,$A319,데이터!$E$2:$E$20000,설정!$B$2)-1),"")</f>
        <v/>
      </c>
      <c r="D319" s="5">
        <f>IFERROR(IF(OR($B319="",COUNTIFS(데이터!$A$2:$A$20000,$A319,데이터!$E$2:$E$20000,설정!$B$3)=0),"",$B319/SUMIFS(데이터!$C$2:$C$20000,데이터!$A$2:$A$20000,$A319,데이터!$E$2:$E$20000,설정!$B$3)-1),"")</f>
        <v/>
      </c>
      <c r="E319" s="5">
        <f>IFERROR(IF(OR($B319="",COUNTIFS(데이터!$A$2:$A$20000,$A319,데이터!$E$2:$E$20000,설정!$B$4)=0),"",$B319/SUMIFS(데이터!$C$2:$C$20000,데이터!$A$2:$A$20000,$A319,데이터!$E$2:$E$20000,설정!$B$4)-1),"")</f>
        <v/>
      </c>
      <c r="F319" s="5">
        <f>IFERROR(IF(OR($B319="",COUNTIFS(데이터!$A$2:$A$20000,$A319,데이터!$E$2:$E$20000,설정!$B$5)=0),"",$B319/SUMIFS(데이터!$C$2:$C$20000,데이터!$A$2:$A$20000,$A319,데이터!$E$2:$E$20000,설정!$B$5)-1),"")</f>
        <v/>
      </c>
      <c r="G319" s="5">
        <f>IFERROR(IF(OR($B319="",COUNTIFS(데이터!$A$2:$A$20000,$A319,데이터!$E$2:$E$20000,설정!$B$6)=0),"",$B319/SUMIFS(데이터!$C$2:$C$20000,데이터!$A$2:$A$20000,$A319,데이터!$E$2:$E$20000,설정!$B$6)-1),"")</f>
        <v/>
      </c>
      <c r="H319" s="5">
        <f>IFERROR(IF(OR($B319="",COUNTIFS(데이터!$A$2:$A$20000,$A319,데이터!$E$2:$E$20000,설정!$B$7)=0),"",$B319/SUMIFS(데이터!$C$2:$C$20000,데이터!$A$2:$A$20000,$A319,데이터!$E$2:$E$20000,설정!$B$7)-1),"")</f>
        <v/>
      </c>
      <c r="J319">
        <f>IF(C319="","",C319+ROW()*0.000000001)</f>
        <v/>
      </c>
      <c r="K319">
        <f>IF(D319="","",D319+ROW()*0.000000001)</f>
        <v/>
      </c>
      <c r="L319">
        <f>IF(E319="","",E319+ROW()*0.000000001)</f>
        <v/>
      </c>
      <c r="M319">
        <f>IF(F319="","",F319+ROW()*0.000000001)</f>
        <v/>
      </c>
      <c r="N319">
        <f>IF(G319="","",G319+ROW()*0.000000001)</f>
        <v/>
      </c>
      <c r="O319">
        <f>IF(H319="","",H319+ROW()*0.000000001)</f>
        <v/>
      </c>
    </row>
    <row r="320">
      <c r="B320" s="4">
        <f>IF($A320="","",IF(COUNTIFS(데이터!$A$2:$A$20000,$A320,데이터!$E$2:$E$20000,1)=0,"",SUMIFS(데이터!$C$2:$C$20000,데이터!$A$2:$A$20000,$A320,데이터!$E$2:$E$20000,1)))</f>
        <v/>
      </c>
      <c r="C320" s="5">
        <f>IFERROR(IF(OR($B320="",COUNTIFS(데이터!$A$2:$A$20000,$A320,데이터!$E$2:$E$20000,설정!$B$2)=0),"",$B320/SUMIFS(데이터!$C$2:$C$20000,데이터!$A$2:$A$20000,$A320,데이터!$E$2:$E$20000,설정!$B$2)-1),"")</f>
        <v/>
      </c>
      <c r="D320" s="5">
        <f>IFERROR(IF(OR($B320="",COUNTIFS(데이터!$A$2:$A$20000,$A320,데이터!$E$2:$E$20000,설정!$B$3)=0),"",$B320/SUMIFS(데이터!$C$2:$C$20000,데이터!$A$2:$A$20000,$A320,데이터!$E$2:$E$20000,설정!$B$3)-1),"")</f>
        <v/>
      </c>
      <c r="E320" s="5">
        <f>IFERROR(IF(OR($B320="",COUNTIFS(데이터!$A$2:$A$20000,$A320,데이터!$E$2:$E$20000,설정!$B$4)=0),"",$B320/SUMIFS(데이터!$C$2:$C$20000,데이터!$A$2:$A$20000,$A320,데이터!$E$2:$E$20000,설정!$B$4)-1),"")</f>
        <v/>
      </c>
      <c r="F320" s="5">
        <f>IFERROR(IF(OR($B320="",COUNTIFS(데이터!$A$2:$A$20000,$A320,데이터!$E$2:$E$20000,설정!$B$5)=0),"",$B320/SUMIFS(데이터!$C$2:$C$20000,데이터!$A$2:$A$20000,$A320,데이터!$E$2:$E$20000,설정!$B$5)-1),"")</f>
        <v/>
      </c>
      <c r="G320" s="5">
        <f>IFERROR(IF(OR($B320="",COUNTIFS(데이터!$A$2:$A$20000,$A320,데이터!$E$2:$E$20000,설정!$B$6)=0),"",$B320/SUMIFS(데이터!$C$2:$C$20000,데이터!$A$2:$A$20000,$A320,데이터!$E$2:$E$20000,설정!$B$6)-1),"")</f>
        <v/>
      </c>
      <c r="H320" s="5">
        <f>IFERROR(IF(OR($B320="",COUNTIFS(데이터!$A$2:$A$20000,$A320,데이터!$E$2:$E$20000,설정!$B$7)=0),"",$B320/SUMIFS(데이터!$C$2:$C$20000,데이터!$A$2:$A$20000,$A320,데이터!$E$2:$E$20000,설정!$B$7)-1),"")</f>
        <v/>
      </c>
      <c r="J320">
        <f>IF(C320="","",C320+ROW()*0.000000001)</f>
        <v/>
      </c>
      <c r="K320">
        <f>IF(D320="","",D320+ROW()*0.000000001)</f>
        <v/>
      </c>
      <c r="L320">
        <f>IF(E320="","",E320+ROW()*0.000000001)</f>
        <v/>
      </c>
      <c r="M320">
        <f>IF(F320="","",F320+ROW()*0.000000001)</f>
        <v/>
      </c>
      <c r="N320">
        <f>IF(G320="","",G320+ROW()*0.000000001)</f>
        <v/>
      </c>
      <c r="O320">
        <f>IF(H320="","",H320+ROW()*0.000000001)</f>
        <v/>
      </c>
    </row>
    <row r="321">
      <c r="B321" s="4">
        <f>IF($A321="","",IF(COUNTIFS(데이터!$A$2:$A$20000,$A321,데이터!$E$2:$E$20000,1)=0,"",SUMIFS(데이터!$C$2:$C$20000,데이터!$A$2:$A$20000,$A321,데이터!$E$2:$E$20000,1)))</f>
        <v/>
      </c>
      <c r="C321" s="5">
        <f>IFERROR(IF(OR($B321="",COUNTIFS(데이터!$A$2:$A$20000,$A321,데이터!$E$2:$E$20000,설정!$B$2)=0),"",$B321/SUMIFS(데이터!$C$2:$C$20000,데이터!$A$2:$A$20000,$A321,데이터!$E$2:$E$20000,설정!$B$2)-1),"")</f>
        <v/>
      </c>
      <c r="D321" s="5">
        <f>IFERROR(IF(OR($B321="",COUNTIFS(데이터!$A$2:$A$20000,$A321,데이터!$E$2:$E$20000,설정!$B$3)=0),"",$B321/SUMIFS(데이터!$C$2:$C$20000,데이터!$A$2:$A$20000,$A321,데이터!$E$2:$E$20000,설정!$B$3)-1),"")</f>
        <v/>
      </c>
      <c r="E321" s="5">
        <f>IFERROR(IF(OR($B321="",COUNTIFS(데이터!$A$2:$A$20000,$A321,데이터!$E$2:$E$20000,설정!$B$4)=0),"",$B321/SUMIFS(데이터!$C$2:$C$20000,데이터!$A$2:$A$20000,$A321,데이터!$E$2:$E$20000,설정!$B$4)-1),"")</f>
        <v/>
      </c>
      <c r="F321" s="5">
        <f>IFERROR(IF(OR($B321="",COUNTIFS(데이터!$A$2:$A$20000,$A321,데이터!$E$2:$E$20000,설정!$B$5)=0),"",$B321/SUMIFS(데이터!$C$2:$C$20000,데이터!$A$2:$A$20000,$A321,데이터!$E$2:$E$20000,설정!$B$5)-1),"")</f>
        <v/>
      </c>
      <c r="G321" s="5">
        <f>IFERROR(IF(OR($B321="",COUNTIFS(데이터!$A$2:$A$20000,$A321,데이터!$E$2:$E$20000,설정!$B$6)=0),"",$B321/SUMIFS(데이터!$C$2:$C$20000,데이터!$A$2:$A$20000,$A321,데이터!$E$2:$E$20000,설정!$B$6)-1),"")</f>
        <v/>
      </c>
      <c r="H321" s="5">
        <f>IFERROR(IF(OR($B321="",COUNTIFS(데이터!$A$2:$A$20000,$A321,데이터!$E$2:$E$20000,설정!$B$7)=0),"",$B321/SUMIFS(데이터!$C$2:$C$20000,데이터!$A$2:$A$20000,$A321,데이터!$E$2:$E$20000,설정!$B$7)-1),"")</f>
        <v/>
      </c>
      <c r="J321">
        <f>IF(C321="","",C321+ROW()*0.000000001)</f>
        <v/>
      </c>
      <c r="K321">
        <f>IF(D321="","",D321+ROW()*0.000000001)</f>
        <v/>
      </c>
      <c r="L321">
        <f>IF(E321="","",E321+ROW()*0.000000001)</f>
        <v/>
      </c>
      <c r="M321">
        <f>IF(F321="","",F321+ROW()*0.000000001)</f>
        <v/>
      </c>
      <c r="N321">
        <f>IF(G321="","",G321+ROW()*0.000000001)</f>
        <v/>
      </c>
      <c r="O321">
        <f>IF(H321="","",H321+ROW()*0.000000001)</f>
        <v/>
      </c>
    </row>
    <row r="322">
      <c r="B322" s="4">
        <f>IF($A322="","",IF(COUNTIFS(데이터!$A$2:$A$20000,$A322,데이터!$E$2:$E$20000,1)=0,"",SUMIFS(데이터!$C$2:$C$20000,데이터!$A$2:$A$20000,$A322,데이터!$E$2:$E$20000,1)))</f>
        <v/>
      </c>
      <c r="C322" s="5">
        <f>IFERROR(IF(OR($B322="",COUNTIFS(데이터!$A$2:$A$20000,$A322,데이터!$E$2:$E$20000,설정!$B$2)=0),"",$B322/SUMIFS(데이터!$C$2:$C$20000,데이터!$A$2:$A$20000,$A322,데이터!$E$2:$E$20000,설정!$B$2)-1),"")</f>
        <v/>
      </c>
      <c r="D322" s="5">
        <f>IFERROR(IF(OR($B322="",COUNTIFS(데이터!$A$2:$A$20000,$A322,데이터!$E$2:$E$20000,설정!$B$3)=0),"",$B322/SUMIFS(데이터!$C$2:$C$20000,데이터!$A$2:$A$20000,$A322,데이터!$E$2:$E$20000,설정!$B$3)-1),"")</f>
        <v/>
      </c>
      <c r="E322" s="5">
        <f>IFERROR(IF(OR($B322="",COUNTIFS(데이터!$A$2:$A$20000,$A322,데이터!$E$2:$E$20000,설정!$B$4)=0),"",$B322/SUMIFS(데이터!$C$2:$C$20000,데이터!$A$2:$A$20000,$A322,데이터!$E$2:$E$20000,설정!$B$4)-1),"")</f>
        <v/>
      </c>
      <c r="F322" s="5">
        <f>IFERROR(IF(OR($B322="",COUNTIFS(데이터!$A$2:$A$20000,$A322,데이터!$E$2:$E$20000,설정!$B$5)=0),"",$B322/SUMIFS(데이터!$C$2:$C$20000,데이터!$A$2:$A$20000,$A322,데이터!$E$2:$E$20000,설정!$B$5)-1),"")</f>
        <v/>
      </c>
      <c r="G322" s="5">
        <f>IFERROR(IF(OR($B322="",COUNTIFS(데이터!$A$2:$A$20000,$A322,데이터!$E$2:$E$20000,설정!$B$6)=0),"",$B322/SUMIFS(데이터!$C$2:$C$20000,데이터!$A$2:$A$20000,$A322,데이터!$E$2:$E$20000,설정!$B$6)-1),"")</f>
        <v/>
      </c>
      <c r="H322" s="5">
        <f>IFERROR(IF(OR($B322="",COUNTIFS(데이터!$A$2:$A$20000,$A322,데이터!$E$2:$E$20000,설정!$B$7)=0),"",$B322/SUMIFS(데이터!$C$2:$C$20000,데이터!$A$2:$A$20000,$A322,데이터!$E$2:$E$20000,설정!$B$7)-1),"")</f>
        <v/>
      </c>
      <c r="J322">
        <f>IF(C322="","",C322+ROW()*0.000000001)</f>
        <v/>
      </c>
      <c r="K322">
        <f>IF(D322="","",D322+ROW()*0.000000001)</f>
        <v/>
      </c>
      <c r="L322">
        <f>IF(E322="","",E322+ROW()*0.000000001)</f>
        <v/>
      </c>
      <c r="M322">
        <f>IF(F322="","",F322+ROW()*0.000000001)</f>
        <v/>
      </c>
      <c r="N322">
        <f>IF(G322="","",G322+ROW()*0.000000001)</f>
        <v/>
      </c>
      <c r="O322">
        <f>IF(H322="","",H322+ROW()*0.000000001)</f>
        <v/>
      </c>
    </row>
    <row r="323">
      <c r="B323" s="4">
        <f>IF($A323="","",IF(COUNTIFS(데이터!$A$2:$A$20000,$A323,데이터!$E$2:$E$20000,1)=0,"",SUMIFS(데이터!$C$2:$C$20000,데이터!$A$2:$A$20000,$A323,데이터!$E$2:$E$20000,1)))</f>
        <v/>
      </c>
      <c r="C323" s="5">
        <f>IFERROR(IF(OR($B323="",COUNTIFS(데이터!$A$2:$A$20000,$A323,데이터!$E$2:$E$20000,설정!$B$2)=0),"",$B323/SUMIFS(데이터!$C$2:$C$20000,데이터!$A$2:$A$20000,$A323,데이터!$E$2:$E$20000,설정!$B$2)-1),"")</f>
        <v/>
      </c>
      <c r="D323" s="5">
        <f>IFERROR(IF(OR($B323="",COUNTIFS(데이터!$A$2:$A$20000,$A323,데이터!$E$2:$E$20000,설정!$B$3)=0),"",$B323/SUMIFS(데이터!$C$2:$C$20000,데이터!$A$2:$A$20000,$A323,데이터!$E$2:$E$20000,설정!$B$3)-1),"")</f>
        <v/>
      </c>
      <c r="E323" s="5">
        <f>IFERROR(IF(OR($B323="",COUNTIFS(데이터!$A$2:$A$20000,$A323,데이터!$E$2:$E$20000,설정!$B$4)=0),"",$B323/SUMIFS(데이터!$C$2:$C$20000,데이터!$A$2:$A$20000,$A323,데이터!$E$2:$E$20000,설정!$B$4)-1),"")</f>
        <v/>
      </c>
      <c r="F323" s="5">
        <f>IFERROR(IF(OR($B323="",COUNTIFS(데이터!$A$2:$A$20000,$A323,데이터!$E$2:$E$20000,설정!$B$5)=0),"",$B323/SUMIFS(데이터!$C$2:$C$20000,데이터!$A$2:$A$20000,$A323,데이터!$E$2:$E$20000,설정!$B$5)-1),"")</f>
        <v/>
      </c>
      <c r="G323" s="5">
        <f>IFERROR(IF(OR($B323="",COUNTIFS(데이터!$A$2:$A$20000,$A323,데이터!$E$2:$E$20000,설정!$B$6)=0),"",$B323/SUMIFS(데이터!$C$2:$C$20000,데이터!$A$2:$A$20000,$A323,데이터!$E$2:$E$20000,설정!$B$6)-1),"")</f>
        <v/>
      </c>
      <c r="H323" s="5">
        <f>IFERROR(IF(OR($B323="",COUNTIFS(데이터!$A$2:$A$20000,$A323,데이터!$E$2:$E$20000,설정!$B$7)=0),"",$B323/SUMIFS(데이터!$C$2:$C$20000,데이터!$A$2:$A$20000,$A323,데이터!$E$2:$E$20000,설정!$B$7)-1),"")</f>
        <v/>
      </c>
      <c r="J323">
        <f>IF(C323="","",C323+ROW()*0.000000001)</f>
        <v/>
      </c>
      <c r="K323">
        <f>IF(D323="","",D323+ROW()*0.000000001)</f>
        <v/>
      </c>
      <c r="L323">
        <f>IF(E323="","",E323+ROW()*0.000000001)</f>
        <v/>
      </c>
      <c r="M323">
        <f>IF(F323="","",F323+ROW()*0.000000001)</f>
        <v/>
      </c>
      <c r="N323">
        <f>IF(G323="","",G323+ROW()*0.000000001)</f>
        <v/>
      </c>
      <c r="O323">
        <f>IF(H323="","",H323+ROW()*0.000000001)</f>
        <v/>
      </c>
    </row>
    <row r="324">
      <c r="B324" s="4">
        <f>IF($A324="","",IF(COUNTIFS(데이터!$A$2:$A$20000,$A324,데이터!$E$2:$E$20000,1)=0,"",SUMIFS(데이터!$C$2:$C$20000,데이터!$A$2:$A$20000,$A324,데이터!$E$2:$E$20000,1)))</f>
        <v/>
      </c>
      <c r="C324" s="5">
        <f>IFERROR(IF(OR($B324="",COUNTIFS(데이터!$A$2:$A$20000,$A324,데이터!$E$2:$E$20000,설정!$B$2)=0),"",$B324/SUMIFS(데이터!$C$2:$C$20000,데이터!$A$2:$A$20000,$A324,데이터!$E$2:$E$20000,설정!$B$2)-1),"")</f>
        <v/>
      </c>
      <c r="D324" s="5">
        <f>IFERROR(IF(OR($B324="",COUNTIFS(데이터!$A$2:$A$20000,$A324,데이터!$E$2:$E$20000,설정!$B$3)=0),"",$B324/SUMIFS(데이터!$C$2:$C$20000,데이터!$A$2:$A$20000,$A324,데이터!$E$2:$E$20000,설정!$B$3)-1),"")</f>
        <v/>
      </c>
      <c r="E324" s="5">
        <f>IFERROR(IF(OR($B324="",COUNTIFS(데이터!$A$2:$A$20000,$A324,데이터!$E$2:$E$20000,설정!$B$4)=0),"",$B324/SUMIFS(데이터!$C$2:$C$20000,데이터!$A$2:$A$20000,$A324,데이터!$E$2:$E$20000,설정!$B$4)-1),"")</f>
        <v/>
      </c>
      <c r="F324" s="5">
        <f>IFERROR(IF(OR($B324="",COUNTIFS(데이터!$A$2:$A$20000,$A324,데이터!$E$2:$E$20000,설정!$B$5)=0),"",$B324/SUMIFS(데이터!$C$2:$C$20000,데이터!$A$2:$A$20000,$A324,데이터!$E$2:$E$20000,설정!$B$5)-1),"")</f>
        <v/>
      </c>
      <c r="G324" s="5">
        <f>IFERROR(IF(OR($B324="",COUNTIFS(데이터!$A$2:$A$20000,$A324,데이터!$E$2:$E$20000,설정!$B$6)=0),"",$B324/SUMIFS(데이터!$C$2:$C$20000,데이터!$A$2:$A$20000,$A324,데이터!$E$2:$E$20000,설정!$B$6)-1),"")</f>
        <v/>
      </c>
      <c r="H324" s="5">
        <f>IFERROR(IF(OR($B324="",COUNTIFS(데이터!$A$2:$A$20000,$A324,데이터!$E$2:$E$20000,설정!$B$7)=0),"",$B324/SUMIFS(데이터!$C$2:$C$20000,데이터!$A$2:$A$20000,$A324,데이터!$E$2:$E$20000,설정!$B$7)-1),"")</f>
        <v/>
      </c>
      <c r="J324">
        <f>IF(C324="","",C324+ROW()*0.000000001)</f>
        <v/>
      </c>
      <c r="K324">
        <f>IF(D324="","",D324+ROW()*0.000000001)</f>
        <v/>
      </c>
      <c r="L324">
        <f>IF(E324="","",E324+ROW()*0.000000001)</f>
        <v/>
      </c>
      <c r="M324">
        <f>IF(F324="","",F324+ROW()*0.000000001)</f>
        <v/>
      </c>
      <c r="N324">
        <f>IF(G324="","",G324+ROW()*0.000000001)</f>
        <v/>
      </c>
      <c r="O324">
        <f>IF(H324="","",H324+ROW()*0.000000001)</f>
        <v/>
      </c>
    </row>
    <row r="325">
      <c r="B325" s="4">
        <f>IF($A325="","",IF(COUNTIFS(데이터!$A$2:$A$20000,$A325,데이터!$E$2:$E$20000,1)=0,"",SUMIFS(데이터!$C$2:$C$20000,데이터!$A$2:$A$20000,$A325,데이터!$E$2:$E$20000,1)))</f>
        <v/>
      </c>
      <c r="C325" s="5">
        <f>IFERROR(IF(OR($B325="",COUNTIFS(데이터!$A$2:$A$20000,$A325,데이터!$E$2:$E$20000,설정!$B$2)=0),"",$B325/SUMIFS(데이터!$C$2:$C$20000,데이터!$A$2:$A$20000,$A325,데이터!$E$2:$E$20000,설정!$B$2)-1),"")</f>
        <v/>
      </c>
      <c r="D325" s="5">
        <f>IFERROR(IF(OR($B325="",COUNTIFS(데이터!$A$2:$A$20000,$A325,데이터!$E$2:$E$20000,설정!$B$3)=0),"",$B325/SUMIFS(데이터!$C$2:$C$20000,데이터!$A$2:$A$20000,$A325,데이터!$E$2:$E$20000,설정!$B$3)-1),"")</f>
        <v/>
      </c>
      <c r="E325" s="5">
        <f>IFERROR(IF(OR($B325="",COUNTIFS(데이터!$A$2:$A$20000,$A325,데이터!$E$2:$E$20000,설정!$B$4)=0),"",$B325/SUMIFS(데이터!$C$2:$C$20000,데이터!$A$2:$A$20000,$A325,데이터!$E$2:$E$20000,설정!$B$4)-1),"")</f>
        <v/>
      </c>
      <c r="F325" s="5">
        <f>IFERROR(IF(OR($B325="",COUNTIFS(데이터!$A$2:$A$20000,$A325,데이터!$E$2:$E$20000,설정!$B$5)=0),"",$B325/SUMIFS(데이터!$C$2:$C$20000,데이터!$A$2:$A$20000,$A325,데이터!$E$2:$E$20000,설정!$B$5)-1),"")</f>
        <v/>
      </c>
      <c r="G325" s="5">
        <f>IFERROR(IF(OR($B325="",COUNTIFS(데이터!$A$2:$A$20000,$A325,데이터!$E$2:$E$20000,설정!$B$6)=0),"",$B325/SUMIFS(데이터!$C$2:$C$20000,데이터!$A$2:$A$20000,$A325,데이터!$E$2:$E$20000,설정!$B$6)-1),"")</f>
        <v/>
      </c>
      <c r="H325" s="5">
        <f>IFERROR(IF(OR($B325="",COUNTIFS(데이터!$A$2:$A$20000,$A325,데이터!$E$2:$E$20000,설정!$B$7)=0),"",$B325/SUMIFS(데이터!$C$2:$C$20000,데이터!$A$2:$A$20000,$A325,데이터!$E$2:$E$20000,설정!$B$7)-1),"")</f>
        <v/>
      </c>
      <c r="J325">
        <f>IF(C325="","",C325+ROW()*0.000000001)</f>
        <v/>
      </c>
      <c r="K325">
        <f>IF(D325="","",D325+ROW()*0.000000001)</f>
        <v/>
      </c>
      <c r="L325">
        <f>IF(E325="","",E325+ROW()*0.000000001)</f>
        <v/>
      </c>
      <c r="M325">
        <f>IF(F325="","",F325+ROW()*0.000000001)</f>
        <v/>
      </c>
      <c r="N325">
        <f>IF(G325="","",G325+ROW()*0.000000001)</f>
        <v/>
      </c>
      <c r="O325">
        <f>IF(H325="","",H325+ROW()*0.000000001)</f>
        <v/>
      </c>
    </row>
    <row r="326">
      <c r="B326" s="4">
        <f>IF($A326="","",IF(COUNTIFS(데이터!$A$2:$A$20000,$A326,데이터!$E$2:$E$20000,1)=0,"",SUMIFS(데이터!$C$2:$C$20000,데이터!$A$2:$A$20000,$A326,데이터!$E$2:$E$20000,1)))</f>
        <v/>
      </c>
      <c r="C326" s="5">
        <f>IFERROR(IF(OR($B326="",COUNTIFS(데이터!$A$2:$A$20000,$A326,데이터!$E$2:$E$20000,설정!$B$2)=0),"",$B326/SUMIFS(데이터!$C$2:$C$20000,데이터!$A$2:$A$20000,$A326,데이터!$E$2:$E$20000,설정!$B$2)-1),"")</f>
        <v/>
      </c>
      <c r="D326" s="5">
        <f>IFERROR(IF(OR($B326="",COUNTIFS(데이터!$A$2:$A$20000,$A326,데이터!$E$2:$E$20000,설정!$B$3)=0),"",$B326/SUMIFS(데이터!$C$2:$C$20000,데이터!$A$2:$A$20000,$A326,데이터!$E$2:$E$20000,설정!$B$3)-1),"")</f>
        <v/>
      </c>
      <c r="E326" s="5">
        <f>IFERROR(IF(OR($B326="",COUNTIFS(데이터!$A$2:$A$20000,$A326,데이터!$E$2:$E$20000,설정!$B$4)=0),"",$B326/SUMIFS(데이터!$C$2:$C$20000,데이터!$A$2:$A$20000,$A326,데이터!$E$2:$E$20000,설정!$B$4)-1),"")</f>
        <v/>
      </c>
      <c r="F326" s="5">
        <f>IFERROR(IF(OR($B326="",COUNTIFS(데이터!$A$2:$A$20000,$A326,데이터!$E$2:$E$20000,설정!$B$5)=0),"",$B326/SUMIFS(데이터!$C$2:$C$20000,데이터!$A$2:$A$20000,$A326,데이터!$E$2:$E$20000,설정!$B$5)-1),"")</f>
        <v/>
      </c>
      <c r="G326" s="5">
        <f>IFERROR(IF(OR($B326="",COUNTIFS(데이터!$A$2:$A$20000,$A326,데이터!$E$2:$E$20000,설정!$B$6)=0),"",$B326/SUMIFS(데이터!$C$2:$C$20000,데이터!$A$2:$A$20000,$A326,데이터!$E$2:$E$20000,설정!$B$6)-1),"")</f>
        <v/>
      </c>
      <c r="H326" s="5">
        <f>IFERROR(IF(OR($B326="",COUNTIFS(데이터!$A$2:$A$20000,$A326,데이터!$E$2:$E$20000,설정!$B$7)=0),"",$B326/SUMIFS(데이터!$C$2:$C$20000,데이터!$A$2:$A$20000,$A326,데이터!$E$2:$E$20000,설정!$B$7)-1),"")</f>
        <v/>
      </c>
      <c r="J326">
        <f>IF(C326="","",C326+ROW()*0.000000001)</f>
        <v/>
      </c>
      <c r="K326">
        <f>IF(D326="","",D326+ROW()*0.000000001)</f>
        <v/>
      </c>
      <c r="L326">
        <f>IF(E326="","",E326+ROW()*0.000000001)</f>
        <v/>
      </c>
      <c r="M326">
        <f>IF(F326="","",F326+ROW()*0.000000001)</f>
        <v/>
      </c>
      <c r="N326">
        <f>IF(G326="","",G326+ROW()*0.000000001)</f>
        <v/>
      </c>
      <c r="O326">
        <f>IF(H326="","",H326+ROW()*0.000000001)</f>
        <v/>
      </c>
    </row>
    <row r="327">
      <c r="B327" s="4">
        <f>IF($A327="","",IF(COUNTIFS(데이터!$A$2:$A$20000,$A327,데이터!$E$2:$E$20000,1)=0,"",SUMIFS(데이터!$C$2:$C$20000,데이터!$A$2:$A$20000,$A327,데이터!$E$2:$E$20000,1)))</f>
        <v/>
      </c>
      <c r="C327" s="5">
        <f>IFERROR(IF(OR($B327="",COUNTIFS(데이터!$A$2:$A$20000,$A327,데이터!$E$2:$E$20000,설정!$B$2)=0),"",$B327/SUMIFS(데이터!$C$2:$C$20000,데이터!$A$2:$A$20000,$A327,데이터!$E$2:$E$20000,설정!$B$2)-1),"")</f>
        <v/>
      </c>
      <c r="D327" s="5">
        <f>IFERROR(IF(OR($B327="",COUNTIFS(데이터!$A$2:$A$20000,$A327,데이터!$E$2:$E$20000,설정!$B$3)=0),"",$B327/SUMIFS(데이터!$C$2:$C$20000,데이터!$A$2:$A$20000,$A327,데이터!$E$2:$E$20000,설정!$B$3)-1),"")</f>
        <v/>
      </c>
      <c r="E327" s="5">
        <f>IFERROR(IF(OR($B327="",COUNTIFS(데이터!$A$2:$A$20000,$A327,데이터!$E$2:$E$20000,설정!$B$4)=0),"",$B327/SUMIFS(데이터!$C$2:$C$20000,데이터!$A$2:$A$20000,$A327,데이터!$E$2:$E$20000,설정!$B$4)-1),"")</f>
        <v/>
      </c>
      <c r="F327" s="5">
        <f>IFERROR(IF(OR($B327="",COUNTIFS(데이터!$A$2:$A$20000,$A327,데이터!$E$2:$E$20000,설정!$B$5)=0),"",$B327/SUMIFS(데이터!$C$2:$C$20000,데이터!$A$2:$A$20000,$A327,데이터!$E$2:$E$20000,설정!$B$5)-1),"")</f>
        <v/>
      </c>
      <c r="G327" s="5">
        <f>IFERROR(IF(OR($B327="",COUNTIFS(데이터!$A$2:$A$20000,$A327,데이터!$E$2:$E$20000,설정!$B$6)=0),"",$B327/SUMIFS(데이터!$C$2:$C$20000,데이터!$A$2:$A$20000,$A327,데이터!$E$2:$E$20000,설정!$B$6)-1),"")</f>
        <v/>
      </c>
      <c r="H327" s="5">
        <f>IFERROR(IF(OR($B327="",COUNTIFS(데이터!$A$2:$A$20000,$A327,데이터!$E$2:$E$20000,설정!$B$7)=0),"",$B327/SUMIFS(데이터!$C$2:$C$20000,데이터!$A$2:$A$20000,$A327,데이터!$E$2:$E$20000,설정!$B$7)-1),"")</f>
        <v/>
      </c>
      <c r="J327">
        <f>IF(C327="","",C327+ROW()*0.000000001)</f>
        <v/>
      </c>
      <c r="K327">
        <f>IF(D327="","",D327+ROW()*0.000000001)</f>
        <v/>
      </c>
      <c r="L327">
        <f>IF(E327="","",E327+ROW()*0.000000001)</f>
        <v/>
      </c>
      <c r="M327">
        <f>IF(F327="","",F327+ROW()*0.000000001)</f>
        <v/>
      </c>
      <c r="N327">
        <f>IF(G327="","",G327+ROW()*0.000000001)</f>
        <v/>
      </c>
      <c r="O327">
        <f>IF(H327="","",H327+ROW()*0.000000001)</f>
        <v/>
      </c>
    </row>
    <row r="328">
      <c r="B328" s="4">
        <f>IF($A328="","",IF(COUNTIFS(데이터!$A$2:$A$20000,$A328,데이터!$E$2:$E$20000,1)=0,"",SUMIFS(데이터!$C$2:$C$20000,데이터!$A$2:$A$20000,$A328,데이터!$E$2:$E$20000,1)))</f>
        <v/>
      </c>
      <c r="C328" s="5">
        <f>IFERROR(IF(OR($B328="",COUNTIFS(데이터!$A$2:$A$20000,$A328,데이터!$E$2:$E$20000,설정!$B$2)=0),"",$B328/SUMIFS(데이터!$C$2:$C$20000,데이터!$A$2:$A$20000,$A328,데이터!$E$2:$E$20000,설정!$B$2)-1),"")</f>
        <v/>
      </c>
      <c r="D328" s="5">
        <f>IFERROR(IF(OR($B328="",COUNTIFS(데이터!$A$2:$A$20000,$A328,데이터!$E$2:$E$20000,설정!$B$3)=0),"",$B328/SUMIFS(데이터!$C$2:$C$20000,데이터!$A$2:$A$20000,$A328,데이터!$E$2:$E$20000,설정!$B$3)-1),"")</f>
        <v/>
      </c>
      <c r="E328" s="5">
        <f>IFERROR(IF(OR($B328="",COUNTIFS(데이터!$A$2:$A$20000,$A328,데이터!$E$2:$E$20000,설정!$B$4)=0),"",$B328/SUMIFS(데이터!$C$2:$C$20000,데이터!$A$2:$A$20000,$A328,데이터!$E$2:$E$20000,설정!$B$4)-1),"")</f>
        <v/>
      </c>
      <c r="F328" s="5">
        <f>IFERROR(IF(OR($B328="",COUNTIFS(데이터!$A$2:$A$20000,$A328,데이터!$E$2:$E$20000,설정!$B$5)=0),"",$B328/SUMIFS(데이터!$C$2:$C$20000,데이터!$A$2:$A$20000,$A328,데이터!$E$2:$E$20000,설정!$B$5)-1),"")</f>
        <v/>
      </c>
      <c r="G328" s="5">
        <f>IFERROR(IF(OR($B328="",COUNTIFS(데이터!$A$2:$A$20000,$A328,데이터!$E$2:$E$20000,설정!$B$6)=0),"",$B328/SUMIFS(데이터!$C$2:$C$20000,데이터!$A$2:$A$20000,$A328,데이터!$E$2:$E$20000,설정!$B$6)-1),"")</f>
        <v/>
      </c>
      <c r="H328" s="5">
        <f>IFERROR(IF(OR($B328="",COUNTIFS(데이터!$A$2:$A$20000,$A328,데이터!$E$2:$E$20000,설정!$B$7)=0),"",$B328/SUMIFS(데이터!$C$2:$C$20000,데이터!$A$2:$A$20000,$A328,데이터!$E$2:$E$20000,설정!$B$7)-1),"")</f>
        <v/>
      </c>
      <c r="J328">
        <f>IF(C328="","",C328+ROW()*0.000000001)</f>
        <v/>
      </c>
      <c r="K328">
        <f>IF(D328="","",D328+ROW()*0.000000001)</f>
        <v/>
      </c>
      <c r="L328">
        <f>IF(E328="","",E328+ROW()*0.000000001)</f>
        <v/>
      </c>
      <c r="M328">
        <f>IF(F328="","",F328+ROW()*0.000000001)</f>
        <v/>
      </c>
      <c r="N328">
        <f>IF(G328="","",G328+ROW()*0.000000001)</f>
        <v/>
      </c>
      <c r="O328">
        <f>IF(H328="","",H328+ROW()*0.000000001)</f>
        <v/>
      </c>
    </row>
    <row r="329">
      <c r="B329" s="4">
        <f>IF($A329="","",IF(COUNTIFS(데이터!$A$2:$A$20000,$A329,데이터!$E$2:$E$20000,1)=0,"",SUMIFS(데이터!$C$2:$C$20000,데이터!$A$2:$A$20000,$A329,데이터!$E$2:$E$20000,1)))</f>
        <v/>
      </c>
      <c r="C329" s="5">
        <f>IFERROR(IF(OR($B329="",COUNTIFS(데이터!$A$2:$A$20000,$A329,데이터!$E$2:$E$20000,설정!$B$2)=0),"",$B329/SUMIFS(데이터!$C$2:$C$20000,데이터!$A$2:$A$20000,$A329,데이터!$E$2:$E$20000,설정!$B$2)-1),"")</f>
        <v/>
      </c>
      <c r="D329" s="5">
        <f>IFERROR(IF(OR($B329="",COUNTIFS(데이터!$A$2:$A$20000,$A329,데이터!$E$2:$E$20000,설정!$B$3)=0),"",$B329/SUMIFS(데이터!$C$2:$C$20000,데이터!$A$2:$A$20000,$A329,데이터!$E$2:$E$20000,설정!$B$3)-1),"")</f>
        <v/>
      </c>
      <c r="E329" s="5">
        <f>IFERROR(IF(OR($B329="",COUNTIFS(데이터!$A$2:$A$20000,$A329,데이터!$E$2:$E$20000,설정!$B$4)=0),"",$B329/SUMIFS(데이터!$C$2:$C$20000,데이터!$A$2:$A$20000,$A329,데이터!$E$2:$E$20000,설정!$B$4)-1),"")</f>
        <v/>
      </c>
      <c r="F329" s="5">
        <f>IFERROR(IF(OR($B329="",COUNTIFS(데이터!$A$2:$A$20000,$A329,데이터!$E$2:$E$20000,설정!$B$5)=0),"",$B329/SUMIFS(데이터!$C$2:$C$20000,데이터!$A$2:$A$20000,$A329,데이터!$E$2:$E$20000,설정!$B$5)-1),"")</f>
        <v/>
      </c>
      <c r="G329" s="5">
        <f>IFERROR(IF(OR($B329="",COUNTIFS(데이터!$A$2:$A$20000,$A329,데이터!$E$2:$E$20000,설정!$B$6)=0),"",$B329/SUMIFS(데이터!$C$2:$C$20000,데이터!$A$2:$A$20000,$A329,데이터!$E$2:$E$20000,설정!$B$6)-1),"")</f>
        <v/>
      </c>
      <c r="H329" s="5">
        <f>IFERROR(IF(OR($B329="",COUNTIFS(데이터!$A$2:$A$20000,$A329,데이터!$E$2:$E$20000,설정!$B$7)=0),"",$B329/SUMIFS(데이터!$C$2:$C$20000,데이터!$A$2:$A$20000,$A329,데이터!$E$2:$E$20000,설정!$B$7)-1),"")</f>
        <v/>
      </c>
      <c r="J329">
        <f>IF(C329="","",C329+ROW()*0.000000001)</f>
        <v/>
      </c>
      <c r="K329">
        <f>IF(D329="","",D329+ROW()*0.000000001)</f>
        <v/>
      </c>
      <c r="L329">
        <f>IF(E329="","",E329+ROW()*0.000000001)</f>
        <v/>
      </c>
      <c r="M329">
        <f>IF(F329="","",F329+ROW()*0.000000001)</f>
        <v/>
      </c>
      <c r="N329">
        <f>IF(G329="","",G329+ROW()*0.000000001)</f>
        <v/>
      </c>
      <c r="O329">
        <f>IF(H329="","",H329+ROW()*0.000000001)</f>
        <v/>
      </c>
    </row>
    <row r="330">
      <c r="B330" s="4">
        <f>IF($A330="","",IF(COUNTIFS(데이터!$A$2:$A$20000,$A330,데이터!$E$2:$E$20000,1)=0,"",SUMIFS(데이터!$C$2:$C$20000,데이터!$A$2:$A$20000,$A330,데이터!$E$2:$E$20000,1)))</f>
        <v/>
      </c>
      <c r="C330" s="5">
        <f>IFERROR(IF(OR($B330="",COUNTIFS(데이터!$A$2:$A$20000,$A330,데이터!$E$2:$E$20000,설정!$B$2)=0),"",$B330/SUMIFS(데이터!$C$2:$C$20000,데이터!$A$2:$A$20000,$A330,데이터!$E$2:$E$20000,설정!$B$2)-1),"")</f>
        <v/>
      </c>
      <c r="D330" s="5">
        <f>IFERROR(IF(OR($B330="",COUNTIFS(데이터!$A$2:$A$20000,$A330,데이터!$E$2:$E$20000,설정!$B$3)=0),"",$B330/SUMIFS(데이터!$C$2:$C$20000,데이터!$A$2:$A$20000,$A330,데이터!$E$2:$E$20000,설정!$B$3)-1),"")</f>
        <v/>
      </c>
      <c r="E330" s="5">
        <f>IFERROR(IF(OR($B330="",COUNTIFS(데이터!$A$2:$A$20000,$A330,데이터!$E$2:$E$20000,설정!$B$4)=0),"",$B330/SUMIFS(데이터!$C$2:$C$20000,데이터!$A$2:$A$20000,$A330,데이터!$E$2:$E$20000,설정!$B$4)-1),"")</f>
        <v/>
      </c>
      <c r="F330" s="5">
        <f>IFERROR(IF(OR($B330="",COUNTIFS(데이터!$A$2:$A$20000,$A330,데이터!$E$2:$E$20000,설정!$B$5)=0),"",$B330/SUMIFS(데이터!$C$2:$C$20000,데이터!$A$2:$A$20000,$A330,데이터!$E$2:$E$20000,설정!$B$5)-1),"")</f>
        <v/>
      </c>
      <c r="G330" s="5">
        <f>IFERROR(IF(OR($B330="",COUNTIFS(데이터!$A$2:$A$20000,$A330,데이터!$E$2:$E$20000,설정!$B$6)=0),"",$B330/SUMIFS(데이터!$C$2:$C$20000,데이터!$A$2:$A$20000,$A330,데이터!$E$2:$E$20000,설정!$B$6)-1),"")</f>
        <v/>
      </c>
      <c r="H330" s="5">
        <f>IFERROR(IF(OR($B330="",COUNTIFS(데이터!$A$2:$A$20000,$A330,데이터!$E$2:$E$20000,설정!$B$7)=0),"",$B330/SUMIFS(데이터!$C$2:$C$20000,데이터!$A$2:$A$20000,$A330,데이터!$E$2:$E$20000,설정!$B$7)-1),"")</f>
        <v/>
      </c>
      <c r="J330">
        <f>IF(C330="","",C330+ROW()*0.000000001)</f>
        <v/>
      </c>
      <c r="K330">
        <f>IF(D330="","",D330+ROW()*0.000000001)</f>
        <v/>
      </c>
      <c r="L330">
        <f>IF(E330="","",E330+ROW()*0.000000001)</f>
        <v/>
      </c>
      <c r="M330">
        <f>IF(F330="","",F330+ROW()*0.000000001)</f>
        <v/>
      </c>
      <c r="N330">
        <f>IF(G330="","",G330+ROW()*0.000000001)</f>
        <v/>
      </c>
      <c r="O330">
        <f>IF(H330="","",H330+ROW()*0.000000001)</f>
        <v/>
      </c>
    </row>
    <row r="331">
      <c r="B331" s="4">
        <f>IF($A331="","",IF(COUNTIFS(데이터!$A$2:$A$20000,$A331,데이터!$E$2:$E$20000,1)=0,"",SUMIFS(데이터!$C$2:$C$20000,데이터!$A$2:$A$20000,$A331,데이터!$E$2:$E$20000,1)))</f>
        <v/>
      </c>
      <c r="C331" s="5">
        <f>IFERROR(IF(OR($B331="",COUNTIFS(데이터!$A$2:$A$20000,$A331,데이터!$E$2:$E$20000,설정!$B$2)=0),"",$B331/SUMIFS(데이터!$C$2:$C$20000,데이터!$A$2:$A$20000,$A331,데이터!$E$2:$E$20000,설정!$B$2)-1),"")</f>
        <v/>
      </c>
      <c r="D331" s="5">
        <f>IFERROR(IF(OR($B331="",COUNTIFS(데이터!$A$2:$A$20000,$A331,데이터!$E$2:$E$20000,설정!$B$3)=0),"",$B331/SUMIFS(데이터!$C$2:$C$20000,데이터!$A$2:$A$20000,$A331,데이터!$E$2:$E$20000,설정!$B$3)-1),"")</f>
        <v/>
      </c>
      <c r="E331" s="5">
        <f>IFERROR(IF(OR($B331="",COUNTIFS(데이터!$A$2:$A$20000,$A331,데이터!$E$2:$E$20000,설정!$B$4)=0),"",$B331/SUMIFS(데이터!$C$2:$C$20000,데이터!$A$2:$A$20000,$A331,데이터!$E$2:$E$20000,설정!$B$4)-1),"")</f>
        <v/>
      </c>
      <c r="F331" s="5">
        <f>IFERROR(IF(OR($B331="",COUNTIFS(데이터!$A$2:$A$20000,$A331,데이터!$E$2:$E$20000,설정!$B$5)=0),"",$B331/SUMIFS(데이터!$C$2:$C$20000,데이터!$A$2:$A$20000,$A331,데이터!$E$2:$E$20000,설정!$B$5)-1),"")</f>
        <v/>
      </c>
      <c r="G331" s="5">
        <f>IFERROR(IF(OR($B331="",COUNTIFS(데이터!$A$2:$A$20000,$A331,데이터!$E$2:$E$20000,설정!$B$6)=0),"",$B331/SUMIFS(데이터!$C$2:$C$20000,데이터!$A$2:$A$20000,$A331,데이터!$E$2:$E$20000,설정!$B$6)-1),"")</f>
        <v/>
      </c>
      <c r="H331" s="5">
        <f>IFERROR(IF(OR($B331="",COUNTIFS(데이터!$A$2:$A$20000,$A331,데이터!$E$2:$E$20000,설정!$B$7)=0),"",$B331/SUMIFS(데이터!$C$2:$C$20000,데이터!$A$2:$A$20000,$A331,데이터!$E$2:$E$20000,설정!$B$7)-1),"")</f>
        <v/>
      </c>
      <c r="J331">
        <f>IF(C331="","",C331+ROW()*0.000000001)</f>
        <v/>
      </c>
      <c r="K331">
        <f>IF(D331="","",D331+ROW()*0.000000001)</f>
        <v/>
      </c>
      <c r="L331">
        <f>IF(E331="","",E331+ROW()*0.000000001)</f>
        <v/>
      </c>
      <c r="M331">
        <f>IF(F331="","",F331+ROW()*0.000000001)</f>
        <v/>
      </c>
      <c r="N331">
        <f>IF(G331="","",G331+ROW()*0.000000001)</f>
        <v/>
      </c>
      <c r="O331">
        <f>IF(H331="","",H331+ROW()*0.000000001)</f>
        <v/>
      </c>
    </row>
    <row r="332">
      <c r="B332" s="4">
        <f>IF($A332="","",IF(COUNTIFS(데이터!$A$2:$A$20000,$A332,데이터!$E$2:$E$20000,1)=0,"",SUMIFS(데이터!$C$2:$C$20000,데이터!$A$2:$A$20000,$A332,데이터!$E$2:$E$20000,1)))</f>
        <v/>
      </c>
      <c r="C332" s="5">
        <f>IFERROR(IF(OR($B332="",COUNTIFS(데이터!$A$2:$A$20000,$A332,데이터!$E$2:$E$20000,설정!$B$2)=0),"",$B332/SUMIFS(데이터!$C$2:$C$20000,데이터!$A$2:$A$20000,$A332,데이터!$E$2:$E$20000,설정!$B$2)-1),"")</f>
        <v/>
      </c>
      <c r="D332" s="5">
        <f>IFERROR(IF(OR($B332="",COUNTIFS(데이터!$A$2:$A$20000,$A332,데이터!$E$2:$E$20000,설정!$B$3)=0),"",$B332/SUMIFS(데이터!$C$2:$C$20000,데이터!$A$2:$A$20000,$A332,데이터!$E$2:$E$20000,설정!$B$3)-1),"")</f>
        <v/>
      </c>
      <c r="E332" s="5">
        <f>IFERROR(IF(OR($B332="",COUNTIFS(데이터!$A$2:$A$20000,$A332,데이터!$E$2:$E$20000,설정!$B$4)=0),"",$B332/SUMIFS(데이터!$C$2:$C$20000,데이터!$A$2:$A$20000,$A332,데이터!$E$2:$E$20000,설정!$B$4)-1),"")</f>
        <v/>
      </c>
      <c r="F332" s="5">
        <f>IFERROR(IF(OR($B332="",COUNTIFS(데이터!$A$2:$A$20000,$A332,데이터!$E$2:$E$20000,설정!$B$5)=0),"",$B332/SUMIFS(데이터!$C$2:$C$20000,데이터!$A$2:$A$20000,$A332,데이터!$E$2:$E$20000,설정!$B$5)-1),"")</f>
        <v/>
      </c>
      <c r="G332" s="5">
        <f>IFERROR(IF(OR($B332="",COUNTIFS(데이터!$A$2:$A$20000,$A332,데이터!$E$2:$E$20000,설정!$B$6)=0),"",$B332/SUMIFS(데이터!$C$2:$C$20000,데이터!$A$2:$A$20000,$A332,데이터!$E$2:$E$20000,설정!$B$6)-1),"")</f>
        <v/>
      </c>
      <c r="H332" s="5">
        <f>IFERROR(IF(OR($B332="",COUNTIFS(데이터!$A$2:$A$20000,$A332,데이터!$E$2:$E$20000,설정!$B$7)=0),"",$B332/SUMIFS(데이터!$C$2:$C$20000,데이터!$A$2:$A$20000,$A332,데이터!$E$2:$E$20000,설정!$B$7)-1),"")</f>
        <v/>
      </c>
      <c r="J332">
        <f>IF(C332="","",C332+ROW()*0.000000001)</f>
        <v/>
      </c>
      <c r="K332">
        <f>IF(D332="","",D332+ROW()*0.000000001)</f>
        <v/>
      </c>
      <c r="L332">
        <f>IF(E332="","",E332+ROW()*0.000000001)</f>
        <v/>
      </c>
      <c r="M332">
        <f>IF(F332="","",F332+ROW()*0.000000001)</f>
        <v/>
      </c>
      <c r="N332">
        <f>IF(G332="","",G332+ROW()*0.000000001)</f>
        <v/>
      </c>
      <c r="O332">
        <f>IF(H332="","",H332+ROW()*0.000000001)</f>
        <v/>
      </c>
    </row>
    <row r="333">
      <c r="B333" s="4">
        <f>IF($A333="","",IF(COUNTIFS(데이터!$A$2:$A$20000,$A333,데이터!$E$2:$E$20000,1)=0,"",SUMIFS(데이터!$C$2:$C$20000,데이터!$A$2:$A$20000,$A333,데이터!$E$2:$E$20000,1)))</f>
        <v/>
      </c>
      <c r="C333" s="5">
        <f>IFERROR(IF(OR($B333="",COUNTIFS(데이터!$A$2:$A$20000,$A333,데이터!$E$2:$E$20000,설정!$B$2)=0),"",$B333/SUMIFS(데이터!$C$2:$C$20000,데이터!$A$2:$A$20000,$A333,데이터!$E$2:$E$20000,설정!$B$2)-1),"")</f>
        <v/>
      </c>
      <c r="D333" s="5">
        <f>IFERROR(IF(OR($B333="",COUNTIFS(데이터!$A$2:$A$20000,$A333,데이터!$E$2:$E$20000,설정!$B$3)=0),"",$B333/SUMIFS(데이터!$C$2:$C$20000,데이터!$A$2:$A$20000,$A333,데이터!$E$2:$E$20000,설정!$B$3)-1),"")</f>
        <v/>
      </c>
      <c r="E333" s="5">
        <f>IFERROR(IF(OR($B333="",COUNTIFS(데이터!$A$2:$A$20000,$A333,데이터!$E$2:$E$20000,설정!$B$4)=0),"",$B333/SUMIFS(데이터!$C$2:$C$20000,데이터!$A$2:$A$20000,$A333,데이터!$E$2:$E$20000,설정!$B$4)-1),"")</f>
        <v/>
      </c>
      <c r="F333" s="5">
        <f>IFERROR(IF(OR($B333="",COUNTIFS(데이터!$A$2:$A$20000,$A333,데이터!$E$2:$E$20000,설정!$B$5)=0),"",$B333/SUMIFS(데이터!$C$2:$C$20000,데이터!$A$2:$A$20000,$A333,데이터!$E$2:$E$20000,설정!$B$5)-1),"")</f>
        <v/>
      </c>
      <c r="G333" s="5">
        <f>IFERROR(IF(OR($B333="",COUNTIFS(데이터!$A$2:$A$20000,$A333,데이터!$E$2:$E$20000,설정!$B$6)=0),"",$B333/SUMIFS(데이터!$C$2:$C$20000,데이터!$A$2:$A$20000,$A333,데이터!$E$2:$E$20000,설정!$B$6)-1),"")</f>
        <v/>
      </c>
      <c r="H333" s="5">
        <f>IFERROR(IF(OR($B333="",COUNTIFS(데이터!$A$2:$A$20000,$A333,데이터!$E$2:$E$20000,설정!$B$7)=0),"",$B333/SUMIFS(데이터!$C$2:$C$20000,데이터!$A$2:$A$20000,$A333,데이터!$E$2:$E$20000,설정!$B$7)-1),"")</f>
        <v/>
      </c>
      <c r="J333">
        <f>IF(C333="","",C333+ROW()*0.000000001)</f>
        <v/>
      </c>
      <c r="K333">
        <f>IF(D333="","",D333+ROW()*0.000000001)</f>
        <v/>
      </c>
      <c r="L333">
        <f>IF(E333="","",E333+ROW()*0.000000001)</f>
        <v/>
      </c>
      <c r="M333">
        <f>IF(F333="","",F333+ROW()*0.000000001)</f>
        <v/>
      </c>
      <c r="N333">
        <f>IF(G333="","",G333+ROW()*0.000000001)</f>
        <v/>
      </c>
      <c r="O333">
        <f>IF(H333="","",H333+ROW()*0.000000001)</f>
        <v/>
      </c>
    </row>
    <row r="334">
      <c r="B334" s="4">
        <f>IF($A334="","",IF(COUNTIFS(데이터!$A$2:$A$20000,$A334,데이터!$E$2:$E$20000,1)=0,"",SUMIFS(데이터!$C$2:$C$20000,데이터!$A$2:$A$20000,$A334,데이터!$E$2:$E$20000,1)))</f>
        <v/>
      </c>
      <c r="C334" s="5">
        <f>IFERROR(IF(OR($B334="",COUNTIFS(데이터!$A$2:$A$20000,$A334,데이터!$E$2:$E$20000,설정!$B$2)=0),"",$B334/SUMIFS(데이터!$C$2:$C$20000,데이터!$A$2:$A$20000,$A334,데이터!$E$2:$E$20000,설정!$B$2)-1),"")</f>
        <v/>
      </c>
      <c r="D334" s="5">
        <f>IFERROR(IF(OR($B334="",COUNTIFS(데이터!$A$2:$A$20000,$A334,데이터!$E$2:$E$20000,설정!$B$3)=0),"",$B334/SUMIFS(데이터!$C$2:$C$20000,데이터!$A$2:$A$20000,$A334,데이터!$E$2:$E$20000,설정!$B$3)-1),"")</f>
        <v/>
      </c>
      <c r="E334" s="5">
        <f>IFERROR(IF(OR($B334="",COUNTIFS(데이터!$A$2:$A$20000,$A334,데이터!$E$2:$E$20000,설정!$B$4)=0),"",$B334/SUMIFS(데이터!$C$2:$C$20000,데이터!$A$2:$A$20000,$A334,데이터!$E$2:$E$20000,설정!$B$4)-1),"")</f>
        <v/>
      </c>
      <c r="F334" s="5">
        <f>IFERROR(IF(OR($B334="",COUNTIFS(데이터!$A$2:$A$20000,$A334,데이터!$E$2:$E$20000,설정!$B$5)=0),"",$B334/SUMIFS(데이터!$C$2:$C$20000,데이터!$A$2:$A$20000,$A334,데이터!$E$2:$E$20000,설정!$B$5)-1),"")</f>
        <v/>
      </c>
      <c r="G334" s="5">
        <f>IFERROR(IF(OR($B334="",COUNTIFS(데이터!$A$2:$A$20000,$A334,데이터!$E$2:$E$20000,설정!$B$6)=0),"",$B334/SUMIFS(데이터!$C$2:$C$20000,데이터!$A$2:$A$20000,$A334,데이터!$E$2:$E$20000,설정!$B$6)-1),"")</f>
        <v/>
      </c>
      <c r="H334" s="5">
        <f>IFERROR(IF(OR($B334="",COUNTIFS(데이터!$A$2:$A$20000,$A334,데이터!$E$2:$E$20000,설정!$B$7)=0),"",$B334/SUMIFS(데이터!$C$2:$C$20000,데이터!$A$2:$A$20000,$A334,데이터!$E$2:$E$20000,설정!$B$7)-1),"")</f>
        <v/>
      </c>
      <c r="J334">
        <f>IF(C334="","",C334+ROW()*0.000000001)</f>
        <v/>
      </c>
      <c r="K334">
        <f>IF(D334="","",D334+ROW()*0.000000001)</f>
        <v/>
      </c>
      <c r="L334">
        <f>IF(E334="","",E334+ROW()*0.000000001)</f>
        <v/>
      </c>
      <c r="M334">
        <f>IF(F334="","",F334+ROW()*0.000000001)</f>
        <v/>
      </c>
      <c r="N334">
        <f>IF(G334="","",G334+ROW()*0.000000001)</f>
        <v/>
      </c>
      <c r="O334">
        <f>IF(H334="","",H334+ROW()*0.000000001)</f>
        <v/>
      </c>
    </row>
    <row r="335">
      <c r="B335" s="4">
        <f>IF($A335="","",IF(COUNTIFS(데이터!$A$2:$A$20000,$A335,데이터!$E$2:$E$20000,1)=0,"",SUMIFS(데이터!$C$2:$C$20000,데이터!$A$2:$A$20000,$A335,데이터!$E$2:$E$20000,1)))</f>
        <v/>
      </c>
      <c r="C335" s="5">
        <f>IFERROR(IF(OR($B335="",COUNTIFS(데이터!$A$2:$A$20000,$A335,데이터!$E$2:$E$20000,설정!$B$2)=0),"",$B335/SUMIFS(데이터!$C$2:$C$20000,데이터!$A$2:$A$20000,$A335,데이터!$E$2:$E$20000,설정!$B$2)-1),"")</f>
        <v/>
      </c>
      <c r="D335" s="5">
        <f>IFERROR(IF(OR($B335="",COUNTIFS(데이터!$A$2:$A$20000,$A335,데이터!$E$2:$E$20000,설정!$B$3)=0),"",$B335/SUMIFS(데이터!$C$2:$C$20000,데이터!$A$2:$A$20000,$A335,데이터!$E$2:$E$20000,설정!$B$3)-1),"")</f>
        <v/>
      </c>
      <c r="E335" s="5">
        <f>IFERROR(IF(OR($B335="",COUNTIFS(데이터!$A$2:$A$20000,$A335,데이터!$E$2:$E$20000,설정!$B$4)=0),"",$B335/SUMIFS(데이터!$C$2:$C$20000,데이터!$A$2:$A$20000,$A335,데이터!$E$2:$E$20000,설정!$B$4)-1),"")</f>
        <v/>
      </c>
      <c r="F335" s="5">
        <f>IFERROR(IF(OR($B335="",COUNTIFS(데이터!$A$2:$A$20000,$A335,데이터!$E$2:$E$20000,설정!$B$5)=0),"",$B335/SUMIFS(데이터!$C$2:$C$20000,데이터!$A$2:$A$20000,$A335,데이터!$E$2:$E$20000,설정!$B$5)-1),"")</f>
        <v/>
      </c>
      <c r="G335" s="5">
        <f>IFERROR(IF(OR($B335="",COUNTIFS(데이터!$A$2:$A$20000,$A335,데이터!$E$2:$E$20000,설정!$B$6)=0),"",$B335/SUMIFS(데이터!$C$2:$C$20000,데이터!$A$2:$A$20000,$A335,데이터!$E$2:$E$20000,설정!$B$6)-1),"")</f>
        <v/>
      </c>
      <c r="H335" s="5">
        <f>IFERROR(IF(OR($B335="",COUNTIFS(데이터!$A$2:$A$20000,$A335,데이터!$E$2:$E$20000,설정!$B$7)=0),"",$B335/SUMIFS(데이터!$C$2:$C$20000,데이터!$A$2:$A$20000,$A335,데이터!$E$2:$E$20000,설정!$B$7)-1),"")</f>
        <v/>
      </c>
      <c r="J335">
        <f>IF(C335="","",C335+ROW()*0.000000001)</f>
        <v/>
      </c>
      <c r="K335">
        <f>IF(D335="","",D335+ROW()*0.000000001)</f>
        <v/>
      </c>
      <c r="L335">
        <f>IF(E335="","",E335+ROW()*0.000000001)</f>
        <v/>
      </c>
      <c r="M335">
        <f>IF(F335="","",F335+ROW()*0.000000001)</f>
        <v/>
      </c>
      <c r="N335">
        <f>IF(G335="","",G335+ROW()*0.000000001)</f>
        <v/>
      </c>
      <c r="O335">
        <f>IF(H335="","",H335+ROW()*0.000000001)</f>
        <v/>
      </c>
    </row>
    <row r="336">
      <c r="B336" s="4">
        <f>IF($A336="","",IF(COUNTIFS(데이터!$A$2:$A$20000,$A336,데이터!$E$2:$E$20000,1)=0,"",SUMIFS(데이터!$C$2:$C$20000,데이터!$A$2:$A$20000,$A336,데이터!$E$2:$E$20000,1)))</f>
        <v/>
      </c>
      <c r="C336" s="5">
        <f>IFERROR(IF(OR($B336="",COUNTIFS(데이터!$A$2:$A$20000,$A336,데이터!$E$2:$E$20000,설정!$B$2)=0),"",$B336/SUMIFS(데이터!$C$2:$C$20000,데이터!$A$2:$A$20000,$A336,데이터!$E$2:$E$20000,설정!$B$2)-1),"")</f>
        <v/>
      </c>
      <c r="D336" s="5">
        <f>IFERROR(IF(OR($B336="",COUNTIFS(데이터!$A$2:$A$20000,$A336,데이터!$E$2:$E$20000,설정!$B$3)=0),"",$B336/SUMIFS(데이터!$C$2:$C$20000,데이터!$A$2:$A$20000,$A336,데이터!$E$2:$E$20000,설정!$B$3)-1),"")</f>
        <v/>
      </c>
      <c r="E336" s="5">
        <f>IFERROR(IF(OR($B336="",COUNTIFS(데이터!$A$2:$A$20000,$A336,데이터!$E$2:$E$20000,설정!$B$4)=0),"",$B336/SUMIFS(데이터!$C$2:$C$20000,데이터!$A$2:$A$20000,$A336,데이터!$E$2:$E$20000,설정!$B$4)-1),"")</f>
        <v/>
      </c>
      <c r="F336" s="5">
        <f>IFERROR(IF(OR($B336="",COUNTIFS(데이터!$A$2:$A$20000,$A336,데이터!$E$2:$E$20000,설정!$B$5)=0),"",$B336/SUMIFS(데이터!$C$2:$C$20000,데이터!$A$2:$A$20000,$A336,데이터!$E$2:$E$20000,설정!$B$5)-1),"")</f>
        <v/>
      </c>
      <c r="G336" s="5">
        <f>IFERROR(IF(OR($B336="",COUNTIFS(데이터!$A$2:$A$20000,$A336,데이터!$E$2:$E$20000,설정!$B$6)=0),"",$B336/SUMIFS(데이터!$C$2:$C$20000,데이터!$A$2:$A$20000,$A336,데이터!$E$2:$E$20000,설정!$B$6)-1),"")</f>
        <v/>
      </c>
      <c r="H336" s="5">
        <f>IFERROR(IF(OR($B336="",COUNTIFS(데이터!$A$2:$A$20000,$A336,데이터!$E$2:$E$20000,설정!$B$7)=0),"",$B336/SUMIFS(데이터!$C$2:$C$20000,데이터!$A$2:$A$20000,$A336,데이터!$E$2:$E$20000,설정!$B$7)-1),"")</f>
        <v/>
      </c>
      <c r="J336">
        <f>IF(C336="","",C336+ROW()*0.000000001)</f>
        <v/>
      </c>
      <c r="K336">
        <f>IF(D336="","",D336+ROW()*0.000000001)</f>
        <v/>
      </c>
      <c r="L336">
        <f>IF(E336="","",E336+ROW()*0.000000001)</f>
        <v/>
      </c>
      <c r="M336">
        <f>IF(F336="","",F336+ROW()*0.000000001)</f>
        <v/>
      </c>
      <c r="N336">
        <f>IF(G336="","",G336+ROW()*0.000000001)</f>
        <v/>
      </c>
      <c r="O336">
        <f>IF(H336="","",H336+ROW()*0.000000001)</f>
        <v/>
      </c>
    </row>
    <row r="337">
      <c r="B337" s="4">
        <f>IF($A337="","",IF(COUNTIFS(데이터!$A$2:$A$20000,$A337,데이터!$E$2:$E$20000,1)=0,"",SUMIFS(데이터!$C$2:$C$20000,데이터!$A$2:$A$20000,$A337,데이터!$E$2:$E$20000,1)))</f>
        <v/>
      </c>
      <c r="C337" s="5">
        <f>IFERROR(IF(OR($B337="",COUNTIFS(데이터!$A$2:$A$20000,$A337,데이터!$E$2:$E$20000,설정!$B$2)=0),"",$B337/SUMIFS(데이터!$C$2:$C$20000,데이터!$A$2:$A$20000,$A337,데이터!$E$2:$E$20000,설정!$B$2)-1),"")</f>
        <v/>
      </c>
      <c r="D337" s="5">
        <f>IFERROR(IF(OR($B337="",COUNTIFS(데이터!$A$2:$A$20000,$A337,데이터!$E$2:$E$20000,설정!$B$3)=0),"",$B337/SUMIFS(데이터!$C$2:$C$20000,데이터!$A$2:$A$20000,$A337,데이터!$E$2:$E$20000,설정!$B$3)-1),"")</f>
        <v/>
      </c>
      <c r="E337" s="5">
        <f>IFERROR(IF(OR($B337="",COUNTIFS(데이터!$A$2:$A$20000,$A337,데이터!$E$2:$E$20000,설정!$B$4)=0),"",$B337/SUMIFS(데이터!$C$2:$C$20000,데이터!$A$2:$A$20000,$A337,데이터!$E$2:$E$20000,설정!$B$4)-1),"")</f>
        <v/>
      </c>
      <c r="F337" s="5">
        <f>IFERROR(IF(OR($B337="",COUNTIFS(데이터!$A$2:$A$20000,$A337,데이터!$E$2:$E$20000,설정!$B$5)=0),"",$B337/SUMIFS(데이터!$C$2:$C$20000,데이터!$A$2:$A$20000,$A337,데이터!$E$2:$E$20000,설정!$B$5)-1),"")</f>
        <v/>
      </c>
      <c r="G337" s="5">
        <f>IFERROR(IF(OR($B337="",COUNTIFS(데이터!$A$2:$A$20000,$A337,데이터!$E$2:$E$20000,설정!$B$6)=0),"",$B337/SUMIFS(데이터!$C$2:$C$20000,데이터!$A$2:$A$20000,$A337,데이터!$E$2:$E$20000,설정!$B$6)-1),"")</f>
        <v/>
      </c>
      <c r="H337" s="5">
        <f>IFERROR(IF(OR($B337="",COUNTIFS(데이터!$A$2:$A$20000,$A337,데이터!$E$2:$E$20000,설정!$B$7)=0),"",$B337/SUMIFS(데이터!$C$2:$C$20000,데이터!$A$2:$A$20000,$A337,데이터!$E$2:$E$20000,설정!$B$7)-1),"")</f>
        <v/>
      </c>
      <c r="J337">
        <f>IF(C337="","",C337+ROW()*0.000000001)</f>
        <v/>
      </c>
      <c r="K337">
        <f>IF(D337="","",D337+ROW()*0.000000001)</f>
        <v/>
      </c>
      <c r="L337">
        <f>IF(E337="","",E337+ROW()*0.000000001)</f>
        <v/>
      </c>
      <c r="M337">
        <f>IF(F337="","",F337+ROW()*0.000000001)</f>
        <v/>
      </c>
      <c r="N337">
        <f>IF(G337="","",G337+ROW()*0.000000001)</f>
        <v/>
      </c>
      <c r="O337">
        <f>IF(H337="","",H337+ROW()*0.000000001)</f>
        <v/>
      </c>
    </row>
    <row r="338">
      <c r="B338" s="4">
        <f>IF($A338="","",IF(COUNTIFS(데이터!$A$2:$A$20000,$A338,데이터!$E$2:$E$20000,1)=0,"",SUMIFS(데이터!$C$2:$C$20000,데이터!$A$2:$A$20000,$A338,데이터!$E$2:$E$20000,1)))</f>
        <v/>
      </c>
      <c r="C338" s="5">
        <f>IFERROR(IF(OR($B338="",COUNTIFS(데이터!$A$2:$A$20000,$A338,데이터!$E$2:$E$20000,설정!$B$2)=0),"",$B338/SUMIFS(데이터!$C$2:$C$20000,데이터!$A$2:$A$20000,$A338,데이터!$E$2:$E$20000,설정!$B$2)-1),"")</f>
        <v/>
      </c>
      <c r="D338" s="5">
        <f>IFERROR(IF(OR($B338="",COUNTIFS(데이터!$A$2:$A$20000,$A338,데이터!$E$2:$E$20000,설정!$B$3)=0),"",$B338/SUMIFS(데이터!$C$2:$C$20000,데이터!$A$2:$A$20000,$A338,데이터!$E$2:$E$20000,설정!$B$3)-1),"")</f>
        <v/>
      </c>
      <c r="E338" s="5">
        <f>IFERROR(IF(OR($B338="",COUNTIFS(데이터!$A$2:$A$20000,$A338,데이터!$E$2:$E$20000,설정!$B$4)=0),"",$B338/SUMIFS(데이터!$C$2:$C$20000,데이터!$A$2:$A$20000,$A338,데이터!$E$2:$E$20000,설정!$B$4)-1),"")</f>
        <v/>
      </c>
      <c r="F338" s="5">
        <f>IFERROR(IF(OR($B338="",COUNTIFS(데이터!$A$2:$A$20000,$A338,데이터!$E$2:$E$20000,설정!$B$5)=0),"",$B338/SUMIFS(데이터!$C$2:$C$20000,데이터!$A$2:$A$20000,$A338,데이터!$E$2:$E$20000,설정!$B$5)-1),"")</f>
        <v/>
      </c>
      <c r="G338" s="5">
        <f>IFERROR(IF(OR($B338="",COUNTIFS(데이터!$A$2:$A$20000,$A338,데이터!$E$2:$E$20000,설정!$B$6)=0),"",$B338/SUMIFS(데이터!$C$2:$C$20000,데이터!$A$2:$A$20000,$A338,데이터!$E$2:$E$20000,설정!$B$6)-1),"")</f>
        <v/>
      </c>
      <c r="H338" s="5">
        <f>IFERROR(IF(OR($B338="",COUNTIFS(데이터!$A$2:$A$20000,$A338,데이터!$E$2:$E$20000,설정!$B$7)=0),"",$B338/SUMIFS(데이터!$C$2:$C$20000,데이터!$A$2:$A$20000,$A338,데이터!$E$2:$E$20000,설정!$B$7)-1),"")</f>
        <v/>
      </c>
      <c r="J338">
        <f>IF(C338="","",C338+ROW()*0.000000001)</f>
        <v/>
      </c>
      <c r="K338">
        <f>IF(D338="","",D338+ROW()*0.000000001)</f>
        <v/>
      </c>
      <c r="L338">
        <f>IF(E338="","",E338+ROW()*0.000000001)</f>
        <v/>
      </c>
      <c r="M338">
        <f>IF(F338="","",F338+ROW()*0.000000001)</f>
        <v/>
      </c>
      <c r="N338">
        <f>IF(G338="","",G338+ROW()*0.000000001)</f>
        <v/>
      </c>
      <c r="O338">
        <f>IF(H338="","",H338+ROW()*0.000000001)</f>
        <v/>
      </c>
    </row>
    <row r="339">
      <c r="B339" s="4">
        <f>IF($A339="","",IF(COUNTIFS(데이터!$A$2:$A$20000,$A339,데이터!$E$2:$E$20000,1)=0,"",SUMIFS(데이터!$C$2:$C$20000,데이터!$A$2:$A$20000,$A339,데이터!$E$2:$E$20000,1)))</f>
        <v/>
      </c>
      <c r="C339" s="5">
        <f>IFERROR(IF(OR($B339="",COUNTIFS(데이터!$A$2:$A$20000,$A339,데이터!$E$2:$E$20000,설정!$B$2)=0),"",$B339/SUMIFS(데이터!$C$2:$C$20000,데이터!$A$2:$A$20000,$A339,데이터!$E$2:$E$20000,설정!$B$2)-1),"")</f>
        <v/>
      </c>
      <c r="D339" s="5">
        <f>IFERROR(IF(OR($B339="",COUNTIFS(데이터!$A$2:$A$20000,$A339,데이터!$E$2:$E$20000,설정!$B$3)=0),"",$B339/SUMIFS(데이터!$C$2:$C$20000,데이터!$A$2:$A$20000,$A339,데이터!$E$2:$E$20000,설정!$B$3)-1),"")</f>
        <v/>
      </c>
      <c r="E339" s="5">
        <f>IFERROR(IF(OR($B339="",COUNTIFS(데이터!$A$2:$A$20000,$A339,데이터!$E$2:$E$20000,설정!$B$4)=0),"",$B339/SUMIFS(데이터!$C$2:$C$20000,데이터!$A$2:$A$20000,$A339,데이터!$E$2:$E$20000,설정!$B$4)-1),"")</f>
        <v/>
      </c>
      <c r="F339" s="5">
        <f>IFERROR(IF(OR($B339="",COUNTIFS(데이터!$A$2:$A$20000,$A339,데이터!$E$2:$E$20000,설정!$B$5)=0),"",$B339/SUMIFS(데이터!$C$2:$C$20000,데이터!$A$2:$A$20000,$A339,데이터!$E$2:$E$20000,설정!$B$5)-1),"")</f>
        <v/>
      </c>
      <c r="G339" s="5">
        <f>IFERROR(IF(OR($B339="",COUNTIFS(데이터!$A$2:$A$20000,$A339,데이터!$E$2:$E$20000,설정!$B$6)=0),"",$B339/SUMIFS(데이터!$C$2:$C$20000,데이터!$A$2:$A$20000,$A339,데이터!$E$2:$E$20000,설정!$B$6)-1),"")</f>
        <v/>
      </c>
      <c r="H339" s="5">
        <f>IFERROR(IF(OR($B339="",COUNTIFS(데이터!$A$2:$A$20000,$A339,데이터!$E$2:$E$20000,설정!$B$7)=0),"",$B339/SUMIFS(데이터!$C$2:$C$20000,데이터!$A$2:$A$20000,$A339,데이터!$E$2:$E$20000,설정!$B$7)-1),"")</f>
        <v/>
      </c>
      <c r="J339">
        <f>IF(C339="","",C339+ROW()*0.000000001)</f>
        <v/>
      </c>
      <c r="K339">
        <f>IF(D339="","",D339+ROW()*0.000000001)</f>
        <v/>
      </c>
      <c r="L339">
        <f>IF(E339="","",E339+ROW()*0.000000001)</f>
        <v/>
      </c>
      <c r="M339">
        <f>IF(F339="","",F339+ROW()*0.000000001)</f>
        <v/>
      </c>
      <c r="N339">
        <f>IF(G339="","",G339+ROW()*0.000000001)</f>
        <v/>
      </c>
      <c r="O339">
        <f>IF(H339="","",H339+ROW()*0.000000001)</f>
        <v/>
      </c>
    </row>
    <row r="340">
      <c r="B340" s="4">
        <f>IF($A340="","",IF(COUNTIFS(데이터!$A$2:$A$20000,$A340,데이터!$E$2:$E$20000,1)=0,"",SUMIFS(데이터!$C$2:$C$20000,데이터!$A$2:$A$20000,$A340,데이터!$E$2:$E$20000,1)))</f>
        <v/>
      </c>
      <c r="C340" s="5">
        <f>IFERROR(IF(OR($B340="",COUNTIFS(데이터!$A$2:$A$20000,$A340,데이터!$E$2:$E$20000,설정!$B$2)=0),"",$B340/SUMIFS(데이터!$C$2:$C$20000,데이터!$A$2:$A$20000,$A340,데이터!$E$2:$E$20000,설정!$B$2)-1),"")</f>
        <v/>
      </c>
      <c r="D340" s="5">
        <f>IFERROR(IF(OR($B340="",COUNTIFS(데이터!$A$2:$A$20000,$A340,데이터!$E$2:$E$20000,설정!$B$3)=0),"",$B340/SUMIFS(데이터!$C$2:$C$20000,데이터!$A$2:$A$20000,$A340,데이터!$E$2:$E$20000,설정!$B$3)-1),"")</f>
        <v/>
      </c>
      <c r="E340" s="5">
        <f>IFERROR(IF(OR($B340="",COUNTIFS(데이터!$A$2:$A$20000,$A340,데이터!$E$2:$E$20000,설정!$B$4)=0),"",$B340/SUMIFS(데이터!$C$2:$C$20000,데이터!$A$2:$A$20000,$A340,데이터!$E$2:$E$20000,설정!$B$4)-1),"")</f>
        <v/>
      </c>
      <c r="F340" s="5">
        <f>IFERROR(IF(OR($B340="",COUNTIFS(데이터!$A$2:$A$20000,$A340,데이터!$E$2:$E$20000,설정!$B$5)=0),"",$B340/SUMIFS(데이터!$C$2:$C$20000,데이터!$A$2:$A$20000,$A340,데이터!$E$2:$E$20000,설정!$B$5)-1),"")</f>
        <v/>
      </c>
      <c r="G340" s="5">
        <f>IFERROR(IF(OR($B340="",COUNTIFS(데이터!$A$2:$A$20000,$A340,데이터!$E$2:$E$20000,설정!$B$6)=0),"",$B340/SUMIFS(데이터!$C$2:$C$20000,데이터!$A$2:$A$20000,$A340,데이터!$E$2:$E$20000,설정!$B$6)-1),"")</f>
        <v/>
      </c>
      <c r="H340" s="5">
        <f>IFERROR(IF(OR($B340="",COUNTIFS(데이터!$A$2:$A$20000,$A340,데이터!$E$2:$E$20000,설정!$B$7)=0),"",$B340/SUMIFS(데이터!$C$2:$C$20000,데이터!$A$2:$A$20000,$A340,데이터!$E$2:$E$20000,설정!$B$7)-1),"")</f>
        <v/>
      </c>
      <c r="J340">
        <f>IF(C340="","",C340+ROW()*0.000000001)</f>
        <v/>
      </c>
      <c r="K340">
        <f>IF(D340="","",D340+ROW()*0.000000001)</f>
        <v/>
      </c>
      <c r="L340">
        <f>IF(E340="","",E340+ROW()*0.000000001)</f>
        <v/>
      </c>
      <c r="M340">
        <f>IF(F340="","",F340+ROW()*0.000000001)</f>
        <v/>
      </c>
      <c r="N340">
        <f>IF(G340="","",G340+ROW()*0.000000001)</f>
        <v/>
      </c>
      <c r="O340">
        <f>IF(H340="","",H340+ROW()*0.000000001)</f>
        <v/>
      </c>
    </row>
    <row r="341">
      <c r="B341" s="4">
        <f>IF($A341="","",IF(COUNTIFS(데이터!$A$2:$A$20000,$A341,데이터!$E$2:$E$20000,1)=0,"",SUMIFS(데이터!$C$2:$C$20000,데이터!$A$2:$A$20000,$A341,데이터!$E$2:$E$20000,1)))</f>
        <v/>
      </c>
      <c r="C341" s="5">
        <f>IFERROR(IF(OR($B341="",COUNTIFS(데이터!$A$2:$A$20000,$A341,데이터!$E$2:$E$20000,설정!$B$2)=0),"",$B341/SUMIFS(데이터!$C$2:$C$20000,데이터!$A$2:$A$20000,$A341,데이터!$E$2:$E$20000,설정!$B$2)-1),"")</f>
        <v/>
      </c>
      <c r="D341" s="5">
        <f>IFERROR(IF(OR($B341="",COUNTIFS(데이터!$A$2:$A$20000,$A341,데이터!$E$2:$E$20000,설정!$B$3)=0),"",$B341/SUMIFS(데이터!$C$2:$C$20000,데이터!$A$2:$A$20000,$A341,데이터!$E$2:$E$20000,설정!$B$3)-1),"")</f>
        <v/>
      </c>
      <c r="E341" s="5">
        <f>IFERROR(IF(OR($B341="",COUNTIFS(데이터!$A$2:$A$20000,$A341,데이터!$E$2:$E$20000,설정!$B$4)=0),"",$B341/SUMIFS(데이터!$C$2:$C$20000,데이터!$A$2:$A$20000,$A341,데이터!$E$2:$E$20000,설정!$B$4)-1),"")</f>
        <v/>
      </c>
      <c r="F341" s="5">
        <f>IFERROR(IF(OR($B341="",COUNTIFS(데이터!$A$2:$A$20000,$A341,데이터!$E$2:$E$20000,설정!$B$5)=0),"",$B341/SUMIFS(데이터!$C$2:$C$20000,데이터!$A$2:$A$20000,$A341,데이터!$E$2:$E$20000,설정!$B$5)-1),"")</f>
        <v/>
      </c>
      <c r="G341" s="5">
        <f>IFERROR(IF(OR($B341="",COUNTIFS(데이터!$A$2:$A$20000,$A341,데이터!$E$2:$E$20000,설정!$B$6)=0),"",$B341/SUMIFS(데이터!$C$2:$C$20000,데이터!$A$2:$A$20000,$A341,데이터!$E$2:$E$20000,설정!$B$6)-1),"")</f>
        <v/>
      </c>
      <c r="H341" s="5">
        <f>IFERROR(IF(OR($B341="",COUNTIFS(데이터!$A$2:$A$20000,$A341,데이터!$E$2:$E$20000,설정!$B$7)=0),"",$B341/SUMIFS(데이터!$C$2:$C$20000,데이터!$A$2:$A$20000,$A341,데이터!$E$2:$E$20000,설정!$B$7)-1),"")</f>
        <v/>
      </c>
      <c r="J341">
        <f>IF(C341="","",C341+ROW()*0.000000001)</f>
        <v/>
      </c>
      <c r="K341">
        <f>IF(D341="","",D341+ROW()*0.000000001)</f>
        <v/>
      </c>
      <c r="L341">
        <f>IF(E341="","",E341+ROW()*0.000000001)</f>
        <v/>
      </c>
      <c r="M341">
        <f>IF(F341="","",F341+ROW()*0.000000001)</f>
        <v/>
      </c>
      <c r="N341">
        <f>IF(G341="","",G341+ROW()*0.000000001)</f>
        <v/>
      </c>
      <c r="O341">
        <f>IF(H341="","",H341+ROW()*0.000000001)</f>
        <v/>
      </c>
    </row>
    <row r="342">
      <c r="B342" s="4">
        <f>IF($A342="","",IF(COUNTIFS(데이터!$A$2:$A$20000,$A342,데이터!$E$2:$E$20000,1)=0,"",SUMIFS(데이터!$C$2:$C$20000,데이터!$A$2:$A$20000,$A342,데이터!$E$2:$E$20000,1)))</f>
        <v/>
      </c>
      <c r="C342" s="5">
        <f>IFERROR(IF(OR($B342="",COUNTIFS(데이터!$A$2:$A$20000,$A342,데이터!$E$2:$E$20000,설정!$B$2)=0),"",$B342/SUMIFS(데이터!$C$2:$C$20000,데이터!$A$2:$A$20000,$A342,데이터!$E$2:$E$20000,설정!$B$2)-1),"")</f>
        <v/>
      </c>
      <c r="D342" s="5">
        <f>IFERROR(IF(OR($B342="",COUNTIFS(데이터!$A$2:$A$20000,$A342,데이터!$E$2:$E$20000,설정!$B$3)=0),"",$B342/SUMIFS(데이터!$C$2:$C$20000,데이터!$A$2:$A$20000,$A342,데이터!$E$2:$E$20000,설정!$B$3)-1),"")</f>
        <v/>
      </c>
      <c r="E342" s="5">
        <f>IFERROR(IF(OR($B342="",COUNTIFS(데이터!$A$2:$A$20000,$A342,데이터!$E$2:$E$20000,설정!$B$4)=0),"",$B342/SUMIFS(데이터!$C$2:$C$20000,데이터!$A$2:$A$20000,$A342,데이터!$E$2:$E$20000,설정!$B$4)-1),"")</f>
        <v/>
      </c>
      <c r="F342" s="5">
        <f>IFERROR(IF(OR($B342="",COUNTIFS(데이터!$A$2:$A$20000,$A342,데이터!$E$2:$E$20000,설정!$B$5)=0),"",$B342/SUMIFS(데이터!$C$2:$C$20000,데이터!$A$2:$A$20000,$A342,데이터!$E$2:$E$20000,설정!$B$5)-1),"")</f>
        <v/>
      </c>
      <c r="G342" s="5">
        <f>IFERROR(IF(OR($B342="",COUNTIFS(데이터!$A$2:$A$20000,$A342,데이터!$E$2:$E$20000,설정!$B$6)=0),"",$B342/SUMIFS(데이터!$C$2:$C$20000,데이터!$A$2:$A$20000,$A342,데이터!$E$2:$E$20000,설정!$B$6)-1),"")</f>
        <v/>
      </c>
      <c r="H342" s="5">
        <f>IFERROR(IF(OR($B342="",COUNTIFS(데이터!$A$2:$A$20000,$A342,데이터!$E$2:$E$20000,설정!$B$7)=0),"",$B342/SUMIFS(데이터!$C$2:$C$20000,데이터!$A$2:$A$20000,$A342,데이터!$E$2:$E$20000,설정!$B$7)-1),"")</f>
        <v/>
      </c>
      <c r="J342">
        <f>IF(C342="","",C342+ROW()*0.000000001)</f>
        <v/>
      </c>
      <c r="K342">
        <f>IF(D342="","",D342+ROW()*0.000000001)</f>
        <v/>
      </c>
      <c r="L342">
        <f>IF(E342="","",E342+ROW()*0.000000001)</f>
        <v/>
      </c>
      <c r="M342">
        <f>IF(F342="","",F342+ROW()*0.000000001)</f>
        <v/>
      </c>
      <c r="N342">
        <f>IF(G342="","",G342+ROW()*0.000000001)</f>
        <v/>
      </c>
      <c r="O342">
        <f>IF(H342="","",H342+ROW()*0.000000001)</f>
        <v/>
      </c>
    </row>
    <row r="343">
      <c r="B343" s="4">
        <f>IF($A343="","",IF(COUNTIFS(데이터!$A$2:$A$20000,$A343,데이터!$E$2:$E$20000,1)=0,"",SUMIFS(데이터!$C$2:$C$20000,데이터!$A$2:$A$20000,$A343,데이터!$E$2:$E$20000,1)))</f>
        <v/>
      </c>
      <c r="C343" s="5">
        <f>IFERROR(IF(OR($B343="",COUNTIFS(데이터!$A$2:$A$20000,$A343,데이터!$E$2:$E$20000,설정!$B$2)=0),"",$B343/SUMIFS(데이터!$C$2:$C$20000,데이터!$A$2:$A$20000,$A343,데이터!$E$2:$E$20000,설정!$B$2)-1),"")</f>
        <v/>
      </c>
      <c r="D343" s="5">
        <f>IFERROR(IF(OR($B343="",COUNTIFS(데이터!$A$2:$A$20000,$A343,데이터!$E$2:$E$20000,설정!$B$3)=0),"",$B343/SUMIFS(데이터!$C$2:$C$20000,데이터!$A$2:$A$20000,$A343,데이터!$E$2:$E$20000,설정!$B$3)-1),"")</f>
        <v/>
      </c>
      <c r="E343" s="5">
        <f>IFERROR(IF(OR($B343="",COUNTIFS(데이터!$A$2:$A$20000,$A343,데이터!$E$2:$E$20000,설정!$B$4)=0),"",$B343/SUMIFS(데이터!$C$2:$C$20000,데이터!$A$2:$A$20000,$A343,데이터!$E$2:$E$20000,설정!$B$4)-1),"")</f>
        <v/>
      </c>
      <c r="F343" s="5">
        <f>IFERROR(IF(OR($B343="",COUNTIFS(데이터!$A$2:$A$20000,$A343,데이터!$E$2:$E$20000,설정!$B$5)=0),"",$B343/SUMIFS(데이터!$C$2:$C$20000,데이터!$A$2:$A$20000,$A343,데이터!$E$2:$E$20000,설정!$B$5)-1),"")</f>
        <v/>
      </c>
      <c r="G343" s="5">
        <f>IFERROR(IF(OR($B343="",COUNTIFS(데이터!$A$2:$A$20000,$A343,데이터!$E$2:$E$20000,설정!$B$6)=0),"",$B343/SUMIFS(데이터!$C$2:$C$20000,데이터!$A$2:$A$20000,$A343,데이터!$E$2:$E$20000,설정!$B$6)-1),"")</f>
        <v/>
      </c>
      <c r="H343" s="5">
        <f>IFERROR(IF(OR($B343="",COUNTIFS(데이터!$A$2:$A$20000,$A343,데이터!$E$2:$E$20000,설정!$B$7)=0),"",$B343/SUMIFS(데이터!$C$2:$C$20000,데이터!$A$2:$A$20000,$A343,데이터!$E$2:$E$20000,설정!$B$7)-1),"")</f>
        <v/>
      </c>
      <c r="J343">
        <f>IF(C343="","",C343+ROW()*0.000000001)</f>
        <v/>
      </c>
      <c r="K343">
        <f>IF(D343="","",D343+ROW()*0.000000001)</f>
        <v/>
      </c>
      <c r="L343">
        <f>IF(E343="","",E343+ROW()*0.000000001)</f>
        <v/>
      </c>
      <c r="M343">
        <f>IF(F343="","",F343+ROW()*0.000000001)</f>
        <v/>
      </c>
      <c r="N343">
        <f>IF(G343="","",G343+ROW()*0.000000001)</f>
        <v/>
      </c>
      <c r="O343">
        <f>IF(H343="","",H343+ROW()*0.000000001)</f>
        <v/>
      </c>
    </row>
    <row r="344">
      <c r="B344" s="4">
        <f>IF($A344="","",IF(COUNTIFS(데이터!$A$2:$A$20000,$A344,데이터!$E$2:$E$20000,1)=0,"",SUMIFS(데이터!$C$2:$C$20000,데이터!$A$2:$A$20000,$A344,데이터!$E$2:$E$20000,1)))</f>
        <v/>
      </c>
      <c r="C344" s="5">
        <f>IFERROR(IF(OR($B344="",COUNTIFS(데이터!$A$2:$A$20000,$A344,데이터!$E$2:$E$20000,설정!$B$2)=0),"",$B344/SUMIFS(데이터!$C$2:$C$20000,데이터!$A$2:$A$20000,$A344,데이터!$E$2:$E$20000,설정!$B$2)-1),"")</f>
        <v/>
      </c>
      <c r="D344" s="5">
        <f>IFERROR(IF(OR($B344="",COUNTIFS(데이터!$A$2:$A$20000,$A344,데이터!$E$2:$E$20000,설정!$B$3)=0),"",$B344/SUMIFS(데이터!$C$2:$C$20000,데이터!$A$2:$A$20000,$A344,데이터!$E$2:$E$20000,설정!$B$3)-1),"")</f>
        <v/>
      </c>
      <c r="E344" s="5">
        <f>IFERROR(IF(OR($B344="",COUNTIFS(데이터!$A$2:$A$20000,$A344,데이터!$E$2:$E$20000,설정!$B$4)=0),"",$B344/SUMIFS(데이터!$C$2:$C$20000,데이터!$A$2:$A$20000,$A344,데이터!$E$2:$E$20000,설정!$B$4)-1),"")</f>
        <v/>
      </c>
      <c r="F344" s="5">
        <f>IFERROR(IF(OR($B344="",COUNTIFS(데이터!$A$2:$A$20000,$A344,데이터!$E$2:$E$20000,설정!$B$5)=0),"",$B344/SUMIFS(데이터!$C$2:$C$20000,데이터!$A$2:$A$20000,$A344,데이터!$E$2:$E$20000,설정!$B$5)-1),"")</f>
        <v/>
      </c>
      <c r="G344" s="5">
        <f>IFERROR(IF(OR($B344="",COUNTIFS(데이터!$A$2:$A$20000,$A344,데이터!$E$2:$E$20000,설정!$B$6)=0),"",$B344/SUMIFS(데이터!$C$2:$C$20000,데이터!$A$2:$A$20000,$A344,데이터!$E$2:$E$20000,설정!$B$6)-1),"")</f>
        <v/>
      </c>
      <c r="H344" s="5">
        <f>IFERROR(IF(OR($B344="",COUNTIFS(데이터!$A$2:$A$20000,$A344,데이터!$E$2:$E$20000,설정!$B$7)=0),"",$B344/SUMIFS(데이터!$C$2:$C$20000,데이터!$A$2:$A$20000,$A344,데이터!$E$2:$E$20000,설정!$B$7)-1),"")</f>
        <v/>
      </c>
      <c r="J344">
        <f>IF(C344="","",C344+ROW()*0.000000001)</f>
        <v/>
      </c>
      <c r="K344">
        <f>IF(D344="","",D344+ROW()*0.000000001)</f>
        <v/>
      </c>
      <c r="L344">
        <f>IF(E344="","",E344+ROW()*0.000000001)</f>
        <v/>
      </c>
      <c r="M344">
        <f>IF(F344="","",F344+ROW()*0.000000001)</f>
        <v/>
      </c>
      <c r="N344">
        <f>IF(G344="","",G344+ROW()*0.000000001)</f>
        <v/>
      </c>
      <c r="O344">
        <f>IF(H344="","",H344+ROW()*0.000000001)</f>
        <v/>
      </c>
    </row>
    <row r="345">
      <c r="B345" s="4">
        <f>IF($A345="","",IF(COUNTIFS(데이터!$A$2:$A$20000,$A345,데이터!$E$2:$E$20000,1)=0,"",SUMIFS(데이터!$C$2:$C$20000,데이터!$A$2:$A$20000,$A345,데이터!$E$2:$E$20000,1)))</f>
        <v/>
      </c>
      <c r="C345" s="5">
        <f>IFERROR(IF(OR($B345="",COUNTIFS(데이터!$A$2:$A$20000,$A345,데이터!$E$2:$E$20000,설정!$B$2)=0),"",$B345/SUMIFS(데이터!$C$2:$C$20000,데이터!$A$2:$A$20000,$A345,데이터!$E$2:$E$20000,설정!$B$2)-1),"")</f>
        <v/>
      </c>
      <c r="D345" s="5">
        <f>IFERROR(IF(OR($B345="",COUNTIFS(데이터!$A$2:$A$20000,$A345,데이터!$E$2:$E$20000,설정!$B$3)=0),"",$B345/SUMIFS(데이터!$C$2:$C$20000,데이터!$A$2:$A$20000,$A345,데이터!$E$2:$E$20000,설정!$B$3)-1),"")</f>
        <v/>
      </c>
      <c r="E345" s="5">
        <f>IFERROR(IF(OR($B345="",COUNTIFS(데이터!$A$2:$A$20000,$A345,데이터!$E$2:$E$20000,설정!$B$4)=0),"",$B345/SUMIFS(데이터!$C$2:$C$20000,데이터!$A$2:$A$20000,$A345,데이터!$E$2:$E$20000,설정!$B$4)-1),"")</f>
        <v/>
      </c>
      <c r="F345" s="5">
        <f>IFERROR(IF(OR($B345="",COUNTIFS(데이터!$A$2:$A$20000,$A345,데이터!$E$2:$E$20000,설정!$B$5)=0),"",$B345/SUMIFS(데이터!$C$2:$C$20000,데이터!$A$2:$A$20000,$A345,데이터!$E$2:$E$20000,설정!$B$5)-1),"")</f>
        <v/>
      </c>
      <c r="G345" s="5">
        <f>IFERROR(IF(OR($B345="",COUNTIFS(데이터!$A$2:$A$20000,$A345,데이터!$E$2:$E$20000,설정!$B$6)=0),"",$B345/SUMIFS(데이터!$C$2:$C$20000,데이터!$A$2:$A$20000,$A345,데이터!$E$2:$E$20000,설정!$B$6)-1),"")</f>
        <v/>
      </c>
      <c r="H345" s="5">
        <f>IFERROR(IF(OR($B345="",COUNTIFS(데이터!$A$2:$A$20000,$A345,데이터!$E$2:$E$20000,설정!$B$7)=0),"",$B345/SUMIFS(데이터!$C$2:$C$20000,데이터!$A$2:$A$20000,$A345,데이터!$E$2:$E$20000,설정!$B$7)-1),"")</f>
        <v/>
      </c>
      <c r="J345">
        <f>IF(C345="","",C345+ROW()*0.000000001)</f>
        <v/>
      </c>
      <c r="K345">
        <f>IF(D345="","",D345+ROW()*0.000000001)</f>
        <v/>
      </c>
      <c r="L345">
        <f>IF(E345="","",E345+ROW()*0.000000001)</f>
        <v/>
      </c>
      <c r="M345">
        <f>IF(F345="","",F345+ROW()*0.000000001)</f>
        <v/>
      </c>
      <c r="N345">
        <f>IF(G345="","",G345+ROW()*0.000000001)</f>
        <v/>
      </c>
      <c r="O345">
        <f>IF(H345="","",H345+ROW()*0.000000001)</f>
        <v/>
      </c>
    </row>
    <row r="346">
      <c r="B346" s="4">
        <f>IF($A346="","",IF(COUNTIFS(데이터!$A$2:$A$20000,$A346,데이터!$E$2:$E$20000,1)=0,"",SUMIFS(데이터!$C$2:$C$20000,데이터!$A$2:$A$20000,$A346,데이터!$E$2:$E$20000,1)))</f>
        <v/>
      </c>
      <c r="C346" s="5">
        <f>IFERROR(IF(OR($B346="",COUNTIFS(데이터!$A$2:$A$20000,$A346,데이터!$E$2:$E$20000,설정!$B$2)=0),"",$B346/SUMIFS(데이터!$C$2:$C$20000,데이터!$A$2:$A$20000,$A346,데이터!$E$2:$E$20000,설정!$B$2)-1),"")</f>
        <v/>
      </c>
      <c r="D346" s="5">
        <f>IFERROR(IF(OR($B346="",COUNTIFS(데이터!$A$2:$A$20000,$A346,데이터!$E$2:$E$20000,설정!$B$3)=0),"",$B346/SUMIFS(데이터!$C$2:$C$20000,데이터!$A$2:$A$20000,$A346,데이터!$E$2:$E$20000,설정!$B$3)-1),"")</f>
        <v/>
      </c>
      <c r="E346" s="5">
        <f>IFERROR(IF(OR($B346="",COUNTIFS(데이터!$A$2:$A$20000,$A346,데이터!$E$2:$E$20000,설정!$B$4)=0),"",$B346/SUMIFS(데이터!$C$2:$C$20000,데이터!$A$2:$A$20000,$A346,데이터!$E$2:$E$20000,설정!$B$4)-1),"")</f>
        <v/>
      </c>
      <c r="F346" s="5">
        <f>IFERROR(IF(OR($B346="",COUNTIFS(데이터!$A$2:$A$20000,$A346,데이터!$E$2:$E$20000,설정!$B$5)=0),"",$B346/SUMIFS(데이터!$C$2:$C$20000,데이터!$A$2:$A$20000,$A346,데이터!$E$2:$E$20000,설정!$B$5)-1),"")</f>
        <v/>
      </c>
      <c r="G346" s="5">
        <f>IFERROR(IF(OR($B346="",COUNTIFS(데이터!$A$2:$A$20000,$A346,데이터!$E$2:$E$20000,설정!$B$6)=0),"",$B346/SUMIFS(데이터!$C$2:$C$20000,데이터!$A$2:$A$20000,$A346,데이터!$E$2:$E$20000,설정!$B$6)-1),"")</f>
        <v/>
      </c>
      <c r="H346" s="5">
        <f>IFERROR(IF(OR($B346="",COUNTIFS(데이터!$A$2:$A$20000,$A346,데이터!$E$2:$E$20000,설정!$B$7)=0),"",$B346/SUMIFS(데이터!$C$2:$C$20000,데이터!$A$2:$A$20000,$A346,데이터!$E$2:$E$20000,설정!$B$7)-1),"")</f>
        <v/>
      </c>
      <c r="J346">
        <f>IF(C346="","",C346+ROW()*0.000000001)</f>
        <v/>
      </c>
      <c r="K346">
        <f>IF(D346="","",D346+ROW()*0.000000001)</f>
        <v/>
      </c>
      <c r="L346">
        <f>IF(E346="","",E346+ROW()*0.000000001)</f>
        <v/>
      </c>
      <c r="M346">
        <f>IF(F346="","",F346+ROW()*0.000000001)</f>
        <v/>
      </c>
      <c r="N346">
        <f>IF(G346="","",G346+ROW()*0.000000001)</f>
        <v/>
      </c>
      <c r="O346">
        <f>IF(H346="","",H346+ROW()*0.000000001)</f>
        <v/>
      </c>
    </row>
    <row r="347">
      <c r="B347" s="4">
        <f>IF($A347="","",IF(COUNTIFS(데이터!$A$2:$A$20000,$A347,데이터!$E$2:$E$20000,1)=0,"",SUMIFS(데이터!$C$2:$C$20000,데이터!$A$2:$A$20000,$A347,데이터!$E$2:$E$20000,1)))</f>
        <v/>
      </c>
      <c r="C347" s="5">
        <f>IFERROR(IF(OR($B347="",COUNTIFS(데이터!$A$2:$A$20000,$A347,데이터!$E$2:$E$20000,설정!$B$2)=0),"",$B347/SUMIFS(데이터!$C$2:$C$20000,데이터!$A$2:$A$20000,$A347,데이터!$E$2:$E$20000,설정!$B$2)-1),"")</f>
        <v/>
      </c>
      <c r="D347" s="5">
        <f>IFERROR(IF(OR($B347="",COUNTIFS(데이터!$A$2:$A$20000,$A347,데이터!$E$2:$E$20000,설정!$B$3)=0),"",$B347/SUMIFS(데이터!$C$2:$C$20000,데이터!$A$2:$A$20000,$A347,데이터!$E$2:$E$20000,설정!$B$3)-1),"")</f>
        <v/>
      </c>
      <c r="E347" s="5">
        <f>IFERROR(IF(OR($B347="",COUNTIFS(데이터!$A$2:$A$20000,$A347,데이터!$E$2:$E$20000,설정!$B$4)=0),"",$B347/SUMIFS(데이터!$C$2:$C$20000,데이터!$A$2:$A$20000,$A347,데이터!$E$2:$E$20000,설정!$B$4)-1),"")</f>
        <v/>
      </c>
      <c r="F347" s="5">
        <f>IFERROR(IF(OR($B347="",COUNTIFS(데이터!$A$2:$A$20000,$A347,데이터!$E$2:$E$20000,설정!$B$5)=0),"",$B347/SUMIFS(데이터!$C$2:$C$20000,데이터!$A$2:$A$20000,$A347,데이터!$E$2:$E$20000,설정!$B$5)-1),"")</f>
        <v/>
      </c>
      <c r="G347" s="5">
        <f>IFERROR(IF(OR($B347="",COUNTIFS(데이터!$A$2:$A$20000,$A347,데이터!$E$2:$E$20000,설정!$B$6)=0),"",$B347/SUMIFS(데이터!$C$2:$C$20000,데이터!$A$2:$A$20000,$A347,데이터!$E$2:$E$20000,설정!$B$6)-1),"")</f>
        <v/>
      </c>
      <c r="H347" s="5">
        <f>IFERROR(IF(OR($B347="",COUNTIFS(데이터!$A$2:$A$20000,$A347,데이터!$E$2:$E$20000,설정!$B$7)=0),"",$B347/SUMIFS(데이터!$C$2:$C$20000,데이터!$A$2:$A$20000,$A347,데이터!$E$2:$E$20000,설정!$B$7)-1),"")</f>
        <v/>
      </c>
      <c r="J347">
        <f>IF(C347="","",C347+ROW()*0.000000001)</f>
        <v/>
      </c>
      <c r="K347">
        <f>IF(D347="","",D347+ROW()*0.000000001)</f>
        <v/>
      </c>
      <c r="L347">
        <f>IF(E347="","",E347+ROW()*0.000000001)</f>
        <v/>
      </c>
      <c r="M347">
        <f>IF(F347="","",F347+ROW()*0.000000001)</f>
        <v/>
      </c>
      <c r="N347">
        <f>IF(G347="","",G347+ROW()*0.000000001)</f>
        <v/>
      </c>
      <c r="O347">
        <f>IF(H347="","",H347+ROW()*0.000000001)</f>
        <v/>
      </c>
    </row>
    <row r="348">
      <c r="B348" s="4">
        <f>IF($A348="","",IF(COUNTIFS(데이터!$A$2:$A$20000,$A348,데이터!$E$2:$E$20000,1)=0,"",SUMIFS(데이터!$C$2:$C$20000,데이터!$A$2:$A$20000,$A348,데이터!$E$2:$E$20000,1)))</f>
        <v/>
      </c>
      <c r="C348" s="5">
        <f>IFERROR(IF(OR($B348="",COUNTIFS(데이터!$A$2:$A$20000,$A348,데이터!$E$2:$E$20000,설정!$B$2)=0),"",$B348/SUMIFS(데이터!$C$2:$C$20000,데이터!$A$2:$A$20000,$A348,데이터!$E$2:$E$20000,설정!$B$2)-1),"")</f>
        <v/>
      </c>
      <c r="D348" s="5">
        <f>IFERROR(IF(OR($B348="",COUNTIFS(데이터!$A$2:$A$20000,$A348,데이터!$E$2:$E$20000,설정!$B$3)=0),"",$B348/SUMIFS(데이터!$C$2:$C$20000,데이터!$A$2:$A$20000,$A348,데이터!$E$2:$E$20000,설정!$B$3)-1),"")</f>
        <v/>
      </c>
      <c r="E348" s="5">
        <f>IFERROR(IF(OR($B348="",COUNTIFS(데이터!$A$2:$A$20000,$A348,데이터!$E$2:$E$20000,설정!$B$4)=0),"",$B348/SUMIFS(데이터!$C$2:$C$20000,데이터!$A$2:$A$20000,$A348,데이터!$E$2:$E$20000,설정!$B$4)-1),"")</f>
        <v/>
      </c>
      <c r="F348" s="5">
        <f>IFERROR(IF(OR($B348="",COUNTIFS(데이터!$A$2:$A$20000,$A348,데이터!$E$2:$E$20000,설정!$B$5)=0),"",$B348/SUMIFS(데이터!$C$2:$C$20000,데이터!$A$2:$A$20000,$A348,데이터!$E$2:$E$20000,설정!$B$5)-1),"")</f>
        <v/>
      </c>
      <c r="G348" s="5">
        <f>IFERROR(IF(OR($B348="",COUNTIFS(데이터!$A$2:$A$20000,$A348,데이터!$E$2:$E$20000,설정!$B$6)=0),"",$B348/SUMIFS(데이터!$C$2:$C$20000,데이터!$A$2:$A$20000,$A348,데이터!$E$2:$E$20000,설정!$B$6)-1),"")</f>
        <v/>
      </c>
      <c r="H348" s="5">
        <f>IFERROR(IF(OR($B348="",COUNTIFS(데이터!$A$2:$A$20000,$A348,데이터!$E$2:$E$20000,설정!$B$7)=0),"",$B348/SUMIFS(데이터!$C$2:$C$20000,데이터!$A$2:$A$20000,$A348,데이터!$E$2:$E$20000,설정!$B$7)-1),"")</f>
        <v/>
      </c>
      <c r="J348">
        <f>IF(C348="","",C348+ROW()*0.000000001)</f>
        <v/>
      </c>
      <c r="K348">
        <f>IF(D348="","",D348+ROW()*0.000000001)</f>
        <v/>
      </c>
      <c r="L348">
        <f>IF(E348="","",E348+ROW()*0.000000001)</f>
        <v/>
      </c>
      <c r="M348">
        <f>IF(F348="","",F348+ROW()*0.000000001)</f>
        <v/>
      </c>
      <c r="N348">
        <f>IF(G348="","",G348+ROW()*0.000000001)</f>
        <v/>
      </c>
      <c r="O348">
        <f>IF(H348="","",H348+ROW()*0.000000001)</f>
        <v/>
      </c>
    </row>
    <row r="349">
      <c r="B349" s="4">
        <f>IF($A349="","",IF(COUNTIFS(데이터!$A$2:$A$20000,$A349,데이터!$E$2:$E$20000,1)=0,"",SUMIFS(데이터!$C$2:$C$20000,데이터!$A$2:$A$20000,$A349,데이터!$E$2:$E$20000,1)))</f>
        <v/>
      </c>
      <c r="C349" s="5">
        <f>IFERROR(IF(OR($B349="",COUNTIFS(데이터!$A$2:$A$20000,$A349,데이터!$E$2:$E$20000,설정!$B$2)=0),"",$B349/SUMIFS(데이터!$C$2:$C$20000,데이터!$A$2:$A$20000,$A349,데이터!$E$2:$E$20000,설정!$B$2)-1),"")</f>
        <v/>
      </c>
      <c r="D349" s="5">
        <f>IFERROR(IF(OR($B349="",COUNTIFS(데이터!$A$2:$A$20000,$A349,데이터!$E$2:$E$20000,설정!$B$3)=0),"",$B349/SUMIFS(데이터!$C$2:$C$20000,데이터!$A$2:$A$20000,$A349,데이터!$E$2:$E$20000,설정!$B$3)-1),"")</f>
        <v/>
      </c>
      <c r="E349" s="5">
        <f>IFERROR(IF(OR($B349="",COUNTIFS(데이터!$A$2:$A$20000,$A349,데이터!$E$2:$E$20000,설정!$B$4)=0),"",$B349/SUMIFS(데이터!$C$2:$C$20000,데이터!$A$2:$A$20000,$A349,데이터!$E$2:$E$20000,설정!$B$4)-1),"")</f>
        <v/>
      </c>
      <c r="F349" s="5">
        <f>IFERROR(IF(OR($B349="",COUNTIFS(데이터!$A$2:$A$20000,$A349,데이터!$E$2:$E$20000,설정!$B$5)=0),"",$B349/SUMIFS(데이터!$C$2:$C$20000,데이터!$A$2:$A$20000,$A349,데이터!$E$2:$E$20000,설정!$B$5)-1),"")</f>
        <v/>
      </c>
      <c r="G349" s="5">
        <f>IFERROR(IF(OR($B349="",COUNTIFS(데이터!$A$2:$A$20000,$A349,데이터!$E$2:$E$20000,설정!$B$6)=0),"",$B349/SUMIFS(데이터!$C$2:$C$20000,데이터!$A$2:$A$20000,$A349,데이터!$E$2:$E$20000,설정!$B$6)-1),"")</f>
        <v/>
      </c>
      <c r="H349" s="5">
        <f>IFERROR(IF(OR($B349="",COUNTIFS(데이터!$A$2:$A$20000,$A349,데이터!$E$2:$E$20000,설정!$B$7)=0),"",$B349/SUMIFS(데이터!$C$2:$C$20000,데이터!$A$2:$A$20000,$A349,데이터!$E$2:$E$20000,설정!$B$7)-1),"")</f>
        <v/>
      </c>
      <c r="J349">
        <f>IF(C349="","",C349+ROW()*0.000000001)</f>
        <v/>
      </c>
      <c r="K349">
        <f>IF(D349="","",D349+ROW()*0.000000001)</f>
        <v/>
      </c>
      <c r="L349">
        <f>IF(E349="","",E349+ROW()*0.000000001)</f>
        <v/>
      </c>
      <c r="M349">
        <f>IF(F349="","",F349+ROW()*0.000000001)</f>
        <v/>
      </c>
      <c r="N349">
        <f>IF(G349="","",G349+ROW()*0.000000001)</f>
        <v/>
      </c>
      <c r="O349">
        <f>IF(H349="","",H349+ROW()*0.000000001)</f>
        <v/>
      </c>
    </row>
    <row r="350">
      <c r="B350" s="4">
        <f>IF($A350="","",IF(COUNTIFS(데이터!$A$2:$A$20000,$A350,데이터!$E$2:$E$20000,1)=0,"",SUMIFS(데이터!$C$2:$C$20000,데이터!$A$2:$A$20000,$A350,데이터!$E$2:$E$20000,1)))</f>
        <v/>
      </c>
      <c r="C350" s="5">
        <f>IFERROR(IF(OR($B350="",COUNTIFS(데이터!$A$2:$A$20000,$A350,데이터!$E$2:$E$20000,설정!$B$2)=0),"",$B350/SUMIFS(데이터!$C$2:$C$20000,데이터!$A$2:$A$20000,$A350,데이터!$E$2:$E$20000,설정!$B$2)-1),"")</f>
        <v/>
      </c>
      <c r="D350" s="5">
        <f>IFERROR(IF(OR($B350="",COUNTIFS(데이터!$A$2:$A$20000,$A350,데이터!$E$2:$E$20000,설정!$B$3)=0),"",$B350/SUMIFS(데이터!$C$2:$C$20000,데이터!$A$2:$A$20000,$A350,데이터!$E$2:$E$20000,설정!$B$3)-1),"")</f>
        <v/>
      </c>
      <c r="E350" s="5">
        <f>IFERROR(IF(OR($B350="",COUNTIFS(데이터!$A$2:$A$20000,$A350,데이터!$E$2:$E$20000,설정!$B$4)=0),"",$B350/SUMIFS(데이터!$C$2:$C$20000,데이터!$A$2:$A$20000,$A350,데이터!$E$2:$E$20000,설정!$B$4)-1),"")</f>
        <v/>
      </c>
      <c r="F350" s="5">
        <f>IFERROR(IF(OR($B350="",COUNTIFS(데이터!$A$2:$A$20000,$A350,데이터!$E$2:$E$20000,설정!$B$5)=0),"",$B350/SUMIFS(데이터!$C$2:$C$20000,데이터!$A$2:$A$20000,$A350,데이터!$E$2:$E$20000,설정!$B$5)-1),"")</f>
        <v/>
      </c>
      <c r="G350" s="5">
        <f>IFERROR(IF(OR($B350="",COUNTIFS(데이터!$A$2:$A$20000,$A350,데이터!$E$2:$E$20000,설정!$B$6)=0),"",$B350/SUMIFS(데이터!$C$2:$C$20000,데이터!$A$2:$A$20000,$A350,데이터!$E$2:$E$20000,설정!$B$6)-1),"")</f>
        <v/>
      </c>
      <c r="H350" s="5">
        <f>IFERROR(IF(OR($B350="",COUNTIFS(데이터!$A$2:$A$20000,$A350,데이터!$E$2:$E$20000,설정!$B$7)=0),"",$B350/SUMIFS(데이터!$C$2:$C$20000,데이터!$A$2:$A$20000,$A350,데이터!$E$2:$E$20000,설정!$B$7)-1),"")</f>
        <v/>
      </c>
      <c r="J350">
        <f>IF(C350="","",C350+ROW()*0.000000001)</f>
        <v/>
      </c>
      <c r="K350">
        <f>IF(D350="","",D350+ROW()*0.000000001)</f>
        <v/>
      </c>
      <c r="L350">
        <f>IF(E350="","",E350+ROW()*0.000000001)</f>
        <v/>
      </c>
      <c r="M350">
        <f>IF(F350="","",F350+ROW()*0.000000001)</f>
        <v/>
      </c>
      <c r="N350">
        <f>IF(G350="","",G350+ROW()*0.000000001)</f>
        <v/>
      </c>
      <c r="O350">
        <f>IF(H350="","",H350+ROW()*0.000000001)</f>
        <v/>
      </c>
    </row>
    <row r="351">
      <c r="B351" s="4">
        <f>IF($A351="","",IF(COUNTIFS(데이터!$A$2:$A$20000,$A351,데이터!$E$2:$E$20000,1)=0,"",SUMIFS(데이터!$C$2:$C$20000,데이터!$A$2:$A$20000,$A351,데이터!$E$2:$E$20000,1)))</f>
        <v/>
      </c>
      <c r="C351" s="5">
        <f>IFERROR(IF(OR($B351="",COUNTIFS(데이터!$A$2:$A$20000,$A351,데이터!$E$2:$E$20000,설정!$B$2)=0),"",$B351/SUMIFS(데이터!$C$2:$C$20000,데이터!$A$2:$A$20000,$A351,데이터!$E$2:$E$20000,설정!$B$2)-1),"")</f>
        <v/>
      </c>
      <c r="D351" s="5">
        <f>IFERROR(IF(OR($B351="",COUNTIFS(데이터!$A$2:$A$20000,$A351,데이터!$E$2:$E$20000,설정!$B$3)=0),"",$B351/SUMIFS(데이터!$C$2:$C$20000,데이터!$A$2:$A$20000,$A351,데이터!$E$2:$E$20000,설정!$B$3)-1),"")</f>
        <v/>
      </c>
      <c r="E351" s="5">
        <f>IFERROR(IF(OR($B351="",COUNTIFS(데이터!$A$2:$A$20000,$A351,데이터!$E$2:$E$20000,설정!$B$4)=0),"",$B351/SUMIFS(데이터!$C$2:$C$20000,데이터!$A$2:$A$20000,$A351,데이터!$E$2:$E$20000,설정!$B$4)-1),"")</f>
        <v/>
      </c>
      <c r="F351" s="5">
        <f>IFERROR(IF(OR($B351="",COUNTIFS(데이터!$A$2:$A$20000,$A351,데이터!$E$2:$E$20000,설정!$B$5)=0),"",$B351/SUMIFS(데이터!$C$2:$C$20000,데이터!$A$2:$A$20000,$A351,데이터!$E$2:$E$20000,설정!$B$5)-1),"")</f>
        <v/>
      </c>
      <c r="G351" s="5">
        <f>IFERROR(IF(OR($B351="",COUNTIFS(데이터!$A$2:$A$20000,$A351,데이터!$E$2:$E$20000,설정!$B$6)=0),"",$B351/SUMIFS(데이터!$C$2:$C$20000,데이터!$A$2:$A$20000,$A351,데이터!$E$2:$E$20000,설정!$B$6)-1),"")</f>
        <v/>
      </c>
      <c r="H351" s="5">
        <f>IFERROR(IF(OR($B351="",COUNTIFS(데이터!$A$2:$A$20000,$A351,데이터!$E$2:$E$20000,설정!$B$7)=0),"",$B351/SUMIFS(데이터!$C$2:$C$20000,데이터!$A$2:$A$20000,$A351,데이터!$E$2:$E$20000,설정!$B$7)-1),"")</f>
        <v/>
      </c>
      <c r="J351">
        <f>IF(C351="","",C351+ROW()*0.000000001)</f>
        <v/>
      </c>
      <c r="K351">
        <f>IF(D351="","",D351+ROW()*0.000000001)</f>
        <v/>
      </c>
      <c r="L351">
        <f>IF(E351="","",E351+ROW()*0.000000001)</f>
        <v/>
      </c>
      <c r="M351">
        <f>IF(F351="","",F351+ROW()*0.000000001)</f>
        <v/>
      </c>
      <c r="N351">
        <f>IF(G351="","",G351+ROW()*0.000000001)</f>
        <v/>
      </c>
      <c r="O351">
        <f>IF(H351="","",H351+ROW()*0.000000001)</f>
        <v/>
      </c>
    </row>
    <row r="352">
      <c r="B352" s="4">
        <f>IF($A352="","",IF(COUNTIFS(데이터!$A$2:$A$20000,$A352,데이터!$E$2:$E$20000,1)=0,"",SUMIFS(데이터!$C$2:$C$20000,데이터!$A$2:$A$20000,$A352,데이터!$E$2:$E$20000,1)))</f>
        <v/>
      </c>
      <c r="C352" s="5">
        <f>IFERROR(IF(OR($B352="",COUNTIFS(데이터!$A$2:$A$20000,$A352,데이터!$E$2:$E$20000,설정!$B$2)=0),"",$B352/SUMIFS(데이터!$C$2:$C$20000,데이터!$A$2:$A$20000,$A352,데이터!$E$2:$E$20000,설정!$B$2)-1),"")</f>
        <v/>
      </c>
      <c r="D352" s="5">
        <f>IFERROR(IF(OR($B352="",COUNTIFS(데이터!$A$2:$A$20000,$A352,데이터!$E$2:$E$20000,설정!$B$3)=0),"",$B352/SUMIFS(데이터!$C$2:$C$20000,데이터!$A$2:$A$20000,$A352,데이터!$E$2:$E$20000,설정!$B$3)-1),"")</f>
        <v/>
      </c>
      <c r="E352" s="5">
        <f>IFERROR(IF(OR($B352="",COUNTIFS(데이터!$A$2:$A$20000,$A352,데이터!$E$2:$E$20000,설정!$B$4)=0),"",$B352/SUMIFS(데이터!$C$2:$C$20000,데이터!$A$2:$A$20000,$A352,데이터!$E$2:$E$20000,설정!$B$4)-1),"")</f>
        <v/>
      </c>
      <c r="F352" s="5">
        <f>IFERROR(IF(OR($B352="",COUNTIFS(데이터!$A$2:$A$20000,$A352,데이터!$E$2:$E$20000,설정!$B$5)=0),"",$B352/SUMIFS(데이터!$C$2:$C$20000,데이터!$A$2:$A$20000,$A352,데이터!$E$2:$E$20000,설정!$B$5)-1),"")</f>
        <v/>
      </c>
      <c r="G352" s="5">
        <f>IFERROR(IF(OR($B352="",COUNTIFS(데이터!$A$2:$A$20000,$A352,데이터!$E$2:$E$20000,설정!$B$6)=0),"",$B352/SUMIFS(데이터!$C$2:$C$20000,데이터!$A$2:$A$20000,$A352,데이터!$E$2:$E$20000,설정!$B$6)-1),"")</f>
        <v/>
      </c>
      <c r="H352" s="5">
        <f>IFERROR(IF(OR($B352="",COUNTIFS(데이터!$A$2:$A$20000,$A352,데이터!$E$2:$E$20000,설정!$B$7)=0),"",$B352/SUMIFS(데이터!$C$2:$C$20000,데이터!$A$2:$A$20000,$A352,데이터!$E$2:$E$20000,설정!$B$7)-1),"")</f>
        <v/>
      </c>
      <c r="J352">
        <f>IF(C352="","",C352+ROW()*0.000000001)</f>
        <v/>
      </c>
      <c r="K352">
        <f>IF(D352="","",D352+ROW()*0.000000001)</f>
        <v/>
      </c>
      <c r="L352">
        <f>IF(E352="","",E352+ROW()*0.000000001)</f>
        <v/>
      </c>
      <c r="M352">
        <f>IF(F352="","",F352+ROW()*0.000000001)</f>
        <v/>
      </c>
      <c r="N352">
        <f>IF(G352="","",G352+ROW()*0.000000001)</f>
        <v/>
      </c>
      <c r="O352">
        <f>IF(H352="","",H352+ROW()*0.000000001)</f>
        <v/>
      </c>
    </row>
    <row r="353">
      <c r="B353" s="4">
        <f>IF($A353="","",IF(COUNTIFS(데이터!$A$2:$A$20000,$A353,데이터!$E$2:$E$20000,1)=0,"",SUMIFS(데이터!$C$2:$C$20000,데이터!$A$2:$A$20000,$A353,데이터!$E$2:$E$20000,1)))</f>
        <v/>
      </c>
      <c r="C353" s="5">
        <f>IFERROR(IF(OR($B353="",COUNTIFS(데이터!$A$2:$A$20000,$A353,데이터!$E$2:$E$20000,설정!$B$2)=0),"",$B353/SUMIFS(데이터!$C$2:$C$20000,데이터!$A$2:$A$20000,$A353,데이터!$E$2:$E$20000,설정!$B$2)-1),"")</f>
        <v/>
      </c>
      <c r="D353" s="5">
        <f>IFERROR(IF(OR($B353="",COUNTIFS(데이터!$A$2:$A$20000,$A353,데이터!$E$2:$E$20000,설정!$B$3)=0),"",$B353/SUMIFS(데이터!$C$2:$C$20000,데이터!$A$2:$A$20000,$A353,데이터!$E$2:$E$20000,설정!$B$3)-1),"")</f>
        <v/>
      </c>
      <c r="E353" s="5">
        <f>IFERROR(IF(OR($B353="",COUNTIFS(데이터!$A$2:$A$20000,$A353,데이터!$E$2:$E$20000,설정!$B$4)=0),"",$B353/SUMIFS(데이터!$C$2:$C$20000,데이터!$A$2:$A$20000,$A353,데이터!$E$2:$E$20000,설정!$B$4)-1),"")</f>
        <v/>
      </c>
      <c r="F353" s="5">
        <f>IFERROR(IF(OR($B353="",COUNTIFS(데이터!$A$2:$A$20000,$A353,데이터!$E$2:$E$20000,설정!$B$5)=0),"",$B353/SUMIFS(데이터!$C$2:$C$20000,데이터!$A$2:$A$20000,$A353,데이터!$E$2:$E$20000,설정!$B$5)-1),"")</f>
        <v/>
      </c>
      <c r="G353" s="5">
        <f>IFERROR(IF(OR($B353="",COUNTIFS(데이터!$A$2:$A$20000,$A353,데이터!$E$2:$E$20000,설정!$B$6)=0),"",$B353/SUMIFS(데이터!$C$2:$C$20000,데이터!$A$2:$A$20000,$A353,데이터!$E$2:$E$20000,설정!$B$6)-1),"")</f>
        <v/>
      </c>
      <c r="H353" s="5">
        <f>IFERROR(IF(OR($B353="",COUNTIFS(데이터!$A$2:$A$20000,$A353,데이터!$E$2:$E$20000,설정!$B$7)=0),"",$B353/SUMIFS(데이터!$C$2:$C$20000,데이터!$A$2:$A$20000,$A353,데이터!$E$2:$E$20000,설정!$B$7)-1),"")</f>
        <v/>
      </c>
      <c r="J353">
        <f>IF(C353="","",C353+ROW()*0.000000001)</f>
        <v/>
      </c>
      <c r="K353">
        <f>IF(D353="","",D353+ROW()*0.000000001)</f>
        <v/>
      </c>
      <c r="L353">
        <f>IF(E353="","",E353+ROW()*0.000000001)</f>
        <v/>
      </c>
      <c r="M353">
        <f>IF(F353="","",F353+ROW()*0.000000001)</f>
        <v/>
      </c>
      <c r="N353">
        <f>IF(G353="","",G353+ROW()*0.000000001)</f>
        <v/>
      </c>
      <c r="O353">
        <f>IF(H353="","",H353+ROW()*0.000000001)</f>
        <v/>
      </c>
    </row>
    <row r="354">
      <c r="B354" s="4">
        <f>IF($A354="","",IF(COUNTIFS(데이터!$A$2:$A$20000,$A354,데이터!$E$2:$E$20000,1)=0,"",SUMIFS(데이터!$C$2:$C$20000,데이터!$A$2:$A$20000,$A354,데이터!$E$2:$E$20000,1)))</f>
        <v/>
      </c>
      <c r="C354" s="5">
        <f>IFERROR(IF(OR($B354="",COUNTIFS(데이터!$A$2:$A$20000,$A354,데이터!$E$2:$E$20000,설정!$B$2)=0),"",$B354/SUMIFS(데이터!$C$2:$C$20000,데이터!$A$2:$A$20000,$A354,데이터!$E$2:$E$20000,설정!$B$2)-1),"")</f>
        <v/>
      </c>
      <c r="D354" s="5">
        <f>IFERROR(IF(OR($B354="",COUNTIFS(데이터!$A$2:$A$20000,$A354,데이터!$E$2:$E$20000,설정!$B$3)=0),"",$B354/SUMIFS(데이터!$C$2:$C$20000,데이터!$A$2:$A$20000,$A354,데이터!$E$2:$E$20000,설정!$B$3)-1),"")</f>
        <v/>
      </c>
      <c r="E354" s="5">
        <f>IFERROR(IF(OR($B354="",COUNTIFS(데이터!$A$2:$A$20000,$A354,데이터!$E$2:$E$20000,설정!$B$4)=0),"",$B354/SUMIFS(데이터!$C$2:$C$20000,데이터!$A$2:$A$20000,$A354,데이터!$E$2:$E$20000,설정!$B$4)-1),"")</f>
        <v/>
      </c>
      <c r="F354" s="5">
        <f>IFERROR(IF(OR($B354="",COUNTIFS(데이터!$A$2:$A$20000,$A354,데이터!$E$2:$E$20000,설정!$B$5)=0),"",$B354/SUMIFS(데이터!$C$2:$C$20000,데이터!$A$2:$A$20000,$A354,데이터!$E$2:$E$20000,설정!$B$5)-1),"")</f>
        <v/>
      </c>
      <c r="G354" s="5">
        <f>IFERROR(IF(OR($B354="",COUNTIFS(데이터!$A$2:$A$20000,$A354,데이터!$E$2:$E$20000,설정!$B$6)=0),"",$B354/SUMIFS(데이터!$C$2:$C$20000,데이터!$A$2:$A$20000,$A354,데이터!$E$2:$E$20000,설정!$B$6)-1),"")</f>
        <v/>
      </c>
      <c r="H354" s="5">
        <f>IFERROR(IF(OR($B354="",COUNTIFS(데이터!$A$2:$A$20000,$A354,데이터!$E$2:$E$20000,설정!$B$7)=0),"",$B354/SUMIFS(데이터!$C$2:$C$20000,데이터!$A$2:$A$20000,$A354,데이터!$E$2:$E$20000,설정!$B$7)-1),"")</f>
        <v/>
      </c>
      <c r="J354">
        <f>IF(C354="","",C354+ROW()*0.000000001)</f>
        <v/>
      </c>
      <c r="K354">
        <f>IF(D354="","",D354+ROW()*0.000000001)</f>
        <v/>
      </c>
      <c r="L354">
        <f>IF(E354="","",E354+ROW()*0.000000001)</f>
        <v/>
      </c>
      <c r="M354">
        <f>IF(F354="","",F354+ROW()*0.000000001)</f>
        <v/>
      </c>
      <c r="N354">
        <f>IF(G354="","",G354+ROW()*0.000000001)</f>
        <v/>
      </c>
      <c r="O354">
        <f>IF(H354="","",H354+ROW()*0.000000001)</f>
        <v/>
      </c>
    </row>
    <row r="355">
      <c r="B355" s="4">
        <f>IF($A355="","",IF(COUNTIFS(데이터!$A$2:$A$20000,$A355,데이터!$E$2:$E$20000,1)=0,"",SUMIFS(데이터!$C$2:$C$20000,데이터!$A$2:$A$20000,$A355,데이터!$E$2:$E$20000,1)))</f>
        <v/>
      </c>
      <c r="C355" s="5">
        <f>IFERROR(IF(OR($B355="",COUNTIFS(데이터!$A$2:$A$20000,$A355,데이터!$E$2:$E$20000,설정!$B$2)=0),"",$B355/SUMIFS(데이터!$C$2:$C$20000,데이터!$A$2:$A$20000,$A355,데이터!$E$2:$E$20000,설정!$B$2)-1),"")</f>
        <v/>
      </c>
      <c r="D355" s="5">
        <f>IFERROR(IF(OR($B355="",COUNTIFS(데이터!$A$2:$A$20000,$A355,데이터!$E$2:$E$20000,설정!$B$3)=0),"",$B355/SUMIFS(데이터!$C$2:$C$20000,데이터!$A$2:$A$20000,$A355,데이터!$E$2:$E$20000,설정!$B$3)-1),"")</f>
        <v/>
      </c>
      <c r="E355" s="5">
        <f>IFERROR(IF(OR($B355="",COUNTIFS(데이터!$A$2:$A$20000,$A355,데이터!$E$2:$E$20000,설정!$B$4)=0),"",$B355/SUMIFS(데이터!$C$2:$C$20000,데이터!$A$2:$A$20000,$A355,데이터!$E$2:$E$20000,설정!$B$4)-1),"")</f>
        <v/>
      </c>
      <c r="F355" s="5">
        <f>IFERROR(IF(OR($B355="",COUNTIFS(데이터!$A$2:$A$20000,$A355,데이터!$E$2:$E$20000,설정!$B$5)=0),"",$B355/SUMIFS(데이터!$C$2:$C$20000,데이터!$A$2:$A$20000,$A355,데이터!$E$2:$E$20000,설정!$B$5)-1),"")</f>
        <v/>
      </c>
      <c r="G355" s="5">
        <f>IFERROR(IF(OR($B355="",COUNTIFS(데이터!$A$2:$A$20000,$A355,데이터!$E$2:$E$20000,설정!$B$6)=0),"",$B355/SUMIFS(데이터!$C$2:$C$20000,데이터!$A$2:$A$20000,$A355,데이터!$E$2:$E$20000,설정!$B$6)-1),"")</f>
        <v/>
      </c>
      <c r="H355" s="5">
        <f>IFERROR(IF(OR($B355="",COUNTIFS(데이터!$A$2:$A$20000,$A355,데이터!$E$2:$E$20000,설정!$B$7)=0),"",$B355/SUMIFS(데이터!$C$2:$C$20000,데이터!$A$2:$A$20000,$A355,데이터!$E$2:$E$20000,설정!$B$7)-1),"")</f>
        <v/>
      </c>
      <c r="J355">
        <f>IF(C355="","",C355+ROW()*0.000000001)</f>
        <v/>
      </c>
      <c r="K355">
        <f>IF(D355="","",D355+ROW()*0.000000001)</f>
        <v/>
      </c>
      <c r="L355">
        <f>IF(E355="","",E355+ROW()*0.000000001)</f>
        <v/>
      </c>
      <c r="M355">
        <f>IF(F355="","",F355+ROW()*0.000000001)</f>
        <v/>
      </c>
      <c r="N355">
        <f>IF(G355="","",G355+ROW()*0.000000001)</f>
        <v/>
      </c>
      <c r="O355">
        <f>IF(H355="","",H355+ROW()*0.000000001)</f>
        <v/>
      </c>
    </row>
    <row r="356">
      <c r="B356" s="4">
        <f>IF($A356="","",IF(COUNTIFS(데이터!$A$2:$A$20000,$A356,데이터!$E$2:$E$20000,1)=0,"",SUMIFS(데이터!$C$2:$C$20000,데이터!$A$2:$A$20000,$A356,데이터!$E$2:$E$20000,1)))</f>
        <v/>
      </c>
      <c r="C356" s="5">
        <f>IFERROR(IF(OR($B356="",COUNTIFS(데이터!$A$2:$A$20000,$A356,데이터!$E$2:$E$20000,설정!$B$2)=0),"",$B356/SUMIFS(데이터!$C$2:$C$20000,데이터!$A$2:$A$20000,$A356,데이터!$E$2:$E$20000,설정!$B$2)-1),"")</f>
        <v/>
      </c>
      <c r="D356" s="5">
        <f>IFERROR(IF(OR($B356="",COUNTIFS(데이터!$A$2:$A$20000,$A356,데이터!$E$2:$E$20000,설정!$B$3)=0),"",$B356/SUMIFS(데이터!$C$2:$C$20000,데이터!$A$2:$A$20000,$A356,데이터!$E$2:$E$20000,설정!$B$3)-1),"")</f>
        <v/>
      </c>
      <c r="E356" s="5">
        <f>IFERROR(IF(OR($B356="",COUNTIFS(데이터!$A$2:$A$20000,$A356,데이터!$E$2:$E$20000,설정!$B$4)=0),"",$B356/SUMIFS(데이터!$C$2:$C$20000,데이터!$A$2:$A$20000,$A356,데이터!$E$2:$E$20000,설정!$B$4)-1),"")</f>
        <v/>
      </c>
      <c r="F356" s="5">
        <f>IFERROR(IF(OR($B356="",COUNTIFS(데이터!$A$2:$A$20000,$A356,데이터!$E$2:$E$20000,설정!$B$5)=0),"",$B356/SUMIFS(데이터!$C$2:$C$20000,데이터!$A$2:$A$20000,$A356,데이터!$E$2:$E$20000,설정!$B$5)-1),"")</f>
        <v/>
      </c>
      <c r="G356" s="5">
        <f>IFERROR(IF(OR($B356="",COUNTIFS(데이터!$A$2:$A$20000,$A356,데이터!$E$2:$E$20000,설정!$B$6)=0),"",$B356/SUMIFS(데이터!$C$2:$C$20000,데이터!$A$2:$A$20000,$A356,데이터!$E$2:$E$20000,설정!$B$6)-1),"")</f>
        <v/>
      </c>
      <c r="H356" s="5">
        <f>IFERROR(IF(OR($B356="",COUNTIFS(데이터!$A$2:$A$20000,$A356,데이터!$E$2:$E$20000,설정!$B$7)=0),"",$B356/SUMIFS(데이터!$C$2:$C$20000,데이터!$A$2:$A$20000,$A356,데이터!$E$2:$E$20000,설정!$B$7)-1),"")</f>
        <v/>
      </c>
      <c r="J356">
        <f>IF(C356="","",C356+ROW()*0.000000001)</f>
        <v/>
      </c>
      <c r="K356">
        <f>IF(D356="","",D356+ROW()*0.000000001)</f>
        <v/>
      </c>
      <c r="L356">
        <f>IF(E356="","",E356+ROW()*0.000000001)</f>
        <v/>
      </c>
      <c r="M356">
        <f>IF(F356="","",F356+ROW()*0.000000001)</f>
        <v/>
      </c>
      <c r="N356">
        <f>IF(G356="","",G356+ROW()*0.000000001)</f>
        <v/>
      </c>
      <c r="O356">
        <f>IF(H356="","",H356+ROW()*0.000000001)</f>
        <v/>
      </c>
    </row>
    <row r="357">
      <c r="B357" s="4">
        <f>IF($A357="","",IF(COUNTIFS(데이터!$A$2:$A$20000,$A357,데이터!$E$2:$E$20000,1)=0,"",SUMIFS(데이터!$C$2:$C$20000,데이터!$A$2:$A$20000,$A357,데이터!$E$2:$E$20000,1)))</f>
        <v/>
      </c>
      <c r="C357" s="5">
        <f>IFERROR(IF(OR($B357="",COUNTIFS(데이터!$A$2:$A$20000,$A357,데이터!$E$2:$E$20000,설정!$B$2)=0),"",$B357/SUMIFS(데이터!$C$2:$C$20000,데이터!$A$2:$A$20000,$A357,데이터!$E$2:$E$20000,설정!$B$2)-1),"")</f>
        <v/>
      </c>
      <c r="D357" s="5">
        <f>IFERROR(IF(OR($B357="",COUNTIFS(데이터!$A$2:$A$20000,$A357,데이터!$E$2:$E$20000,설정!$B$3)=0),"",$B357/SUMIFS(데이터!$C$2:$C$20000,데이터!$A$2:$A$20000,$A357,데이터!$E$2:$E$20000,설정!$B$3)-1),"")</f>
        <v/>
      </c>
      <c r="E357" s="5">
        <f>IFERROR(IF(OR($B357="",COUNTIFS(데이터!$A$2:$A$20000,$A357,데이터!$E$2:$E$20000,설정!$B$4)=0),"",$B357/SUMIFS(데이터!$C$2:$C$20000,데이터!$A$2:$A$20000,$A357,데이터!$E$2:$E$20000,설정!$B$4)-1),"")</f>
        <v/>
      </c>
      <c r="F357" s="5">
        <f>IFERROR(IF(OR($B357="",COUNTIFS(데이터!$A$2:$A$20000,$A357,데이터!$E$2:$E$20000,설정!$B$5)=0),"",$B357/SUMIFS(데이터!$C$2:$C$20000,데이터!$A$2:$A$20000,$A357,데이터!$E$2:$E$20000,설정!$B$5)-1),"")</f>
        <v/>
      </c>
      <c r="G357" s="5">
        <f>IFERROR(IF(OR($B357="",COUNTIFS(데이터!$A$2:$A$20000,$A357,데이터!$E$2:$E$20000,설정!$B$6)=0),"",$B357/SUMIFS(데이터!$C$2:$C$20000,데이터!$A$2:$A$20000,$A357,데이터!$E$2:$E$20000,설정!$B$6)-1),"")</f>
        <v/>
      </c>
      <c r="H357" s="5">
        <f>IFERROR(IF(OR($B357="",COUNTIFS(데이터!$A$2:$A$20000,$A357,데이터!$E$2:$E$20000,설정!$B$7)=0),"",$B357/SUMIFS(데이터!$C$2:$C$20000,데이터!$A$2:$A$20000,$A357,데이터!$E$2:$E$20000,설정!$B$7)-1),"")</f>
        <v/>
      </c>
      <c r="J357">
        <f>IF(C357="","",C357+ROW()*0.000000001)</f>
        <v/>
      </c>
      <c r="K357">
        <f>IF(D357="","",D357+ROW()*0.000000001)</f>
        <v/>
      </c>
      <c r="L357">
        <f>IF(E357="","",E357+ROW()*0.000000001)</f>
        <v/>
      </c>
      <c r="M357">
        <f>IF(F357="","",F357+ROW()*0.000000001)</f>
        <v/>
      </c>
      <c r="N357">
        <f>IF(G357="","",G357+ROW()*0.000000001)</f>
        <v/>
      </c>
      <c r="O357">
        <f>IF(H357="","",H357+ROW()*0.000000001)</f>
        <v/>
      </c>
    </row>
    <row r="358">
      <c r="B358" s="4">
        <f>IF($A358="","",IF(COUNTIFS(데이터!$A$2:$A$20000,$A358,데이터!$E$2:$E$20000,1)=0,"",SUMIFS(데이터!$C$2:$C$20000,데이터!$A$2:$A$20000,$A358,데이터!$E$2:$E$20000,1)))</f>
        <v/>
      </c>
      <c r="C358" s="5">
        <f>IFERROR(IF(OR($B358="",COUNTIFS(데이터!$A$2:$A$20000,$A358,데이터!$E$2:$E$20000,설정!$B$2)=0),"",$B358/SUMIFS(데이터!$C$2:$C$20000,데이터!$A$2:$A$20000,$A358,데이터!$E$2:$E$20000,설정!$B$2)-1),"")</f>
        <v/>
      </c>
      <c r="D358" s="5">
        <f>IFERROR(IF(OR($B358="",COUNTIFS(데이터!$A$2:$A$20000,$A358,데이터!$E$2:$E$20000,설정!$B$3)=0),"",$B358/SUMIFS(데이터!$C$2:$C$20000,데이터!$A$2:$A$20000,$A358,데이터!$E$2:$E$20000,설정!$B$3)-1),"")</f>
        <v/>
      </c>
      <c r="E358" s="5">
        <f>IFERROR(IF(OR($B358="",COUNTIFS(데이터!$A$2:$A$20000,$A358,데이터!$E$2:$E$20000,설정!$B$4)=0),"",$B358/SUMIFS(데이터!$C$2:$C$20000,데이터!$A$2:$A$20000,$A358,데이터!$E$2:$E$20000,설정!$B$4)-1),"")</f>
        <v/>
      </c>
      <c r="F358" s="5">
        <f>IFERROR(IF(OR($B358="",COUNTIFS(데이터!$A$2:$A$20000,$A358,데이터!$E$2:$E$20000,설정!$B$5)=0),"",$B358/SUMIFS(데이터!$C$2:$C$20000,데이터!$A$2:$A$20000,$A358,데이터!$E$2:$E$20000,설정!$B$5)-1),"")</f>
        <v/>
      </c>
      <c r="G358" s="5">
        <f>IFERROR(IF(OR($B358="",COUNTIFS(데이터!$A$2:$A$20000,$A358,데이터!$E$2:$E$20000,설정!$B$6)=0),"",$B358/SUMIFS(데이터!$C$2:$C$20000,데이터!$A$2:$A$20000,$A358,데이터!$E$2:$E$20000,설정!$B$6)-1),"")</f>
        <v/>
      </c>
      <c r="H358" s="5">
        <f>IFERROR(IF(OR($B358="",COUNTIFS(데이터!$A$2:$A$20000,$A358,데이터!$E$2:$E$20000,설정!$B$7)=0),"",$B358/SUMIFS(데이터!$C$2:$C$20000,데이터!$A$2:$A$20000,$A358,데이터!$E$2:$E$20000,설정!$B$7)-1),"")</f>
        <v/>
      </c>
      <c r="J358">
        <f>IF(C358="","",C358+ROW()*0.000000001)</f>
        <v/>
      </c>
      <c r="K358">
        <f>IF(D358="","",D358+ROW()*0.000000001)</f>
        <v/>
      </c>
      <c r="L358">
        <f>IF(E358="","",E358+ROW()*0.000000001)</f>
        <v/>
      </c>
      <c r="M358">
        <f>IF(F358="","",F358+ROW()*0.000000001)</f>
        <v/>
      </c>
      <c r="N358">
        <f>IF(G358="","",G358+ROW()*0.000000001)</f>
        <v/>
      </c>
      <c r="O358">
        <f>IF(H358="","",H358+ROW()*0.000000001)</f>
        <v/>
      </c>
    </row>
    <row r="359">
      <c r="B359" s="4">
        <f>IF($A359="","",IF(COUNTIFS(데이터!$A$2:$A$20000,$A359,데이터!$E$2:$E$20000,1)=0,"",SUMIFS(데이터!$C$2:$C$20000,데이터!$A$2:$A$20000,$A359,데이터!$E$2:$E$20000,1)))</f>
        <v/>
      </c>
      <c r="C359" s="5">
        <f>IFERROR(IF(OR($B359="",COUNTIFS(데이터!$A$2:$A$20000,$A359,데이터!$E$2:$E$20000,설정!$B$2)=0),"",$B359/SUMIFS(데이터!$C$2:$C$20000,데이터!$A$2:$A$20000,$A359,데이터!$E$2:$E$20000,설정!$B$2)-1),"")</f>
        <v/>
      </c>
      <c r="D359" s="5">
        <f>IFERROR(IF(OR($B359="",COUNTIFS(데이터!$A$2:$A$20000,$A359,데이터!$E$2:$E$20000,설정!$B$3)=0),"",$B359/SUMIFS(데이터!$C$2:$C$20000,데이터!$A$2:$A$20000,$A359,데이터!$E$2:$E$20000,설정!$B$3)-1),"")</f>
        <v/>
      </c>
      <c r="E359" s="5">
        <f>IFERROR(IF(OR($B359="",COUNTIFS(데이터!$A$2:$A$20000,$A359,데이터!$E$2:$E$20000,설정!$B$4)=0),"",$B359/SUMIFS(데이터!$C$2:$C$20000,데이터!$A$2:$A$20000,$A359,데이터!$E$2:$E$20000,설정!$B$4)-1),"")</f>
        <v/>
      </c>
      <c r="F359" s="5">
        <f>IFERROR(IF(OR($B359="",COUNTIFS(데이터!$A$2:$A$20000,$A359,데이터!$E$2:$E$20000,설정!$B$5)=0),"",$B359/SUMIFS(데이터!$C$2:$C$20000,데이터!$A$2:$A$20000,$A359,데이터!$E$2:$E$20000,설정!$B$5)-1),"")</f>
        <v/>
      </c>
      <c r="G359" s="5">
        <f>IFERROR(IF(OR($B359="",COUNTIFS(데이터!$A$2:$A$20000,$A359,데이터!$E$2:$E$20000,설정!$B$6)=0),"",$B359/SUMIFS(데이터!$C$2:$C$20000,데이터!$A$2:$A$20000,$A359,데이터!$E$2:$E$20000,설정!$B$6)-1),"")</f>
        <v/>
      </c>
      <c r="H359" s="5">
        <f>IFERROR(IF(OR($B359="",COUNTIFS(데이터!$A$2:$A$20000,$A359,데이터!$E$2:$E$20000,설정!$B$7)=0),"",$B359/SUMIFS(데이터!$C$2:$C$20000,데이터!$A$2:$A$20000,$A359,데이터!$E$2:$E$20000,설정!$B$7)-1),"")</f>
        <v/>
      </c>
      <c r="J359">
        <f>IF(C359="","",C359+ROW()*0.000000001)</f>
        <v/>
      </c>
      <c r="K359">
        <f>IF(D359="","",D359+ROW()*0.000000001)</f>
        <v/>
      </c>
      <c r="L359">
        <f>IF(E359="","",E359+ROW()*0.000000001)</f>
        <v/>
      </c>
      <c r="M359">
        <f>IF(F359="","",F359+ROW()*0.000000001)</f>
        <v/>
      </c>
      <c r="N359">
        <f>IF(G359="","",G359+ROW()*0.000000001)</f>
        <v/>
      </c>
      <c r="O359">
        <f>IF(H359="","",H359+ROW()*0.000000001)</f>
        <v/>
      </c>
    </row>
    <row r="360">
      <c r="B360" s="4">
        <f>IF($A360="","",IF(COUNTIFS(데이터!$A$2:$A$20000,$A360,데이터!$E$2:$E$20000,1)=0,"",SUMIFS(데이터!$C$2:$C$20000,데이터!$A$2:$A$20000,$A360,데이터!$E$2:$E$20000,1)))</f>
        <v/>
      </c>
      <c r="C360" s="5">
        <f>IFERROR(IF(OR($B360="",COUNTIFS(데이터!$A$2:$A$20000,$A360,데이터!$E$2:$E$20000,설정!$B$2)=0),"",$B360/SUMIFS(데이터!$C$2:$C$20000,데이터!$A$2:$A$20000,$A360,데이터!$E$2:$E$20000,설정!$B$2)-1),"")</f>
        <v/>
      </c>
      <c r="D360" s="5">
        <f>IFERROR(IF(OR($B360="",COUNTIFS(데이터!$A$2:$A$20000,$A360,데이터!$E$2:$E$20000,설정!$B$3)=0),"",$B360/SUMIFS(데이터!$C$2:$C$20000,데이터!$A$2:$A$20000,$A360,데이터!$E$2:$E$20000,설정!$B$3)-1),"")</f>
        <v/>
      </c>
      <c r="E360" s="5">
        <f>IFERROR(IF(OR($B360="",COUNTIFS(데이터!$A$2:$A$20000,$A360,데이터!$E$2:$E$20000,설정!$B$4)=0),"",$B360/SUMIFS(데이터!$C$2:$C$20000,데이터!$A$2:$A$20000,$A360,데이터!$E$2:$E$20000,설정!$B$4)-1),"")</f>
        <v/>
      </c>
      <c r="F360" s="5">
        <f>IFERROR(IF(OR($B360="",COUNTIFS(데이터!$A$2:$A$20000,$A360,데이터!$E$2:$E$20000,설정!$B$5)=0),"",$B360/SUMIFS(데이터!$C$2:$C$20000,데이터!$A$2:$A$20000,$A360,데이터!$E$2:$E$20000,설정!$B$5)-1),"")</f>
        <v/>
      </c>
      <c r="G360" s="5">
        <f>IFERROR(IF(OR($B360="",COUNTIFS(데이터!$A$2:$A$20000,$A360,데이터!$E$2:$E$20000,설정!$B$6)=0),"",$B360/SUMIFS(데이터!$C$2:$C$20000,데이터!$A$2:$A$20000,$A360,데이터!$E$2:$E$20000,설정!$B$6)-1),"")</f>
        <v/>
      </c>
      <c r="H360" s="5">
        <f>IFERROR(IF(OR($B360="",COUNTIFS(데이터!$A$2:$A$20000,$A360,데이터!$E$2:$E$20000,설정!$B$7)=0),"",$B360/SUMIFS(데이터!$C$2:$C$20000,데이터!$A$2:$A$20000,$A360,데이터!$E$2:$E$20000,설정!$B$7)-1),"")</f>
        <v/>
      </c>
      <c r="J360">
        <f>IF(C360="","",C360+ROW()*0.000000001)</f>
        <v/>
      </c>
      <c r="K360">
        <f>IF(D360="","",D360+ROW()*0.000000001)</f>
        <v/>
      </c>
      <c r="L360">
        <f>IF(E360="","",E360+ROW()*0.000000001)</f>
        <v/>
      </c>
      <c r="M360">
        <f>IF(F360="","",F360+ROW()*0.000000001)</f>
        <v/>
      </c>
      <c r="N360">
        <f>IF(G360="","",G360+ROW()*0.000000001)</f>
        <v/>
      </c>
      <c r="O360">
        <f>IF(H360="","",H360+ROW()*0.000000001)</f>
        <v/>
      </c>
    </row>
    <row r="361">
      <c r="B361" s="4">
        <f>IF($A361="","",IF(COUNTIFS(데이터!$A$2:$A$20000,$A361,데이터!$E$2:$E$20000,1)=0,"",SUMIFS(데이터!$C$2:$C$20000,데이터!$A$2:$A$20000,$A361,데이터!$E$2:$E$20000,1)))</f>
        <v/>
      </c>
      <c r="C361" s="5">
        <f>IFERROR(IF(OR($B361="",COUNTIFS(데이터!$A$2:$A$20000,$A361,데이터!$E$2:$E$20000,설정!$B$2)=0),"",$B361/SUMIFS(데이터!$C$2:$C$20000,데이터!$A$2:$A$20000,$A361,데이터!$E$2:$E$20000,설정!$B$2)-1),"")</f>
        <v/>
      </c>
      <c r="D361" s="5">
        <f>IFERROR(IF(OR($B361="",COUNTIFS(데이터!$A$2:$A$20000,$A361,데이터!$E$2:$E$20000,설정!$B$3)=0),"",$B361/SUMIFS(데이터!$C$2:$C$20000,데이터!$A$2:$A$20000,$A361,데이터!$E$2:$E$20000,설정!$B$3)-1),"")</f>
        <v/>
      </c>
      <c r="E361" s="5">
        <f>IFERROR(IF(OR($B361="",COUNTIFS(데이터!$A$2:$A$20000,$A361,데이터!$E$2:$E$20000,설정!$B$4)=0),"",$B361/SUMIFS(데이터!$C$2:$C$20000,데이터!$A$2:$A$20000,$A361,데이터!$E$2:$E$20000,설정!$B$4)-1),"")</f>
        <v/>
      </c>
      <c r="F361" s="5">
        <f>IFERROR(IF(OR($B361="",COUNTIFS(데이터!$A$2:$A$20000,$A361,데이터!$E$2:$E$20000,설정!$B$5)=0),"",$B361/SUMIFS(데이터!$C$2:$C$20000,데이터!$A$2:$A$20000,$A361,데이터!$E$2:$E$20000,설정!$B$5)-1),"")</f>
        <v/>
      </c>
      <c r="G361" s="5">
        <f>IFERROR(IF(OR($B361="",COUNTIFS(데이터!$A$2:$A$20000,$A361,데이터!$E$2:$E$20000,설정!$B$6)=0),"",$B361/SUMIFS(데이터!$C$2:$C$20000,데이터!$A$2:$A$20000,$A361,데이터!$E$2:$E$20000,설정!$B$6)-1),"")</f>
        <v/>
      </c>
      <c r="H361" s="5">
        <f>IFERROR(IF(OR($B361="",COUNTIFS(데이터!$A$2:$A$20000,$A361,데이터!$E$2:$E$20000,설정!$B$7)=0),"",$B361/SUMIFS(데이터!$C$2:$C$20000,데이터!$A$2:$A$20000,$A361,데이터!$E$2:$E$20000,설정!$B$7)-1),"")</f>
        <v/>
      </c>
      <c r="J361">
        <f>IF(C361="","",C361+ROW()*0.000000001)</f>
        <v/>
      </c>
      <c r="K361">
        <f>IF(D361="","",D361+ROW()*0.000000001)</f>
        <v/>
      </c>
      <c r="L361">
        <f>IF(E361="","",E361+ROW()*0.000000001)</f>
        <v/>
      </c>
      <c r="M361">
        <f>IF(F361="","",F361+ROW()*0.000000001)</f>
        <v/>
      </c>
      <c r="N361">
        <f>IF(G361="","",G361+ROW()*0.000000001)</f>
        <v/>
      </c>
      <c r="O361">
        <f>IF(H361="","",H361+ROW()*0.000000001)</f>
        <v/>
      </c>
    </row>
    <row r="362">
      <c r="B362" s="4">
        <f>IF($A362="","",IF(COUNTIFS(데이터!$A$2:$A$20000,$A362,데이터!$E$2:$E$20000,1)=0,"",SUMIFS(데이터!$C$2:$C$20000,데이터!$A$2:$A$20000,$A362,데이터!$E$2:$E$20000,1)))</f>
        <v/>
      </c>
      <c r="C362" s="5">
        <f>IFERROR(IF(OR($B362="",COUNTIFS(데이터!$A$2:$A$20000,$A362,데이터!$E$2:$E$20000,설정!$B$2)=0),"",$B362/SUMIFS(데이터!$C$2:$C$20000,데이터!$A$2:$A$20000,$A362,데이터!$E$2:$E$20000,설정!$B$2)-1),"")</f>
        <v/>
      </c>
      <c r="D362" s="5">
        <f>IFERROR(IF(OR($B362="",COUNTIFS(데이터!$A$2:$A$20000,$A362,데이터!$E$2:$E$20000,설정!$B$3)=0),"",$B362/SUMIFS(데이터!$C$2:$C$20000,데이터!$A$2:$A$20000,$A362,데이터!$E$2:$E$20000,설정!$B$3)-1),"")</f>
        <v/>
      </c>
      <c r="E362" s="5">
        <f>IFERROR(IF(OR($B362="",COUNTIFS(데이터!$A$2:$A$20000,$A362,데이터!$E$2:$E$20000,설정!$B$4)=0),"",$B362/SUMIFS(데이터!$C$2:$C$20000,데이터!$A$2:$A$20000,$A362,데이터!$E$2:$E$20000,설정!$B$4)-1),"")</f>
        <v/>
      </c>
      <c r="F362" s="5">
        <f>IFERROR(IF(OR($B362="",COUNTIFS(데이터!$A$2:$A$20000,$A362,데이터!$E$2:$E$20000,설정!$B$5)=0),"",$B362/SUMIFS(데이터!$C$2:$C$20000,데이터!$A$2:$A$20000,$A362,데이터!$E$2:$E$20000,설정!$B$5)-1),"")</f>
        <v/>
      </c>
      <c r="G362" s="5">
        <f>IFERROR(IF(OR($B362="",COUNTIFS(데이터!$A$2:$A$20000,$A362,데이터!$E$2:$E$20000,설정!$B$6)=0),"",$B362/SUMIFS(데이터!$C$2:$C$20000,데이터!$A$2:$A$20000,$A362,데이터!$E$2:$E$20000,설정!$B$6)-1),"")</f>
        <v/>
      </c>
      <c r="H362" s="5">
        <f>IFERROR(IF(OR($B362="",COUNTIFS(데이터!$A$2:$A$20000,$A362,데이터!$E$2:$E$20000,설정!$B$7)=0),"",$B362/SUMIFS(데이터!$C$2:$C$20000,데이터!$A$2:$A$20000,$A362,데이터!$E$2:$E$20000,설정!$B$7)-1),"")</f>
        <v/>
      </c>
      <c r="J362">
        <f>IF(C362="","",C362+ROW()*0.000000001)</f>
        <v/>
      </c>
      <c r="K362">
        <f>IF(D362="","",D362+ROW()*0.000000001)</f>
        <v/>
      </c>
      <c r="L362">
        <f>IF(E362="","",E362+ROW()*0.000000001)</f>
        <v/>
      </c>
      <c r="M362">
        <f>IF(F362="","",F362+ROW()*0.000000001)</f>
        <v/>
      </c>
      <c r="N362">
        <f>IF(G362="","",G362+ROW()*0.000000001)</f>
        <v/>
      </c>
      <c r="O362">
        <f>IF(H362="","",H362+ROW()*0.000000001)</f>
        <v/>
      </c>
    </row>
    <row r="363">
      <c r="B363" s="4">
        <f>IF($A363="","",IF(COUNTIFS(데이터!$A$2:$A$20000,$A363,데이터!$E$2:$E$20000,1)=0,"",SUMIFS(데이터!$C$2:$C$20000,데이터!$A$2:$A$20000,$A363,데이터!$E$2:$E$20000,1)))</f>
        <v/>
      </c>
      <c r="C363" s="5">
        <f>IFERROR(IF(OR($B363="",COUNTIFS(데이터!$A$2:$A$20000,$A363,데이터!$E$2:$E$20000,설정!$B$2)=0),"",$B363/SUMIFS(데이터!$C$2:$C$20000,데이터!$A$2:$A$20000,$A363,데이터!$E$2:$E$20000,설정!$B$2)-1),"")</f>
        <v/>
      </c>
      <c r="D363" s="5">
        <f>IFERROR(IF(OR($B363="",COUNTIFS(데이터!$A$2:$A$20000,$A363,데이터!$E$2:$E$20000,설정!$B$3)=0),"",$B363/SUMIFS(데이터!$C$2:$C$20000,데이터!$A$2:$A$20000,$A363,데이터!$E$2:$E$20000,설정!$B$3)-1),"")</f>
        <v/>
      </c>
      <c r="E363" s="5">
        <f>IFERROR(IF(OR($B363="",COUNTIFS(데이터!$A$2:$A$20000,$A363,데이터!$E$2:$E$20000,설정!$B$4)=0),"",$B363/SUMIFS(데이터!$C$2:$C$20000,데이터!$A$2:$A$20000,$A363,데이터!$E$2:$E$20000,설정!$B$4)-1),"")</f>
        <v/>
      </c>
      <c r="F363" s="5">
        <f>IFERROR(IF(OR($B363="",COUNTIFS(데이터!$A$2:$A$20000,$A363,데이터!$E$2:$E$20000,설정!$B$5)=0),"",$B363/SUMIFS(데이터!$C$2:$C$20000,데이터!$A$2:$A$20000,$A363,데이터!$E$2:$E$20000,설정!$B$5)-1),"")</f>
        <v/>
      </c>
      <c r="G363" s="5">
        <f>IFERROR(IF(OR($B363="",COUNTIFS(데이터!$A$2:$A$20000,$A363,데이터!$E$2:$E$20000,설정!$B$6)=0),"",$B363/SUMIFS(데이터!$C$2:$C$20000,데이터!$A$2:$A$20000,$A363,데이터!$E$2:$E$20000,설정!$B$6)-1),"")</f>
        <v/>
      </c>
      <c r="H363" s="5">
        <f>IFERROR(IF(OR($B363="",COUNTIFS(데이터!$A$2:$A$20000,$A363,데이터!$E$2:$E$20000,설정!$B$7)=0),"",$B363/SUMIFS(데이터!$C$2:$C$20000,데이터!$A$2:$A$20000,$A363,데이터!$E$2:$E$20000,설정!$B$7)-1),"")</f>
        <v/>
      </c>
      <c r="J363">
        <f>IF(C363="","",C363+ROW()*0.000000001)</f>
        <v/>
      </c>
      <c r="K363">
        <f>IF(D363="","",D363+ROW()*0.000000001)</f>
        <v/>
      </c>
      <c r="L363">
        <f>IF(E363="","",E363+ROW()*0.000000001)</f>
        <v/>
      </c>
      <c r="M363">
        <f>IF(F363="","",F363+ROW()*0.000000001)</f>
        <v/>
      </c>
      <c r="N363">
        <f>IF(G363="","",G363+ROW()*0.000000001)</f>
        <v/>
      </c>
      <c r="O363">
        <f>IF(H363="","",H363+ROW()*0.000000001)</f>
        <v/>
      </c>
    </row>
    <row r="364">
      <c r="B364" s="4">
        <f>IF($A364="","",IF(COUNTIFS(데이터!$A$2:$A$20000,$A364,데이터!$E$2:$E$20000,1)=0,"",SUMIFS(데이터!$C$2:$C$20000,데이터!$A$2:$A$20000,$A364,데이터!$E$2:$E$20000,1)))</f>
        <v/>
      </c>
      <c r="C364" s="5">
        <f>IFERROR(IF(OR($B364="",COUNTIFS(데이터!$A$2:$A$20000,$A364,데이터!$E$2:$E$20000,설정!$B$2)=0),"",$B364/SUMIFS(데이터!$C$2:$C$20000,데이터!$A$2:$A$20000,$A364,데이터!$E$2:$E$20000,설정!$B$2)-1),"")</f>
        <v/>
      </c>
      <c r="D364" s="5">
        <f>IFERROR(IF(OR($B364="",COUNTIFS(데이터!$A$2:$A$20000,$A364,데이터!$E$2:$E$20000,설정!$B$3)=0),"",$B364/SUMIFS(데이터!$C$2:$C$20000,데이터!$A$2:$A$20000,$A364,데이터!$E$2:$E$20000,설정!$B$3)-1),"")</f>
        <v/>
      </c>
      <c r="E364" s="5">
        <f>IFERROR(IF(OR($B364="",COUNTIFS(데이터!$A$2:$A$20000,$A364,데이터!$E$2:$E$20000,설정!$B$4)=0),"",$B364/SUMIFS(데이터!$C$2:$C$20000,데이터!$A$2:$A$20000,$A364,데이터!$E$2:$E$20000,설정!$B$4)-1),"")</f>
        <v/>
      </c>
      <c r="F364" s="5">
        <f>IFERROR(IF(OR($B364="",COUNTIFS(데이터!$A$2:$A$20000,$A364,데이터!$E$2:$E$20000,설정!$B$5)=0),"",$B364/SUMIFS(데이터!$C$2:$C$20000,데이터!$A$2:$A$20000,$A364,데이터!$E$2:$E$20000,설정!$B$5)-1),"")</f>
        <v/>
      </c>
      <c r="G364" s="5">
        <f>IFERROR(IF(OR($B364="",COUNTIFS(데이터!$A$2:$A$20000,$A364,데이터!$E$2:$E$20000,설정!$B$6)=0),"",$B364/SUMIFS(데이터!$C$2:$C$20000,데이터!$A$2:$A$20000,$A364,데이터!$E$2:$E$20000,설정!$B$6)-1),"")</f>
        <v/>
      </c>
      <c r="H364" s="5">
        <f>IFERROR(IF(OR($B364="",COUNTIFS(데이터!$A$2:$A$20000,$A364,데이터!$E$2:$E$20000,설정!$B$7)=0),"",$B364/SUMIFS(데이터!$C$2:$C$20000,데이터!$A$2:$A$20000,$A364,데이터!$E$2:$E$20000,설정!$B$7)-1),"")</f>
        <v/>
      </c>
      <c r="J364">
        <f>IF(C364="","",C364+ROW()*0.000000001)</f>
        <v/>
      </c>
      <c r="K364">
        <f>IF(D364="","",D364+ROW()*0.000000001)</f>
        <v/>
      </c>
      <c r="L364">
        <f>IF(E364="","",E364+ROW()*0.000000001)</f>
        <v/>
      </c>
      <c r="M364">
        <f>IF(F364="","",F364+ROW()*0.000000001)</f>
        <v/>
      </c>
      <c r="N364">
        <f>IF(G364="","",G364+ROW()*0.000000001)</f>
        <v/>
      </c>
      <c r="O364">
        <f>IF(H364="","",H364+ROW()*0.000000001)</f>
        <v/>
      </c>
    </row>
    <row r="365">
      <c r="B365" s="4">
        <f>IF($A365="","",IF(COUNTIFS(데이터!$A$2:$A$20000,$A365,데이터!$E$2:$E$20000,1)=0,"",SUMIFS(데이터!$C$2:$C$20000,데이터!$A$2:$A$20000,$A365,데이터!$E$2:$E$20000,1)))</f>
        <v/>
      </c>
      <c r="C365" s="5">
        <f>IFERROR(IF(OR($B365="",COUNTIFS(데이터!$A$2:$A$20000,$A365,데이터!$E$2:$E$20000,설정!$B$2)=0),"",$B365/SUMIFS(데이터!$C$2:$C$20000,데이터!$A$2:$A$20000,$A365,데이터!$E$2:$E$20000,설정!$B$2)-1),"")</f>
        <v/>
      </c>
      <c r="D365" s="5">
        <f>IFERROR(IF(OR($B365="",COUNTIFS(데이터!$A$2:$A$20000,$A365,데이터!$E$2:$E$20000,설정!$B$3)=0),"",$B365/SUMIFS(데이터!$C$2:$C$20000,데이터!$A$2:$A$20000,$A365,데이터!$E$2:$E$20000,설정!$B$3)-1),"")</f>
        <v/>
      </c>
      <c r="E365" s="5">
        <f>IFERROR(IF(OR($B365="",COUNTIFS(데이터!$A$2:$A$20000,$A365,데이터!$E$2:$E$20000,설정!$B$4)=0),"",$B365/SUMIFS(데이터!$C$2:$C$20000,데이터!$A$2:$A$20000,$A365,데이터!$E$2:$E$20000,설정!$B$4)-1),"")</f>
        <v/>
      </c>
      <c r="F365" s="5">
        <f>IFERROR(IF(OR($B365="",COUNTIFS(데이터!$A$2:$A$20000,$A365,데이터!$E$2:$E$20000,설정!$B$5)=0),"",$B365/SUMIFS(데이터!$C$2:$C$20000,데이터!$A$2:$A$20000,$A365,데이터!$E$2:$E$20000,설정!$B$5)-1),"")</f>
        <v/>
      </c>
      <c r="G365" s="5">
        <f>IFERROR(IF(OR($B365="",COUNTIFS(데이터!$A$2:$A$20000,$A365,데이터!$E$2:$E$20000,설정!$B$6)=0),"",$B365/SUMIFS(데이터!$C$2:$C$20000,데이터!$A$2:$A$20000,$A365,데이터!$E$2:$E$20000,설정!$B$6)-1),"")</f>
        <v/>
      </c>
      <c r="H365" s="5">
        <f>IFERROR(IF(OR($B365="",COUNTIFS(데이터!$A$2:$A$20000,$A365,데이터!$E$2:$E$20000,설정!$B$7)=0),"",$B365/SUMIFS(데이터!$C$2:$C$20000,데이터!$A$2:$A$20000,$A365,데이터!$E$2:$E$20000,설정!$B$7)-1),"")</f>
        <v/>
      </c>
      <c r="J365">
        <f>IF(C365="","",C365+ROW()*0.000000001)</f>
        <v/>
      </c>
      <c r="K365">
        <f>IF(D365="","",D365+ROW()*0.000000001)</f>
        <v/>
      </c>
      <c r="L365">
        <f>IF(E365="","",E365+ROW()*0.000000001)</f>
        <v/>
      </c>
      <c r="M365">
        <f>IF(F365="","",F365+ROW()*0.000000001)</f>
        <v/>
      </c>
      <c r="N365">
        <f>IF(G365="","",G365+ROW()*0.000000001)</f>
        <v/>
      </c>
      <c r="O365">
        <f>IF(H365="","",H365+ROW()*0.000000001)</f>
        <v/>
      </c>
    </row>
    <row r="366">
      <c r="B366" s="4">
        <f>IF($A366="","",IF(COUNTIFS(데이터!$A$2:$A$20000,$A366,데이터!$E$2:$E$20000,1)=0,"",SUMIFS(데이터!$C$2:$C$20000,데이터!$A$2:$A$20000,$A366,데이터!$E$2:$E$20000,1)))</f>
        <v/>
      </c>
      <c r="C366" s="5">
        <f>IFERROR(IF(OR($B366="",COUNTIFS(데이터!$A$2:$A$20000,$A366,데이터!$E$2:$E$20000,설정!$B$2)=0),"",$B366/SUMIFS(데이터!$C$2:$C$20000,데이터!$A$2:$A$20000,$A366,데이터!$E$2:$E$20000,설정!$B$2)-1),"")</f>
        <v/>
      </c>
      <c r="D366" s="5">
        <f>IFERROR(IF(OR($B366="",COUNTIFS(데이터!$A$2:$A$20000,$A366,데이터!$E$2:$E$20000,설정!$B$3)=0),"",$B366/SUMIFS(데이터!$C$2:$C$20000,데이터!$A$2:$A$20000,$A366,데이터!$E$2:$E$20000,설정!$B$3)-1),"")</f>
        <v/>
      </c>
      <c r="E366" s="5">
        <f>IFERROR(IF(OR($B366="",COUNTIFS(데이터!$A$2:$A$20000,$A366,데이터!$E$2:$E$20000,설정!$B$4)=0),"",$B366/SUMIFS(데이터!$C$2:$C$20000,데이터!$A$2:$A$20000,$A366,데이터!$E$2:$E$20000,설정!$B$4)-1),"")</f>
        <v/>
      </c>
      <c r="F366" s="5">
        <f>IFERROR(IF(OR($B366="",COUNTIFS(데이터!$A$2:$A$20000,$A366,데이터!$E$2:$E$20000,설정!$B$5)=0),"",$B366/SUMIFS(데이터!$C$2:$C$20000,데이터!$A$2:$A$20000,$A366,데이터!$E$2:$E$20000,설정!$B$5)-1),"")</f>
        <v/>
      </c>
      <c r="G366" s="5">
        <f>IFERROR(IF(OR($B366="",COUNTIFS(데이터!$A$2:$A$20000,$A366,데이터!$E$2:$E$20000,설정!$B$6)=0),"",$B366/SUMIFS(데이터!$C$2:$C$20000,데이터!$A$2:$A$20000,$A366,데이터!$E$2:$E$20000,설정!$B$6)-1),"")</f>
        <v/>
      </c>
      <c r="H366" s="5">
        <f>IFERROR(IF(OR($B366="",COUNTIFS(데이터!$A$2:$A$20000,$A366,데이터!$E$2:$E$20000,설정!$B$7)=0),"",$B366/SUMIFS(데이터!$C$2:$C$20000,데이터!$A$2:$A$20000,$A366,데이터!$E$2:$E$20000,설정!$B$7)-1),"")</f>
        <v/>
      </c>
      <c r="J366">
        <f>IF(C366="","",C366+ROW()*0.000000001)</f>
        <v/>
      </c>
      <c r="K366">
        <f>IF(D366="","",D366+ROW()*0.000000001)</f>
        <v/>
      </c>
      <c r="L366">
        <f>IF(E366="","",E366+ROW()*0.000000001)</f>
        <v/>
      </c>
      <c r="M366">
        <f>IF(F366="","",F366+ROW()*0.000000001)</f>
        <v/>
      </c>
      <c r="N366">
        <f>IF(G366="","",G366+ROW()*0.000000001)</f>
        <v/>
      </c>
      <c r="O366">
        <f>IF(H366="","",H366+ROW()*0.000000001)</f>
        <v/>
      </c>
    </row>
    <row r="367">
      <c r="B367" s="4">
        <f>IF($A367="","",IF(COUNTIFS(데이터!$A$2:$A$20000,$A367,데이터!$E$2:$E$20000,1)=0,"",SUMIFS(데이터!$C$2:$C$20000,데이터!$A$2:$A$20000,$A367,데이터!$E$2:$E$20000,1)))</f>
        <v/>
      </c>
      <c r="C367" s="5">
        <f>IFERROR(IF(OR($B367="",COUNTIFS(데이터!$A$2:$A$20000,$A367,데이터!$E$2:$E$20000,설정!$B$2)=0),"",$B367/SUMIFS(데이터!$C$2:$C$20000,데이터!$A$2:$A$20000,$A367,데이터!$E$2:$E$20000,설정!$B$2)-1),"")</f>
        <v/>
      </c>
      <c r="D367" s="5">
        <f>IFERROR(IF(OR($B367="",COUNTIFS(데이터!$A$2:$A$20000,$A367,데이터!$E$2:$E$20000,설정!$B$3)=0),"",$B367/SUMIFS(데이터!$C$2:$C$20000,데이터!$A$2:$A$20000,$A367,데이터!$E$2:$E$20000,설정!$B$3)-1),"")</f>
        <v/>
      </c>
      <c r="E367" s="5">
        <f>IFERROR(IF(OR($B367="",COUNTIFS(데이터!$A$2:$A$20000,$A367,데이터!$E$2:$E$20000,설정!$B$4)=0),"",$B367/SUMIFS(데이터!$C$2:$C$20000,데이터!$A$2:$A$20000,$A367,데이터!$E$2:$E$20000,설정!$B$4)-1),"")</f>
        <v/>
      </c>
      <c r="F367" s="5">
        <f>IFERROR(IF(OR($B367="",COUNTIFS(데이터!$A$2:$A$20000,$A367,데이터!$E$2:$E$20000,설정!$B$5)=0),"",$B367/SUMIFS(데이터!$C$2:$C$20000,데이터!$A$2:$A$20000,$A367,데이터!$E$2:$E$20000,설정!$B$5)-1),"")</f>
        <v/>
      </c>
      <c r="G367" s="5">
        <f>IFERROR(IF(OR($B367="",COUNTIFS(데이터!$A$2:$A$20000,$A367,데이터!$E$2:$E$20000,설정!$B$6)=0),"",$B367/SUMIFS(데이터!$C$2:$C$20000,데이터!$A$2:$A$20000,$A367,데이터!$E$2:$E$20000,설정!$B$6)-1),"")</f>
        <v/>
      </c>
      <c r="H367" s="5">
        <f>IFERROR(IF(OR($B367="",COUNTIFS(데이터!$A$2:$A$20000,$A367,데이터!$E$2:$E$20000,설정!$B$7)=0),"",$B367/SUMIFS(데이터!$C$2:$C$20000,데이터!$A$2:$A$20000,$A367,데이터!$E$2:$E$20000,설정!$B$7)-1),"")</f>
        <v/>
      </c>
      <c r="J367">
        <f>IF(C367="","",C367+ROW()*0.000000001)</f>
        <v/>
      </c>
      <c r="K367">
        <f>IF(D367="","",D367+ROW()*0.000000001)</f>
        <v/>
      </c>
      <c r="L367">
        <f>IF(E367="","",E367+ROW()*0.000000001)</f>
        <v/>
      </c>
      <c r="M367">
        <f>IF(F367="","",F367+ROW()*0.000000001)</f>
        <v/>
      </c>
      <c r="N367">
        <f>IF(G367="","",G367+ROW()*0.000000001)</f>
        <v/>
      </c>
      <c r="O367">
        <f>IF(H367="","",H367+ROW()*0.000000001)</f>
        <v/>
      </c>
    </row>
    <row r="368">
      <c r="B368" s="4">
        <f>IF($A368="","",IF(COUNTIFS(데이터!$A$2:$A$20000,$A368,데이터!$E$2:$E$20000,1)=0,"",SUMIFS(데이터!$C$2:$C$20000,데이터!$A$2:$A$20000,$A368,데이터!$E$2:$E$20000,1)))</f>
        <v/>
      </c>
      <c r="C368" s="5">
        <f>IFERROR(IF(OR($B368="",COUNTIFS(데이터!$A$2:$A$20000,$A368,데이터!$E$2:$E$20000,설정!$B$2)=0),"",$B368/SUMIFS(데이터!$C$2:$C$20000,데이터!$A$2:$A$20000,$A368,데이터!$E$2:$E$20000,설정!$B$2)-1),"")</f>
        <v/>
      </c>
      <c r="D368" s="5">
        <f>IFERROR(IF(OR($B368="",COUNTIFS(데이터!$A$2:$A$20000,$A368,데이터!$E$2:$E$20000,설정!$B$3)=0),"",$B368/SUMIFS(데이터!$C$2:$C$20000,데이터!$A$2:$A$20000,$A368,데이터!$E$2:$E$20000,설정!$B$3)-1),"")</f>
        <v/>
      </c>
      <c r="E368" s="5">
        <f>IFERROR(IF(OR($B368="",COUNTIFS(데이터!$A$2:$A$20000,$A368,데이터!$E$2:$E$20000,설정!$B$4)=0),"",$B368/SUMIFS(데이터!$C$2:$C$20000,데이터!$A$2:$A$20000,$A368,데이터!$E$2:$E$20000,설정!$B$4)-1),"")</f>
        <v/>
      </c>
      <c r="F368" s="5">
        <f>IFERROR(IF(OR($B368="",COUNTIFS(데이터!$A$2:$A$20000,$A368,데이터!$E$2:$E$20000,설정!$B$5)=0),"",$B368/SUMIFS(데이터!$C$2:$C$20000,데이터!$A$2:$A$20000,$A368,데이터!$E$2:$E$20000,설정!$B$5)-1),"")</f>
        <v/>
      </c>
      <c r="G368" s="5">
        <f>IFERROR(IF(OR($B368="",COUNTIFS(데이터!$A$2:$A$20000,$A368,데이터!$E$2:$E$20000,설정!$B$6)=0),"",$B368/SUMIFS(데이터!$C$2:$C$20000,데이터!$A$2:$A$20000,$A368,데이터!$E$2:$E$20000,설정!$B$6)-1),"")</f>
        <v/>
      </c>
      <c r="H368" s="5">
        <f>IFERROR(IF(OR($B368="",COUNTIFS(데이터!$A$2:$A$20000,$A368,데이터!$E$2:$E$20000,설정!$B$7)=0),"",$B368/SUMIFS(데이터!$C$2:$C$20000,데이터!$A$2:$A$20000,$A368,데이터!$E$2:$E$20000,설정!$B$7)-1),"")</f>
        <v/>
      </c>
      <c r="J368">
        <f>IF(C368="","",C368+ROW()*0.000000001)</f>
        <v/>
      </c>
      <c r="K368">
        <f>IF(D368="","",D368+ROW()*0.000000001)</f>
        <v/>
      </c>
      <c r="L368">
        <f>IF(E368="","",E368+ROW()*0.000000001)</f>
        <v/>
      </c>
      <c r="M368">
        <f>IF(F368="","",F368+ROW()*0.000000001)</f>
        <v/>
      </c>
      <c r="N368">
        <f>IF(G368="","",G368+ROW()*0.000000001)</f>
        <v/>
      </c>
      <c r="O368">
        <f>IF(H368="","",H368+ROW()*0.000000001)</f>
        <v/>
      </c>
    </row>
    <row r="369">
      <c r="B369" s="4">
        <f>IF($A369="","",IF(COUNTIFS(데이터!$A$2:$A$20000,$A369,데이터!$E$2:$E$20000,1)=0,"",SUMIFS(데이터!$C$2:$C$20000,데이터!$A$2:$A$20000,$A369,데이터!$E$2:$E$20000,1)))</f>
        <v/>
      </c>
      <c r="C369" s="5">
        <f>IFERROR(IF(OR($B369="",COUNTIFS(데이터!$A$2:$A$20000,$A369,데이터!$E$2:$E$20000,설정!$B$2)=0),"",$B369/SUMIFS(데이터!$C$2:$C$20000,데이터!$A$2:$A$20000,$A369,데이터!$E$2:$E$20000,설정!$B$2)-1),"")</f>
        <v/>
      </c>
      <c r="D369" s="5">
        <f>IFERROR(IF(OR($B369="",COUNTIFS(데이터!$A$2:$A$20000,$A369,데이터!$E$2:$E$20000,설정!$B$3)=0),"",$B369/SUMIFS(데이터!$C$2:$C$20000,데이터!$A$2:$A$20000,$A369,데이터!$E$2:$E$20000,설정!$B$3)-1),"")</f>
        <v/>
      </c>
      <c r="E369" s="5">
        <f>IFERROR(IF(OR($B369="",COUNTIFS(데이터!$A$2:$A$20000,$A369,데이터!$E$2:$E$20000,설정!$B$4)=0),"",$B369/SUMIFS(데이터!$C$2:$C$20000,데이터!$A$2:$A$20000,$A369,데이터!$E$2:$E$20000,설정!$B$4)-1),"")</f>
        <v/>
      </c>
      <c r="F369" s="5">
        <f>IFERROR(IF(OR($B369="",COUNTIFS(데이터!$A$2:$A$20000,$A369,데이터!$E$2:$E$20000,설정!$B$5)=0),"",$B369/SUMIFS(데이터!$C$2:$C$20000,데이터!$A$2:$A$20000,$A369,데이터!$E$2:$E$20000,설정!$B$5)-1),"")</f>
        <v/>
      </c>
      <c r="G369" s="5">
        <f>IFERROR(IF(OR($B369="",COUNTIFS(데이터!$A$2:$A$20000,$A369,데이터!$E$2:$E$20000,설정!$B$6)=0),"",$B369/SUMIFS(데이터!$C$2:$C$20000,데이터!$A$2:$A$20000,$A369,데이터!$E$2:$E$20000,설정!$B$6)-1),"")</f>
        <v/>
      </c>
      <c r="H369" s="5">
        <f>IFERROR(IF(OR($B369="",COUNTIFS(데이터!$A$2:$A$20000,$A369,데이터!$E$2:$E$20000,설정!$B$7)=0),"",$B369/SUMIFS(데이터!$C$2:$C$20000,데이터!$A$2:$A$20000,$A369,데이터!$E$2:$E$20000,설정!$B$7)-1),"")</f>
        <v/>
      </c>
      <c r="J369">
        <f>IF(C369="","",C369+ROW()*0.000000001)</f>
        <v/>
      </c>
      <c r="K369">
        <f>IF(D369="","",D369+ROW()*0.000000001)</f>
        <v/>
      </c>
      <c r="L369">
        <f>IF(E369="","",E369+ROW()*0.000000001)</f>
        <v/>
      </c>
      <c r="M369">
        <f>IF(F369="","",F369+ROW()*0.000000001)</f>
        <v/>
      </c>
      <c r="N369">
        <f>IF(G369="","",G369+ROW()*0.000000001)</f>
        <v/>
      </c>
      <c r="O369">
        <f>IF(H369="","",H369+ROW()*0.000000001)</f>
        <v/>
      </c>
    </row>
    <row r="370">
      <c r="B370" s="4">
        <f>IF($A370="","",IF(COUNTIFS(데이터!$A$2:$A$20000,$A370,데이터!$E$2:$E$20000,1)=0,"",SUMIFS(데이터!$C$2:$C$20000,데이터!$A$2:$A$20000,$A370,데이터!$E$2:$E$20000,1)))</f>
        <v/>
      </c>
      <c r="C370" s="5">
        <f>IFERROR(IF(OR($B370="",COUNTIFS(데이터!$A$2:$A$20000,$A370,데이터!$E$2:$E$20000,설정!$B$2)=0),"",$B370/SUMIFS(데이터!$C$2:$C$20000,데이터!$A$2:$A$20000,$A370,데이터!$E$2:$E$20000,설정!$B$2)-1),"")</f>
        <v/>
      </c>
      <c r="D370" s="5">
        <f>IFERROR(IF(OR($B370="",COUNTIFS(데이터!$A$2:$A$20000,$A370,데이터!$E$2:$E$20000,설정!$B$3)=0),"",$B370/SUMIFS(데이터!$C$2:$C$20000,데이터!$A$2:$A$20000,$A370,데이터!$E$2:$E$20000,설정!$B$3)-1),"")</f>
        <v/>
      </c>
      <c r="E370" s="5">
        <f>IFERROR(IF(OR($B370="",COUNTIFS(데이터!$A$2:$A$20000,$A370,데이터!$E$2:$E$20000,설정!$B$4)=0),"",$B370/SUMIFS(데이터!$C$2:$C$20000,데이터!$A$2:$A$20000,$A370,데이터!$E$2:$E$20000,설정!$B$4)-1),"")</f>
        <v/>
      </c>
      <c r="F370" s="5">
        <f>IFERROR(IF(OR($B370="",COUNTIFS(데이터!$A$2:$A$20000,$A370,데이터!$E$2:$E$20000,설정!$B$5)=0),"",$B370/SUMIFS(데이터!$C$2:$C$20000,데이터!$A$2:$A$20000,$A370,데이터!$E$2:$E$20000,설정!$B$5)-1),"")</f>
        <v/>
      </c>
      <c r="G370" s="5">
        <f>IFERROR(IF(OR($B370="",COUNTIFS(데이터!$A$2:$A$20000,$A370,데이터!$E$2:$E$20000,설정!$B$6)=0),"",$B370/SUMIFS(데이터!$C$2:$C$20000,데이터!$A$2:$A$20000,$A370,데이터!$E$2:$E$20000,설정!$B$6)-1),"")</f>
        <v/>
      </c>
      <c r="H370" s="5">
        <f>IFERROR(IF(OR($B370="",COUNTIFS(데이터!$A$2:$A$20000,$A370,데이터!$E$2:$E$20000,설정!$B$7)=0),"",$B370/SUMIFS(데이터!$C$2:$C$20000,데이터!$A$2:$A$20000,$A370,데이터!$E$2:$E$20000,설정!$B$7)-1),"")</f>
        <v/>
      </c>
      <c r="J370">
        <f>IF(C370="","",C370+ROW()*0.000000001)</f>
        <v/>
      </c>
      <c r="K370">
        <f>IF(D370="","",D370+ROW()*0.000000001)</f>
        <v/>
      </c>
      <c r="L370">
        <f>IF(E370="","",E370+ROW()*0.000000001)</f>
        <v/>
      </c>
      <c r="M370">
        <f>IF(F370="","",F370+ROW()*0.000000001)</f>
        <v/>
      </c>
      <c r="N370">
        <f>IF(G370="","",G370+ROW()*0.000000001)</f>
        <v/>
      </c>
      <c r="O370">
        <f>IF(H370="","",H370+ROW()*0.000000001)</f>
        <v/>
      </c>
    </row>
    <row r="371">
      <c r="B371" s="4">
        <f>IF($A371="","",IF(COUNTIFS(데이터!$A$2:$A$20000,$A371,데이터!$E$2:$E$20000,1)=0,"",SUMIFS(데이터!$C$2:$C$20000,데이터!$A$2:$A$20000,$A371,데이터!$E$2:$E$20000,1)))</f>
        <v/>
      </c>
      <c r="C371" s="5">
        <f>IFERROR(IF(OR($B371="",COUNTIFS(데이터!$A$2:$A$20000,$A371,데이터!$E$2:$E$20000,설정!$B$2)=0),"",$B371/SUMIFS(데이터!$C$2:$C$20000,데이터!$A$2:$A$20000,$A371,데이터!$E$2:$E$20000,설정!$B$2)-1),"")</f>
        <v/>
      </c>
      <c r="D371" s="5">
        <f>IFERROR(IF(OR($B371="",COUNTIFS(데이터!$A$2:$A$20000,$A371,데이터!$E$2:$E$20000,설정!$B$3)=0),"",$B371/SUMIFS(데이터!$C$2:$C$20000,데이터!$A$2:$A$20000,$A371,데이터!$E$2:$E$20000,설정!$B$3)-1),"")</f>
        <v/>
      </c>
      <c r="E371" s="5">
        <f>IFERROR(IF(OR($B371="",COUNTIFS(데이터!$A$2:$A$20000,$A371,데이터!$E$2:$E$20000,설정!$B$4)=0),"",$B371/SUMIFS(데이터!$C$2:$C$20000,데이터!$A$2:$A$20000,$A371,데이터!$E$2:$E$20000,설정!$B$4)-1),"")</f>
        <v/>
      </c>
      <c r="F371" s="5">
        <f>IFERROR(IF(OR($B371="",COUNTIFS(데이터!$A$2:$A$20000,$A371,데이터!$E$2:$E$20000,설정!$B$5)=0),"",$B371/SUMIFS(데이터!$C$2:$C$20000,데이터!$A$2:$A$20000,$A371,데이터!$E$2:$E$20000,설정!$B$5)-1),"")</f>
        <v/>
      </c>
      <c r="G371" s="5">
        <f>IFERROR(IF(OR($B371="",COUNTIFS(데이터!$A$2:$A$20000,$A371,데이터!$E$2:$E$20000,설정!$B$6)=0),"",$B371/SUMIFS(데이터!$C$2:$C$20000,데이터!$A$2:$A$20000,$A371,데이터!$E$2:$E$20000,설정!$B$6)-1),"")</f>
        <v/>
      </c>
      <c r="H371" s="5">
        <f>IFERROR(IF(OR($B371="",COUNTIFS(데이터!$A$2:$A$20000,$A371,데이터!$E$2:$E$20000,설정!$B$7)=0),"",$B371/SUMIFS(데이터!$C$2:$C$20000,데이터!$A$2:$A$20000,$A371,데이터!$E$2:$E$20000,설정!$B$7)-1),"")</f>
        <v/>
      </c>
      <c r="J371">
        <f>IF(C371="","",C371+ROW()*0.000000001)</f>
        <v/>
      </c>
      <c r="K371">
        <f>IF(D371="","",D371+ROW()*0.000000001)</f>
        <v/>
      </c>
      <c r="L371">
        <f>IF(E371="","",E371+ROW()*0.000000001)</f>
        <v/>
      </c>
      <c r="M371">
        <f>IF(F371="","",F371+ROW()*0.000000001)</f>
        <v/>
      </c>
      <c r="N371">
        <f>IF(G371="","",G371+ROW()*0.000000001)</f>
        <v/>
      </c>
      <c r="O371">
        <f>IF(H371="","",H371+ROW()*0.000000001)</f>
        <v/>
      </c>
    </row>
    <row r="372">
      <c r="B372" s="4">
        <f>IF($A372="","",IF(COUNTIFS(데이터!$A$2:$A$20000,$A372,데이터!$E$2:$E$20000,1)=0,"",SUMIFS(데이터!$C$2:$C$20000,데이터!$A$2:$A$20000,$A372,데이터!$E$2:$E$20000,1)))</f>
        <v/>
      </c>
      <c r="C372" s="5">
        <f>IFERROR(IF(OR($B372="",COUNTIFS(데이터!$A$2:$A$20000,$A372,데이터!$E$2:$E$20000,설정!$B$2)=0),"",$B372/SUMIFS(데이터!$C$2:$C$20000,데이터!$A$2:$A$20000,$A372,데이터!$E$2:$E$20000,설정!$B$2)-1),"")</f>
        <v/>
      </c>
      <c r="D372" s="5">
        <f>IFERROR(IF(OR($B372="",COUNTIFS(데이터!$A$2:$A$20000,$A372,데이터!$E$2:$E$20000,설정!$B$3)=0),"",$B372/SUMIFS(데이터!$C$2:$C$20000,데이터!$A$2:$A$20000,$A372,데이터!$E$2:$E$20000,설정!$B$3)-1),"")</f>
        <v/>
      </c>
      <c r="E372" s="5">
        <f>IFERROR(IF(OR($B372="",COUNTIFS(데이터!$A$2:$A$20000,$A372,데이터!$E$2:$E$20000,설정!$B$4)=0),"",$B372/SUMIFS(데이터!$C$2:$C$20000,데이터!$A$2:$A$20000,$A372,데이터!$E$2:$E$20000,설정!$B$4)-1),"")</f>
        <v/>
      </c>
      <c r="F372" s="5">
        <f>IFERROR(IF(OR($B372="",COUNTIFS(데이터!$A$2:$A$20000,$A372,데이터!$E$2:$E$20000,설정!$B$5)=0),"",$B372/SUMIFS(데이터!$C$2:$C$20000,데이터!$A$2:$A$20000,$A372,데이터!$E$2:$E$20000,설정!$B$5)-1),"")</f>
        <v/>
      </c>
      <c r="G372" s="5">
        <f>IFERROR(IF(OR($B372="",COUNTIFS(데이터!$A$2:$A$20000,$A372,데이터!$E$2:$E$20000,설정!$B$6)=0),"",$B372/SUMIFS(데이터!$C$2:$C$20000,데이터!$A$2:$A$20000,$A372,데이터!$E$2:$E$20000,설정!$B$6)-1),"")</f>
        <v/>
      </c>
      <c r="H372" s="5">
        <f>IFERROR(IF(OR($B372="",COUNTIFS(데이터!$A$2:$A$20000,$A372,데이터!$E$2:$E$20000,설정!$B$7)=0),"",$B372/SUMIFS(데이터!$C$2:$C$20000,데이터!$A$2:$A$20000,$A372,데이터!$E$2:$E$20000,설정!$B$7)-1),"")</f>
        <v/>
      </c>
      <c r="J372">
        <f>IF(C372="","",C372+ROW()*0.000000001)</f>
        <v/>
      </c>
      <c r="K372">
        <f>IF(D372="","",D372+ROW()*0.000000001)</f>
        <v/>
      </c>
      <c r="L372">
        <f>IF(E372="","",E372+ROW()*0.000000001)</f>
        <v/>
      </c>
      <c r="M372">
        <f>IF(F372="","",F372+ROW()*0.000000001)</f>
        <v/>
      </c>
      <c r="N372">
        <f>IF(G372="","",G372+ROW()*0.000000001)</f>
        <v/>
      </c>
      <c r="O372">
        <f>IF(H372="","",H372+ROW()*0.000000001)</f>
        <v/>
      </c>
    </row>
    <row r="373">
      <c r="B373" s="4">
        <f>IF($A373="","",IF(COUNTIFS(데이터!$A$2:$A$20000,$A373,데이터!$E$2:$E$20000,1)=0,"",SUMIFS(데이터!$C$2:$C$20000,데이터!$A$2:$A$20000,$A373,데이터!$E$2:$E$20000,1)))</f>
        <v/>
      </c>
      <c r="C373" s="5">
        <f>IFERROR(IF(OR($B373="",COUNTIFS(데이터!$A$2:$A$20000,$A373,데이터!$E$2:$E$20000,설정!$B$2)=0),"",$B373/SUMIFS(데이터!$C$2:$C$20000,데이터!$A$2:$A$20000,$A373,데이터!$E$2:$E$20000,설정!$B$2)-1),"")</f>
        <v/>
      </c>
      <c r="D373" s="5">
        <f>IFERROR(IF(OR($B373="",COUNTIFS(데이터!$A$2:$A$20000,$A373,데이터!$E$2:$E$20000,설정!$B$3)=0),"",$B373/SUMIFS(데이터!$C$2:$C$20000,데이터!$A$2:$A$20000,$A373,데이터!$E$2:$E$20000,설정!$B$3)-1),"")</f>
        <v/>
      </c>
      <c r="E373" s="5">
        <f>IFERROR(IF(OR($B373="",COUNTIFS(데이터!$A$2:$A$20000,$A373,데이터!$E$2:$E$20000,설정!$B$4)=0),"",$B373/SUMIFS(데이터!$C$2:$C$20000,데이터!$A$2:$A$20000,$A373,데이터!$E$2:$E$20000,설정!$B$4)-1),"")</f>
        <v/>
      </c>
      <c r="F373" s="5">
        <f>IFERROR(IF(OR($B373="",COUNTIFS(데이터!$A$2:$A$20000,$A373,데이터!$E$2:$E$20000,설정!$B$5)=0),"",$B373/SUMIFS(데이터!$C$2:$C$20000,데이터!$A$2:$A$20000,$A373,데이터!$E$2:$E$20000,설정!$B$5)-1),"")</f>
        <v/>
      </c>
      <c r="G373" s="5">
        <f>IFERROR(IF(OR($B373="",COUNTIFS(데이터!$A$2:$A$20000,$A373,데이터!$E$2:$E$20000,설정!$B$6)=0),"",$B373/SUMIFS(데이터!$C$2:$C$20000,데이터!$A$2:$A$20000,$A373,데이터!$E$2:$E$20000,설정!$B$6)-1),"")</f>
        <v/>
      </c>
      <c r="H373" s="5">
        <f>IFERROR(IF(OR($B373="",COUNTIFS(데이터!$A$2:$A$20000,$A373,데이터!$E$2:$E$20000,설정!$B$7)=0),"",$B373/SUMIFS(데이터!$C$2:$C$20000,데이터!$A$2:$A$20000,$A373,데이터!$E$2:$E$20000,설정!$B$7)-1),"")</f>
        <v/>
      </c>
      <c r="J373">
        <f>IF(C373="","",C373+ROW()*0.000000001)</f>
        <v/>
      </c>
      <c r="K373">
        <f>IF(D373="","",D373+ROW()*0.000000001)</f>
        <v/>
      </c>
      <c r="L373">
        <f>IF(E373="","",E373+ROW()*0.000000001)</f>
        <v/>
      </c>
      <c r="M373">
        <f>IF(F373="","",F373+ROW()*0.000000001)</f>
        <v/>
      </c>
      <c r="N373">
        <f>IF(G373="","",G373+ROW()*0.000000001)</f>
        <v/>
      </c>
      <c r="O373">
        <f>IF(H373="","",H373+ROW()*0.000000001)</f>
        <v/>
      </c>
    </row>
    <row r="374">
      <c r="B374" s="4">
        <f>IF($A374="","",IF(COUNTIFS(데이터!$A$2:$A$20000,$A374,데이터!$E$2:$E$20000,1)=0,"",SUMIFS(데이터!$C$2:$C$20000,데이터!$A$2:$A$20000,$A374,데이터!$E$2:$E$20000,1)))</f>
        <v/>
      </c>
      <c r="C374" s="5">
        <f>IFERROR(IF(OR($B374="",COUNTIFS(데이터!$A$2:$A$20000,$A374,데이터!$E$2:$E$20000,설정!$B$2)=0),"",$B374/SUMIFS(데이터!$C$2:$C$20000,데이터!$A$2:$A$20000,$A374,데이터!$E$2:$E$20000,설정!$B$2)-1),"")</f>
        <v/>
      </c>
      <c r="D374" s="5">
        <f>IFERROR(IF(OR($B374="",COUNTIFS(데이터!$A$2:$A$20000,$A374,데이터!$E$2:$E$20000,설정!$B$3)=0),"",$B374/SUMIFS(데이터!$C$2:$C$20000,데이터!$A$2:$A$20000,$A374,데이터!$E$2:$E$20000,설정!$B$3)-1),"")</f>
        <v/>
      </c>
      <c r="E374" s="5">
        <f>IFERROR(IF(OR($B374="",COUNTIFS(데이터!$A$2:$A$20000,$A374,데이터!$E$2:$E$20000,설정!$B$4)=0),"",$B374/SUMIFS(데이터!$C$2:$C$20000,데이터!$A$2:$A$20000,$A374,데이터!$E$2:$E$20000,설정!$B$4)-1),"")</f>
        <v/>
      </c>
      <c r="F374" s="5">
        <f>IFERROR(IF(OR($B374="",COUNTIFS(데이터!$A$2:$A$20000,$A374,데이터!$E$2:$E$20000,설정!$B$5)=0),"",$B374/SUMIFS(데이터!$C$2:$C$20000,데이터!$A$2:$A$20000,$A374,데이터!$E$2:$E$20000,설정!$B$5)-1),"")</f>
        <v/>
      </c>
      <c r="G374" s="5">
        <f>IFERROR(IF(OR($B374="",COUNTIFS(데이터!$A$2:$A$20000,$A374,데이터!$E$2:$E$20000,설정!$B$6)=0),"",$B374/SUMIFS(데이터!$C$2:$C$20000,데이터!$A$2:$A$20000,$A374,데이터!$E$2:$E$20000,설정!$B$6)-1),"")</f>
        <v/>
      </c>
      <c r="H374" s="5">
        <f>IFERROR(IF(OR($B374="",COUNTIFS(데이터!$A$2:$A$20000,$A374,데이터!$E$2:$E$20000,설정!$B$7)=0),"",$B374/SUMIFS(데이터!$C$2:$C$20000,데이터!$A$2:$A$20000,$A374,데이터!$E$2:$E$20000,설정!$B$7)-1),"")</f>
        <v/>
      </c>
      <c r="J374">
        <f>IF(C374="","",C374+ROW()*0.000000001)</f>
        <v/>
      </c>
      <c r="K374">
        <f>IF(D374="","",D374+ROW()*0.000000001)</f>
        <v/>
      </c>
      <c r="L374">
        <f>IF(E374="","",E374+ROW()*0.000000001)</f>
        <v/>
      </c>
      <c r="M374">
        <f>IF(F374="","",F374+ROW()*0.000000001)</f>
        <v/>
      </c>
      <c r="N374">
        <f>IF(G374="","",G374+ROW()*0.000000001)</f>
        <v/>
      </c>
      <c r="O374">
        <f>IF(H374="","",H374+ROW()*0.000000001)</f>
        <v/>
      </c>
    </row>
    <row r="375">
      <c r="B375" s="4">
        <f>IF($A375="","",IF(COUNTIFS(데이터!$A$2:$A$20000,$A375,데이터!$E$2:$E$20000,1)=0,"",SUMIFS(데이터!$C$2:$C$20000,데이터!$A$2:$A$20000,$A375,데이터!$E$2:$E$20000,1)))</f>
        <v/>
      </c>
      <c r="C375" s="5">
        <f>IFERROR(IF(OR($B375="",COUNTIFS(데이터!$A$2:$A$20000,$A375,데이터!$E$2:$E$20000,설정!$B$2)=0),"",$B375/SUMIFS(데이터!$C$2:$C$20000,데이터!$A$2:$A$20000,$A375,데이터!$E$2:$E$20000,설정!$B$2)-1),"")</f>
        <v/>
      </c>
      <c r="D375" s="5">
        <f>IFERROR(IF(OR($B375="",COUNTIFS(데이터!$A$2:$A$20000,$A375,데이터!$E$2:$E$20000,설정!$B$3)=0),"",$B375/SUMIFS(데이터!$C$2:$C$20000,데이터!$A$2:$A$20000,$A375,데이터!$E$2:$E$20000,설정!$B$3)-1),"")</f>
        <v/>
      </c>
      <c r="E375" s="5">
        <f>IFERROR(IF(OR($B375="",COUNTIFS(데이터!$A$2:$A$20000,$A375,데이터!$E$2:$E$20000,설정!$B$4)=0),"",$B375/SUMIFS(데이터!$C$2:$C$20000,데이터!$A$2:$A$20000,$A375,데이터!$E$2:$E$20000,설정!$B$4)-1),"")</f>
        <v/>
      </c>
      <c r="F375" s="5">
        <f>IFERROR(IF(OR($B375="",COUNTIFS(데이터!$A$2:$A$20000,$A375,데이터!$E$2:$E$20000,설정!$B$5)=0),"",$B375/SUMIFS(데이터!$C$2:$C$20000,데이터!$A$2:$A$20000,$A375,데이터!$E$2:$E$20000,설정!$B$5)-1),"")</f>
        <v/>
      </c>
      <c r="G375" s="5">
        <f>IFERROR(IF(OR($B375="",COUNTIFS(데이터!$A$2:$A$20000,$A375,데이터!$E$2:$E$20000,설정!$B$6)=0),"",$B375/SUMIFS(데이터!$C$2:$C$20000,데이터!$A$2:$A$20000,$A375,데이터!$E$2:$E$20000,설정!$B$6)-1),"")</f>
        <v/>
      </c>
      <c r="H375" s="5">
        <f>IFERROR(IF(OR($B375="",COUNTIFS(데이터!$A$2:$A$20000,$A375,데이터!$E$2:$E$20000,설정!$B$7)=0),"",$B375/SUMIFS(데이터!$C$2:$C$20000,데이터!$A$2:$A$20000,$A375,데이터!$E$2:$E$20000,설정!$B$7)-1),"")</f>
        <v/>
      </c>
      <c r="J375">
        <f>IF(C375="","",C375+ROW()*0.000000001)</f>
        <v/>
      </c>
      <c r="K375">
        <f>IF(D375="","",D375+ROW()*0.000000001)</f>
        <v/>
      </c>
      <c r="L375">
        <f>IF(E375="","",E375+ROW()*0.000000001)</f>
        <v/>
      </c>
      <c r="M375">
        <f>IF(F375="","",F375+ROW()*0.000000001)</f>
        <v/>
      </c>
      <c r="N375">
        <f>IF(G375="","",G375+ROW()*0.000000001)</f>
        <v/>
      </c>
      <c r="O375">
        <f>IF(H375="","",H375+ROW()*0.000000001)</f>
        <v/>
      </c>
    </row>
    <row r="376">
      <c r="B376" s="4">
        <f>IF($A376="","",IF(COUNTIFS(데이터!$A$2:$A$20000,$A376,데이터!$E$2:$E$20000,1)=0,"",SUMIFS(데이터!$C$2:$C$20000,데이터!$A$2:$A$20000,$A376,데이터!$E$2:$E$20000,1)))</f>
        <v/>
      </c>
      <c r="C376" s="5">
        <f>IFERROR(IF(OR($B376="",COUNTIFS(데이터!$A$2:$A$20000,$A376,데이터!$E$2:$E$20000,설정!$B$2)=0),"",$B376/SUMIFS(데이터!$C$2:$C$20000,데이터!$A$2:$A$20000,$A376,데이터!$E$2:$E$20000,설정!$B$2)-1),"")</f>
        <v/>
      </c>
      <c r="D376" s="5">
        <f>IFERROR(IF(OR($B376="",COUNTIFS(데이터!$A$2:$A$20000,$A376,데이터!$E$2:$E$20000,설정!$B$3)=0),"",$B376/SUMIFS(데이터!$C$2:$C$20000,데이터!$A$2:$A$20000,$A376,데이터!$E$2:$E$20000,설정!$B$3)-1),"")</f>
        <v/>
      </c>
      <c r="E376" s="5">
        <f>IFERROR(IF(OR($B376="",COUNTIFS(데이터!$A$2:$A$20000,$A376,데이터!$E$2:$E$20000,설정!$B$4)=0),"",$B376/SUMIFS(데이터!$C$2:$C$20000,데이터!$A$2:$A$20000,$A376,데이터!$E$2:$E$20000,설정!$B$4)-1),"")</f>
        <v/>
      </c>
      <c r="F376" s="5">
        <f>IFERROR(IF(OR($B376="",COUNTIFS(데이터!$A$2:$A$20000,$A376,데이터!$E$2:$E$20000,설정!$B$5)=0),"",$B376/SUMIFS(데이터!$C$2:$C$20000,데이터!$A$2:$A$20000,$A376,데이터!$E$2:$E$20000,설정!$B$5)-1),"")</f>
        <v/>
      </c>
      <c r="G376" s="5">
        <f>IFERROR(IF(OR($B376="",COUNTIFS(데이터!$A$2:$A$20000,$A376,데이터!$E$2:$E$20000,설정!$B$6)=0),"",$B376/SUMIFS(데이터!$C$2:$C$20000,데이터!$A$2:$A$20000,$A376,데이터!$E$2:$E$20000,설정!$B$6)-1),"")</f>
        <v/>
      </c>
      <c r="H376" s="5">
        <f>IFERROR(IF(OR($B376="",COUNTIFS(데이터!$A$2:$A$20000,$A376,데이터!$E$2:$E$20000,설정!$B$7)=0),"",$B376/SUMIFS(데이터!$C$2:$C$20000,데이터!$A$2:$A$20000,$A376,데이터!$E$2:$E$20000,설정!$B$7)-1),"")</f>
        <v/>
      </c>
      <c r="J376">
        <f>IF(C376="","",C376+ROW()*0.000000001)</f>
        <v/>
      </c>
      <c r="K376">
        <f>IF(D376="","",D376+ROW()*0.000000001)</f>
        <v/>
      </c>
      <c r="L376">
        <f>IF(E376="","",E376+ROW()*0.000000001)</f>
        <v/>
      </c>
      <c r="M376">
        <f>IF(F376="","",F376+ROW()*0.000000001)</f>
        <v/>
      </c>
      <c r="N376">
        <f>IF(G376="","",G376+ROW()*0.000000001)</f>
        <v/>
      </c>
      <c r="O376">
        <f>IF(H376="","",H376+ROW()*0.000000001)</f>
        <v/>
      </c>
    </row>
    <row r="377">
      <c r="B377" s="4">
        <f>IF($A377="","",IF(COUNTIFS(데이터!$A$2:$A$20000,$A377,데이터!$E$2:$E$20000,1)=0,"",SUMIFS(데이터!$C$2:$C$20000,데이터!$A$2:$A$20000,$A377,데이터!$E$2:$E$20000,1)))</f>
        <v/>
      </c>
      <c r="C377" s="5">
        <f>IFERROR(IF(OR($B377="",COUNTIFS(데이터!$A$2:$A$20000,$A377,데이터!$E$2:$E$20000,설정!$B$2)=0),"",$B377/SUMIFS(데이터!$C$2:$C$20000,데이터!$A$2:$A$20000,$A377,데이터!$E$2:$E$20000,설정!$B$2)-1),"")</f>
        <v/>
      </c>
      <c r="D377" s="5">
        <f>IFERROR(IF(OR($B377="",COUNTIFS(데이터!$A$2:$A$20000,$A377,데이터!$E$2:$E$20000,설정!$B$3)=0),"",$B377/SUMIFS(데이터!$C$2:$C$20000,데이터!$A$2:$A$20000,$A377,데이터!$E$2:$E$20000,설정!$B$3)-1),"")</f>
        <v/>
      </c>
      <c r="E377" s="5">
        <f>IFERROR(IF(OR($B377="",COUNTIFS(데이터!$A$2:$A$20000,$A377,데이터!$E$2:$E$20000,설정!$B$4)=0),"",$B377/SUMIFS(데이터!$C$2:$C$20000,데이터!$A$2:$A$20000,$A377,데이터!$E$2:$E$20000,설정!$B$4)-1),"")</f>
        <v/>
      </c>
      <c r="F377" s="5">
        <f>IFERROR(IF(OR($B377="",COUNTIFS(데이터!$A$2:$A$20000,$A377,데이터!$E$2:$E$20000,설정!$B$5)=0),"",$B377/SUMIFS(데이터!$C$2:$C$20000,데이터!$A$2:$A$20000,$A377,데이터!$E$2:$E$20000,설정!$B$5)-1),"")</f>
        <v/>
      </c>
      <c r="G377" s="5">
        <f>IFERROR(IF(OR($B377="",COUNTIFS(데이터!$A$2:$A$20000,$A377,데이터!$E$2:$E$20000,설정!$B$6)=0),"",$B377/SUMIFS(데이터!$C$2:$C$20000,데이터!$A$2:$A$20000,$A377,데이터!$E$2:$E$20000,설정!$B$6)-1),"")</f>
        <v/>
      </c>
      <c r="H377" s="5">
        <f>IFERROR(IF(OR($B377="",COUNTIFS(데이터!$A$2:$A$20000,$A377,데이터!$E$2:$E$20000,설정!$B$7)=0),"",$B377/SUMIFS(데이터!$C$2:$C$20000,데이터!$A$2:$A$20000,$A377,데이터!$E$2:$E$20000,설정!$B$7)-1),"")</f>
        <v/>
      </c>
      <c r="J377">
        <f>IF(C377="","",C377+ROW()*0.000000001)</f>
        <v/>
      </c>
      <c r="K377">
        <f>IF(D377="","",D377+ROW()*0.000000001)</f>
        <v/>
      </c>
      <c r="L377">
        <f>IF(E377="","",E377+ROW()*0.000000001)</f>
        <v/>
      </c>
      <c r="M377">
        <f>IF(F377="","",F377+ROW()*0.000000001)</f>
        <v/>
      </c>
      <c r="N377">
        <f>IF(G377="","",G377+ROW()*0.000000001)</f>
        <v/>
      </c>
      <c r="O377">
        <f>IF(H377="","",H377+ROW()*0.000000001)</f>
        <v/>
      </c>
    </row>
    <row r="378">
      <c r="B378" s="4">
        <f>IF($A378="","",IF(COUNTIFS(데이터!$A$2:$A$20000,$A378,데이터!$E$2:$E$20000,1)=0,"",SUMIFS(데이터!$C$2:$C$20000,데이터!$A$2:$A$20000,$A378,데이터!$E$2:$E$20000,1)))</f>
        <v/>
      </c>
      <c r="C378" s="5">
        <f>IFERROR(IF(OR($B378="",COUNTIFS(데이터!$A$2:$A$20000,$A378,데이터!$E$2:$E$20000,설정!$B$2)=0),"",$B378/SUMIFS(데이터!$C$2:$C$20000,데이터!$A$2:$A$20000,$A378,데이터!$E$2:$E$20000,설정!$B$2)-1),"")</f>
        <v/>
      </c>
      <c r="D378" s="5">
        <f>IFERROR(IF(OR($B378="",COUNTIFS(데이터!$A$2:$A$20000,$A378,데이터!$E$2:$E$20000,설정!$B$3)=0),"",$B378/SUMIFS(데이터!$C$2:$C$20000,데이터!$A$2:$A$20000,$A378,데이터!$E$2:$E$20000,설정!$B$3)-1),"")</f>
        <v/>
      </c>
      <c r="E378" s="5">
        <f>IFERROR(IF(OR($B378="",COUNTIFS(데이터!$A$2:$A$20000,$A378,데이터!$E$2:$E$20000,설정!$B$4)=0),"",$B378/SUMIFS(데이터!$C$2:$C$20000,데이터!$A$2:$A$20000,$A378,데이터!$E$2:$E$20000,설정!$B$4)-1),"")</f>
        <v/>
      </c>
      <c r="F378" s="5">
        <f>IFERROR(IF(OR($B378="",COUNTIFS(데이터!$A$2:$A$20000,$A378,데이터!$E$2:$E$20000,설정!$B$5)=0),"",$B378/SUMIFS(데이터!$C$2:$C$20000,데이터!$A$2:$A$20000,$A378,데이터!$E$2:$E$20000,설정!$B$5)-1),"")</f>
        <v/>
      </c>
      <c r="G378" s="5">
        <f>IFERROR(IF(OR($B378="",COUNTIFS(데이터!$A$2:$A$20000,$A378,데이터!$E$2:$E$20000,설정!$B$6)=0),"",$B378/SUMIFS(데이터!$C$2:$C$20000,데이터!$A$2:$A$20000,$A378,데이터!$E$2:$E$20000,설정!$B$6)-1),"")</f>
        <v/>
      </c>
      <c r="H378" s="5">
        <f>IFERROR(IF(OR($B378="",COUNTIFS(데이터!$A$2:$A$20000,$A378,데이터!$E$2:$E$20000,설정!$B$7)=0),"",$B378/SUMIFS(데이터!$C$2:$C$20000,데이터!$A$2:$A$20000,$A378,데이터!$E$2:$E$20000,설정!$B$7)-1),"")</f>
        <v/>
      </c>
      <c r="J378">
        <f>IF(C378="","",C378+ROW()*0.000000001)</f>
        <v/>
      </c>
      <c r="K378">
        <f>IF(D378="","",D378+ROW()*0.000000001)</f>
        <v/>
      </c>
      <c r="L378">
        <f>IF(E378="","",E378+ROW()*0.000000001)</f>
        <v/>
      </c>
      <c r="M378">
        <f>IF(F378="","",F378+ROW()*0.000000001)</f>
        <v/>
      </c>
      <c r="N378">
        <f>IF(G378="","",G378+ROW()*0.000000001)</f>
        <v/>
      </c>
      <c r="O378">
        <f>IF(H378="","",H378+ROW()*0.000000001)</f>
        <v/>
      </c>
    </row>
    <row r="379">
      <c r="B379" s="4">
        <f>IF($A379="","",IF(COUNTIFS(데이터!$A$2:$A$20000,$A379,데이터!$E$2:$E$20000,1)=0,"",SUMIFS(데이터!$C$2:$C$20000,데이터!$A$2:$A$20000,$A379,데이터!$E$2:$E$20000,1)))</f>
        <v/>
      </c>
      <c r="C379" s="5">
        <f>IFERROR(IF(OR($B379="",COUNTIFS(데이터!$A$2:$A$20000,$A379,데이터!$E$2:$E$20000,설정!$B$2)=0),"",$B379/SUMIFS(데이터!$C$2:$C$20000,데이터!$A$2:$A$20000,$A379,데이터!$E$2:$E$20000,설정!$B$2)-1),"")</f>
        <v/>
      </c>
      <c r="D379" s="5">
        <f>IFERROR(IF(OR($B379="",COUNTIFS(데이터!$A$2:$A$20000,$A379,데이터!$E$2:$E$20000,설정!$B$3)=0),"",$B379/SUMIFS(데이터!$C$2:$C$20000,데이터!$A$2:$A$20000,$A379,데이터!$E$2:$E$20000,설정!$B$3)-1),"")</f>
        <v/>
      </c>
      <c r="E379" s="5">
        <f>IFERROR(IF(OR($B379="",COUNTIFS(데이터!$A$2:$A$20000,$A379,데이터!$E$2:$E$20000,설정!$B$4)=0),"",$B379/SUMIFS(데이터!$C$2:$C$20000,데이터!$A$2:$A$20000,$A379,데이터!$E$2:$E$20000,설정!$B$4)-1),"")</f>
        <v/>
      </c>
      <c r="F379" s="5">
        <f>IFERROR(IF(OR($B379="",COUNTIFS(데이터!$A$2:$A$20000,$A379,데이터!$E$2:$E$20000,설정!$B$5)=0),"",$B379/SUMIFS(데이터!$C$2:$C$20000,데이터!$A$2:$A$20000,$A379,데이터!$E$2:$E$20000,설정!$B$5)-1),"")</f>
        <v/>
      </c>
      <c r="G379" s="5">
        <f>IFERROR(IF(OR($B379="",COUNTIFS(데이터!$A$2:$A$20000,$A379,데이터!$E$2:$E$20000,설정!$B$6)=0),"",$B379/SUMIFS(데이터!$C$2:$C$20000,데이터!$A$2:$A$20000,$A379,데이터!$E$2:$E$20000,설정!$B$6)-1),"")</f>
        <v/>
      </c>
      <c r="H379" s="5">
        <f>IFERROR(IF(OR($B379="",COUNTIFS(데이터!$A$2:$A$20000,$A379,데이터!$E$2:$E$20000,설정!$B$7)=0),"",$B379/SUMIFS(데이터!$C$2:$C$20000,데이터!$A$2:$A$20000,$A379,데이터!$E$2:$E$20000,설정!$B$7)-1),"")</f>
        <v/>
      </c>
      <c r="J379">
        <f>IF(C379="","",C379+ROW()*0.000000001)</f>
        <v/>
      </c>
      <c r="K379">
        <f>IF(D379="","",D379+ROW()*0.000000001)</f>
        <v/>
      </c>
      <c r="L379">
        <f>IF(E379="","",E379+ROW()*0.000000001)</f>
        <v/>
      </c>
      <c r="M379">
        <f>IF(F379="","",F379+ROW()*0.000000001)</f>
        <v/>
      </c>
      <c r="N379">
        <f>IF(G379="","",G379+ROW()*0.000000001)</f>
        <v/>
      </c>
      <c r="O379">
        <f>IF(H379="","",H379+ROW()*0.000000001)</f>
        <v/>
      </c>
    </row>
    <row r="380">
      <c r="B380" s="4">
        <f>IF($A380="","",IF(COUNTIFS(데이터!$A$2:$A$20000,$A380,데이터!$E$2:$E$20000,1)=0,"",SUMIFS(데이터!$C$2:$C$20000,데이터!$A$2:$A$20000,$A380,데이터!$E$2:$E$20000,1)))</f>
        <v/>
      </c>
      <c r="C380" s="5">
        <f>IFERROR(IF(OR($B380="",COUNTIFS(데이터!$A$2:$A$20000,$A380,데이터!$E$2:$E$20000,설정!$B$2)=0),"",$B380/SUMIFS(데이터!$C$2:$C$20000,데이터!$A$2:$A$20000,$A380,데이터!$E$2:$E$20000,설정!$B$2)-1),"")</f>
        <v/>
      </c>
      <c r="D380" s="5">
        <f>IFERROR(IF(OR($B380="",COUNTIFS(데이터!$A$2:$A$20000,$A380,데이터!$E$2:$E$20000,설정!$B$3)=0),"",$B380/SUMIFS(데이터!$C$2:$C$20000,데이터!$A$2:$A$20000,$A380,데이터!$E$2:$E$20000,설정!$B$3)-1),"")</f>
        <v/>
      </c>
      <c r="E380" s="5">
        <f>IFERROR(IF(OR($B380="",COUNTIFS(데이터!$A$2:$A$20000,$A380,데이터!$E$2:$E$20000,설정!$B$4)=0),"",$B380/SUMIFS(데이터!$C$2:$C$20000,데이터!$A$2:$A$20000,$A380,데이터!$E$2:$E$20000,설정!$B$4)-1),"")</f>
        <v/>
      </c>
      <c r="F380" s="5">
        <f>IFERROR(IF(OR($B380="",COUNTIFS(데이터!$A$2:$A$20000,$A380,데이터!$E$2:$E$20000,설정!$B$5)=0),"",$B380/SUMIFS(데이터!$C$2:$C$20000,데이터!$A$2:$A$20000,$A380,데이터!$E$2:$E$20000,설정!$B$5)-1),"")</f>
        <v/>
      </c>
      <c r="G380" s="5">
        <f>IFERROR(IF(OR($B380="",COUNTIFS(데이터!$A$2:$A$20000,$A380,데이터!$E$2:$E$20000,설정!$B$6)=0),"",$B380/SUMIFS(데이터!$C$2:$C$20000,데이터!$A$2:$A$20000,$A380,데이터!$E$2:$E$20000,설정!$B$6)-1),"")</f>
        <v/>
      </c>
      <c r="H380" s="5">
        <f>IFERROR(IF(OR($B380="",COUNTIFS(데이터!$A$2:$A$20000,$A380,데이터!$E$2:$E$20000,설정!$B$7)=0),"",$B380/SUMIFS(데이터!$C$2:$C$20000,데이터!$A$2:$A$20000,$A380,데이터!$E$2:$E$20000,설정!$B$7)-1),"")</f>
        <v/>
      </c>
      <c r="J380">
        <f>IF(C380="","",C380+ROW()*0.000000001)</f>
        <v/>
      </c>
      <c r="K380">
        <f>IF(D380="","",D380+ROW()*0.000000001)</f>
        <v/>
      </c>
      <c r="L380">
        <f>IF(E380="","",E380+ROW()*0.000000001)</f>
        <v/>
      </c>
      <c r="M380">
        <f>IF(F380="","",F380+ROW()*0.000000001)</f>
        <v/>
      </c>
      <c r="N380">
        <f>IF(G380="","",G380+ROW()*0.000000001)</f>
        <v/>
      </c>
      <c r="O380">
        <f>IF(H380="","",H380+ROW()*0.000000001)</f>
        <v/>
      </c>
    </row>
    <row r="381">
      <c r="B381" s="4">
        <f>IF($A381="","",IF(COUNTIFS(데이터!$A$2:$A$20000,$A381,데이터!$E$2:$E$20000,1)=0,"",SUMIFS(데이터!$C$2:$C$20000,데이터!$A$2:$A$20000,$A381,데이터!$E$2:$E$20000,1)))</f>
        <v/>
      </c>
      <c r="C381" s="5">
        <f>IFERROR(IF(OR($B381="",COUNTIFS(데이터!$A$2:$A$20000,$A381,데이터!$E$2:$E$20000,설정!$B$2)=0),"",$B381/SUMIFS(데이터!$C$2:$C$20000,데이터!$A$2:$A$20000,$A381,데이터!$E$2:$E$20000,설정!$B$2)-1),"")</f>
        <v/>
      </c>
      <c r="D381" s="5">
        <f>IFERROR(IF(OR($B381="",COUNTIFS(데이터!$A$2:$A$20000,$A381,데이터!$E$2:$E$20000,설정!$B$3)=0),"",$B381/SUMIFS(데이터!$C$2:$C$20000,데이터!$A$2:$A$20000,$A381,데이터!$E$2:$E$20000,설정!$B$3)-1),"")</f>
        <v/>
      </c>
      <c r="E381" s="5">
        <f>IFERROR(IF(OR($B381="",COUNTIFS(데이터!$A$2:$A$20000,$A381,데이터!$E$2:$E$20000,설정!$B$4)=0),"",$B381/SUMIFS(데이터!$C$2:$C$20000,데이터!$A$2:$A$20000,$A381,데이터!$E$2:$E$20000,설정!$B$4)-1),"")</f>
        <v/>
      </c>
      <c r="F381" s="5">
        <f>IFERROR(IF(OR($B381="",COUNTIFS(데이터!$A$2:$A$20000,$A381,데이터!$E$2:$E$20000,설정!$B$5)=0),"",$B381/SUMIFS(데이터!$C$2:$C$20000,데이터!$A$2:$A$20000,$A381,데이터!$E$2:$E$20000,설정!$B$5)-1),"")</f>
        <v/>
      </c>
      <c r="G381" s="5">
        <f>IFERROR(IF(OR($B381="",COUNTIFS(데이터!$A$2:$A$20000,$A381,데이터!$E$2:$E$20000,설정!$B$6)=0),"",$B381/SUMIFS(데이터!$C$2:$C$20000,데이터!$A$2:$A$20000,$A381,데이터!$E$2:$E$20000,설정!$B$6)-1),"")</f>
        <v/>
      </c>
      <c r="H381" s="5">
        <f>IFERROR(IF(OR($B381="",COUNTIFS(데이터!$A$2:$A$20000,$A381,데이터!$E$2:$E$20000,설정!$B$7)=0),"",$B381/SUMIFS(데이터!$C$2:$C$20000,데이터!$A$2:$A$20000,$A381,데이터!$E$2:$E$20000,설정!$B$7)-1),"")</f>
        <v/>
      </c>
      <c r="J381">
        <f>IF(C381="","",C381+ROW()*0.000000001)</f>
        <v/>
      </c>
      <c r="K381">
        <f>IF(D381="","",D381+ROW()*0.000000001)</f>
        <v/>
      </c>
      <c r="L381">
        <f>IF(E381="","",E381+ROW()*0.000000001)</f>
        <v/>
      </c>
      <c r="M381">
        <f>IF(F381="","",F381+ROW()*0.000000001)</f>
        <v/>
      </c>
      <c r="N381">
        <f>IF(G381="","",G381+ROW()*0.000000001)</f>
        <v/>
      </c>
      <c r="O381">
        <f>IF(H381="","",H381+ROW()*0.000000001)</f>
        <v/>
      </c>
    </row>
    <row r="382">
      <c r="B382" s="4">
        <f>IF($A382="","",IF(COUNTIFS(데이터!$A$2:$A$20000,$A382,데이터!$E$2:$E$20000,1)=0,"",SUMIFS(데이터!$C$2:$C$20000,데이터!$A$2:$A$20000,$A382,데이터!$E$2:$E$20000,1)))</f>
        <v/>
      </c>
      <c r="C382" s="5">
        <f>IFERROR(IF(OR($B382="",COUNTIFS(데이터!$A$2:$A$20000,$A382,데이터!$E$2:$E$20000,설정!$B$2)=0),"",$B382/SUMIFS(데이터!$C$2:$C$20000,데이터!$A$2:$A$20000,$A382,데이터!$E$2:$E$20000,설정!$B$2)-1),"")</f>
        <v/>
      </c>
      <c r="D382" s="5">
        <f>IFERROR(IF(OR($B382="",COUNTIFS(데이터!$A$2:$A$20000,$A382,데이터!$E$2:$E$20000,설정!$B$3)=0),"",$B382/SUMIFS(데이터!$C$2:$C$20000,데이터!$A$2:$A$20000,$A382,데이터!$E$2:$E$20000,설정!$B$3)-1),"")</f>
        <v/>
      </c>
      <c r="E382" s="5">
        <f>IFERROR(IF(OR($B382="",COUNTIFS(데이터!$A$2:$A$20000,$A382,데이터!$E$2:$E$20000,설정!$B$4)=0),"",$B382/SUMIFS(데이터!$C$2:$C$20000,데이터!$A$2:$A$20000,$A382,데이터!$E$2:$E$20000,설정!$B$4)-1),"")</f>
        <v/>
      </c>
      <c r="F382" s="5">
        <f>IFERROR(IF(OR($B382="",COUNTIFS(데이터!$A$2:$A$20000,$A382,데이터!$E$2:$E$20000,설정!$B$5)=0),"",$B382/SUMIFS(데이터!$C$2:$C$20000,데이터!$A$2:$A$20000,$A382,데이터!$E$2:$E$20000,설정!$B$5)-1),"")</f>
        <v/>
      </c>
      <c r="G382" s="5">
        <f>IFERROR(IF(OR($B382="",COUNTIFS(데이터!$A$2:$A$20000,$A382,데이터!$E$2:$E$20000,설정!$B$6)=0),"",$B382/SUMIFS(데이터!$C$2:$C$20000,데이터!$A$2:$A$20000,$A382,데이터!$E$2:$E$20000,설정!$B$6)-1),"")</f>
        <v/>
      </c>
      <c r="H382" s="5">
        <f>IFERROR(IF(OR($B382="",COUNTIFS(데이터!$A$2:$A$20000,$A382,데이터!$E$2:$E$20000,설정!$B$7)=0),"",$B382/SUMIFS(데이터!$C$2:$C$20000,데이터!$A$2:$A$20000,$A382,데이터!$E$2:$E$20000,설정!$B$7)-1),"")</f>
        <v/>
      </c>
      <c r="J382">
        <f>IF(C382="","",C382+ROW()*0.000000001)</f>
        <v/>
      </c>
      <c r="K382">
        <f>IF(D382="","",D382+ROW()*0.000000001)</f>
        <v/>
      </c>
      <c r="L382">
        <f>IF(E382="","",E382+ROW()*0.000000001)</f>
        <v/>
      </c>
      <c r="M382">
        <f>IF(F382="","",F382+ROW()*0.000000001)</f>
        <v/>
      </c>
      <c r="N382">
        <f>IF(G382="","",G382+ROW()*0.000000001)</f>
        <v/>
      </c>
      <c r="O382">
        <f>IF(H382="","",H382+ROW()*0.000000001)</f>
        <v/>
      </c>
    </row>
    <row r="383">
      <c r="B383" s="4">
        <f>IF($A383="","",IF(COUNTIFS(데이터!$A$2:$A$20000,$A383,데이터!$E$2:$E$20000,1)=0,"",SUMIFS(데이터!$C$2:$C$20000,데이터!$A$2:$A$20000,$A383,데이터!$E$2:$E$20000,1)))</f>
        <v/>
      </c>
      <c r="C383" s="5">
        <f>IFERROR(IF(OR($B383="",COUNTIFS(데이터!$A$2:$A$20000,$A383,데이터!$E$2:$E$20000,설정!$B$2)=0),"",$B383/SUMIFS(데이터!$C$2:$C$20000,데이터!$A$2:$A$20000,$A383,데이터!$E$2:$E$20000,설정!$B$2)-1),"")</f>
        <v/>
      </c>
      <c r="D383" s="5">
        <f>IFERROR(IF(OR($B383="",COUNTIFS(데이터!$A$2:$A$20000,$A383,데이터!$E$2:$E$20000,설정!$B$3)=0),"",$B383/SUMIFS(데이터!$C$2:$C$20000,데이터!$A$2:$A$20000,$A383,데이터!$E$2:$E$20000,설정!$B$3)-1),"")</f>
        <v/>
      </c>
      <c r="E383" s="5">
        <f>IFERROR(IF(OR($B383="",COUNTIFS(데이터!$A$2:$A$20000,$A383,데이터!$E$2:$E$20000,설정!$B$4)=0),"",$B383/SUMIFS(데이터!$C$2:$C$20000,데이터!$A$2:$A$20000,$A383,데이터!$E$2:$E$20000,설정!$B$4)-1),"")</f>
        <v/>
      </c>
      <c r="F383" s="5">
        <f>IFERROR(IF(OR($B383="",COUNTIFS(데이터!$A$2:$A$20000,$A383,데이터!$E$2:$E$20000,설정!$B$5)=0),"",$B383/SUMIFS(데이터!$C$2:$C$20000,데이터!$A$2:$A$20000,$A383,데이터!$E$2:$E$20000,설정!$B$5)-1),"")</f>
        <v/>
      </c>
      <c r="G383" s="5">
        <f>IFERROR(IF(OR($B383="",COUNTIFS(데이터!$A$2:$A$20000,$A383,데이터!$E$2:$E$20000,설정!$B$6)=0),"",$B383/SUMIFS(데이터!$C$2:$C$20000,데이터!$A$2:$A$20000,$A383,데이터!$E$2:$E$20000,설정!$B$6)-1),"")</f>
        <v/>
      </c>
      <c r="H383" s="5">
        <f>IFERROR(IF(OR($B383="",COUNTIFS(데이터!$A$2:$A$20000,$A383,데이터!$E$2:$E$20000,설정!$B$7)=0),"",$B383/SUMIFS(데이터!$C$2:$C$20000,데이터!$A$2:$A$20000,$A383,데이터!$E$2:$E$20000,설정!$B$7)-1),"")</f>
        <v/>
      </c>
      <c r="J383">
        <f>IF(C383="","",C383+ROW()*0.000000001)</f>
        <v/>
      </c>
      <c r="K383">
        <f>IF(D383="","",D383+ROW()*0.000000001)</f>
        <v/>
      </c>
      <c r="L383">
        <f>IF(E383="","",E383+ROW()*0.000000001)</f>
        <v/>
      </c>
      <c r="M383">
        <f>IF(F383="","",F383+ROW()*0.000000001)</f>
        <v/>
      </c>
      <c r="N383">
        <f>IF(G383="","",G383+ROW()*0.000000001)</f>
        <v/>
      </c>
      <c r="O383">
        <f>IF(H383="","",H383+ROW()*0.000000001)</f>
        <v/>
      </c>
    </row>
    <row r="384">
      <c r="B384" s="4">
        <f>IF($A384="","",IF(COUNTIFS(데이터!$A$2:$A$20000,$A384,데이터!$E$2:$E$20000,1)=0,"",SUMIFS(데이터!$C$2:$C$20000,데이터!$A$2:$A$20000,$A384,데이터!$E$2:$E$20000,1)))</f>
        <v/>
      </c>
      <c r="C384" s="5">
        <f>IFERROR(IF(OR($B384="",COUNTIFS(데이터!$A$2:$A$20000,$A384,데이터!$E$2:$E$20000,설정!$B$2)=0),"",$B384/SUMIFS(데이터!$C$2:$C$20000,데이터!$A$2:$A$20000,$A384,데이터!$E$2:$E$20000,설정!$B$2)-1),"")</f>
        <v/>
      </c>
      <c r="D384" s="5">
        <f>IFERROR(IF(OR($B384="",COUNTIFS(데이터!$A$2:$A$20000,$A384,데이터!$E$2:$E$20000,설정!$B$3)=0),"",$B384/SUMIFS(데이터!$C$2:$C$20000,데이터!$A$2:$A$20000,$A384,데이터!$E$2:$E$20000,설정!$B$3)-1),"")</f>
        <v/>
      </c>
      <c r="E384" s="5">
        <f>IFERROR(IF(OR($B384="",COUNTIFS(데이터!$A$2:$A$20000,$A384,데이터!$E$2:$E$20000,설정!$B$4)=0),"",$B384/SUMIFS(데이터!$C$2:$C$20000,데이터!$A$2:$A$20000,$A384,데이터!$E$2:$E$20000,설정!$B$4)-1),"")</f>
        <v/>
      </c>
      <c r="F384" s="5">
        <f>IFERROR(IF(OR($B384="",COUNTIFS(데이터!$A$2:$A$20000,$A384,데이터!$E$2:$E$20000,설정!$B$5)=0),"",$B384/SUMIFS(데이터!$C$2:$C$20000,데이터!$A$2:$A$20000,$A384,데이터!$E$2:$E$20000,설정!$B$5)-1),"")</f>
        <v/>
      </c>
      <c r="G384" s="5">
        <f>IFERROR(IF(OR($B384="",COUNTIFS(데이터!$A$2:$A$20000,$A384,데이터!$E$2:$E$20000,설정!$B$6)=0),"",$B384/SUMIFS(데이터!$C$2:$C$20000,데이터!$A$2:$A$20000,$A384,데이터!$E$2:$E$20000,설정!$B$6)-1),"")</f>
        <v/>
      </c>
      <c r="H384" s="5">
        <f>IFERROR(IF(OR($B384="",COUNTIFS(데이터!$A$2:$A$20000,$A384,데이터!$E$2:$E$20000,설정!$B$7)=0),"",$B384/SUMIFS(데이터!$C$2:$C$20000,데이터!$A$2:$A$20000,$A384,데이터!$E$2:$E$20000,설정!$B$7)-1),"")</f>
        <v/>
      </c>
      <c r="J384">
        <f>IF(C384="","",C384+ROW()*0.000000001)</f>
        <v/>
      </c>
      <c r="K384">
        <f>IF(D384="","",D384+ROW()*0.000000001)</f>
        <v/>
      </c>
      <c r="L384">
        <f>IF(E384="","",E384+ROW()*0.000000001)</f>
        <v/>
      </c>
      <c r="M384">
        <f>IF(F384="","",F384+ROW()*0.000000001)</f>
        <v/>
      </c>
      <c r="N384">
        <f>IF(G384="","",G384+ROW()*0.000000001)</f>
        <v/>
      </c>
      <c r="O384">
        <f>IF(H384="","",H384+ROW()*0.000000001)</f>
        <v/>
      </c>
    </row>
    <row r="385">
      <c r="B385" s="4">
        <f>IF($A385="","",IF(COUNTIFS(데이터!$A$2:$A$20000,$A385,데이터!$E$2:$E$20000,1)=0,"",SUMIFS(데이터!$C$2:$C$20000,데이터!$A$2:$A$20000,$A385,데이터!$E$2:$E$20000,1)))</f>
        <v/>
      </c>
      <c r="C385" s="5">
        <f>IFERROR(IF(OR($B385="",COUNTIFS(데이터!$A$2:$A$20000,$A385,데이터!$E$2:$E$20000,설정!$B$2)=0),"",$B385/SUMIFS(데이터!$C$2:$C$20000,데이터!$A$2:$A$20000,$A385,데이터!$E$2:$E$20000,설정!$B$2)-1),"")</f>
        <v/>
      </c>
      <c r="D385" s="5">
        <f>IFERROR(IF(OR($B385="",COUNTIFS(데이터!$A$2:$A$20000,$A385,데이터!$E$2:$E$20000,설정!$B$3)=0),"",$B385/SUMIFS(데이터!$C$2:$C$20000,데이터!$A$2:$A$20000,$A385,데이터!$E$2:$E$20000,설정!$B$3)-1),"")</f>
        <v/>
      </c>
      <c r="E385" s="5">
        <f>IFERROR(IF(OR($B385="",COUNTIFS(데이터!$A$2:$A$20000,$A385,데이터!$E$2:$E$20000,설정!$B$4)=0),"",$B385/SUMIFS(데이터!$C$2:$C$20000,데이터!$A$2:$A$20000,$A385,데이터!$E$2:$E$20000,설정!$B$4)-1),"")</f>
        <v/>
      </c>
      <c r="F385" s="5">
        <f>IFERROR(IF(OR($B385="",COUNTIFS(데이터!$A$2:$A$20000,$A385,데이터!$E$2:$E$20000,설정!$B$5)=0),"",$B385/SUMIFS(데이터!$C$2:$C$20000,데이터!$A$2:$A$20000,$A385,데이터!$E$2:$E$20000,설정!$B$5)-1),"")</f>
        <v/>
      </c>
      <c r="G385" s="5">
        <f>IFERROR(IF(OR($B385="",COUNTIFS(데이터!$A$2:$A$20000,$A385,데이터!$E$2:$E$20000,설정!$B$6)=0),"",$B385/SUMIFS(데이터!$C$2:$C$20000,데이터!$A$2:$A$20000,$A385,데이터!$E$2:$E$20000,설정!$B$6)-1),"")</f>
        <v/>
      </c>
      <c r="H385" s="5">
        <f>IFERROR(IF(OR($B385="",COUNTIFS(데이터!$A$2:$A$20000,$A385,데이터!$E$2:$E$20000,설정!$B$7)=0),"",$B385/SUMIFS(데이터!$C$2:$C$20000,데이터!$A$2:$A$20000,$A385,데이터!$E$2:$E$20000,설정!$B$7)-1),"")</f>
        <v/>
      </c>
      <c r="J385">
        <f>IF(C385="","",C385+ROW()*0.000000001)</f>
        <v/>
      </c>
      <c r="K385">
        <f>IF(D385="","",D385+ROW()*0.000000001)</f>
        <v/>
      </c>
      <c r="L385">
        <f>IF(E385="","",E385+ROW()*0.000000001)</f>
        <v/>
      </c>
      <c r="M385">
        <f>IF(F385="","",F385+ROW()*0.000000001)</f>
        <v/>
      </c>
      <c r="N385">
        <f>IF(G385="","",G385+ROW()*0.000000001)</f>
        <v/>
      </c>
      <c r="O385">
        <f>IF(H385="","",H385+ROW()*0.000000001)</f>
        <v/>
      </c>
    </row>
    <row r="386">
      <c r="B386" s="4">
        <f>IF($A386="","",IF(COUNTIFS(데이터!$A$2:$A$20000,$A386,데이터!$E$2:$E$20000,1)=0,"",SUMIFS(데이터!$C$2:$C$20000,데이터!$A$2:$A$20000,$A386,데이터!$E$2:$E$20000,1)))</f>
        <v/>
      </c>
      <c r="C386" s="5">
        <f>IFERROR(IF(OR($B386="",COUNTIFS(데이터!$A$2:$A$20000,$A386,데이터!$E$2:$E$20000,설정!$B$2)=0),"",$B386/SUMIFS(데이터!$C$2:$C$20000,데이터!$A$2:$A$20000,$A386,데이터!$E$2:$E$20000,설정!$B$2)-1),"")</f>
        <v/>
      </c>
      <c r="D386" s="5">
        <f>IFERROR(IF(OR($B386="",COUNTIFS(데이터!$A$2:$A$20000,$A386,데이터!$E$2:$E$20000,설정!$B$3)=0),"",$B386/SUMIFS(데이터!$C$2:$C$20000,데이터!$A$2:$A$20000,$A386,데이터!$E$2:$E$20000,설정!$B$3)-1),"")</f>
        <v/>
      </c>
      <c r="E386" s="5">
        <f>IFERROR(IF(OR($B386="",COUNTIFS(데이터!$A$2:$A$20000,$A386,데이터!$E$2:$E$20000,설정!$B$4)=0),"",$B386/SUMIFS(데이터!$C$2:$C$20000,데이터!$A$2:$A$20000,$A386,데이터!$E$2:$E$20000,설정!$B$4)-1),"")</f>
        <v/>
      </c>
      <c r="F386" s="5">
        <f>IFERROR(IF(OR($B386="",COUNTIFS(데이터!$A$2:$A$20000,$A386,데이터!$E$2:$E$20000,설정!$B$5)=0),"",$B386/SUMIFS(데이터!$C$2:$C$20000,데이터!$A$2:$A$20000,$A386,데이터!$E$2:$E$20000,설정!$B$5)-1),"")</f>
        <v/>
      </c>
      <c r="G386" s="5">
        <f>IFERROR(IF(OR($B386="",COUNTIFS(데이터!$A$2:$A$20000,$A386,데이터!$E$2:$E$20000,설정!$B$6)=0),"",$B386/SUMIFS(데이터!$C$2:$C$20000,데이터!$A$2:$A$20000,$A386,데이터!$E$2:$E$20000,설정!$B$6)-1),"")</f>
        <v/>
      </c>
      <c r="H386" s="5">
        <f>IFERROR(IF(OR($B386="",COUNTIFS(데이터!$A$2:$A$20000,$A386,데이터!$E$2:$E$20000,설정!$B$7)=0),"",$B386/SUMIFS(데이터!$C$2:$C$20000,데이터!$A$2:$A$20000,$A386,데이터!$E$2:$E$20000,설정!$B$7)-1),"")</f>
        <v/>
      </c>
      <c r="J386">
        <f>IF(C386="","",C386+ROW()*0.000000001)</f>
        <v/>
      </c>
      <c r="K386">
        <f>IF(D386="","",D386+ROW()*0.000000001)</f>
        <v/>
      </c>
      <c r="L386">
        <f>IF(E386="","",E386+ROW()*0.000000001)</f>
        <v/>
      </c>
      <c r="M386">
        <f>IF(F386="","",F386+ROW()*0.000000001)</f>
        <v/>
      </c>
      <c r="N386">
        <f>IF(G386="","",G386+ROW()*0.000000001)</f>
        <v/>
      </c>
      <c r="O386">
        <f>IF(H386="","",H386+ROW()*0.000000001)</f>
        <v/>
      </c>
    </row>
    <row r="387">
      <c r="B387" s="4">
        <f>IF($A387="","",IF(COUNTIFS(데이터!$A$2:$A$20000,$A387,데이터!$E$2:$E$20000,1)=0,"",SUMIFS(데이터!$C$2:$C$20000,데이터!$A$2:$A$20000,$A387,데이터!$E$2:$E$20000,1)))</f>
        <v/>
      </c>
      <c r="C387" s="5">
        <f>IFERROR(IF(OR($B387="",COUNTIFS(데이터!$A$2:$A$20000,$A387,데이터!$E$2:$E$20000,설정!$B$2)=0),"",$B387/SUMIFS(데이터!$C$2:$C$20000,데이터!$A$2:$A$20000,$A387,데이터!$E$2:$E$20000,설정!$B$2)-1),"")</f>
        <v/>
      </c>
      <c r="D387" s="5">
        <f>IFERROR(IF(OR($B387="",COUNTIFS(데이터!$A$2:$A$20000,$A387,데이터!$E$2:$E$20000,설정!$B$3)=0),"",$B387/SUMIFS(데이터!$C$2:$C$20000,데이터!$A$2:$A$20000,$A387,데이터!$E$2:$E$20000,설정!$B$3)-1),"")</f>
        <v/>
      </c>
      <c r="E387" s="5">
        <f>IFERROR(IF(OR($B387="",COUNTIFS(데이터!$A$2:$A$20000,$A387,데이터!$E$2:$E$20000,설정!$B$4)=0),"",$B387/SUMIFS(데이터!$C$2:$C$20000,데이터!$A$2:$A$20000,$A387,데이터!$E$2:$E$20000,설정!$B$4)-1),"")</f>
        <v/>
      </c>
      <c r="F387" s="5">
        <f>IFERROR(IF(OR($B387="",COUNTIFS(데이터!$A$2:$A$20000,$A387,데이터!$E$2:$E$20000,설정!$B$5)=0),"",$B387/SUMIFS(데이터!$C$2:$C$20000,데이터!$A$2:$A$20000,$A387,데이터!$E$2:$E$20000,설정!$B$5)-1),"")</f>
        <v/>
      </c>
      <c r="G387" s="5">
        <f>IFERROR(IF(OR($B387="",COUNTIFS(데이터!$A$2:$A$20000,$A387,데이터!$E$2:$E$20000,설정!$B$6)=0),"",$B387/SUMIFS(데이터!$C$2:$C$20000,데이터!$A$2:$A$20000,$A387,데이터!$E$2:$E$20000,설정!$B$6)-1),"")</f>
        <v/>
      </c>
      <c r="H387" s="5">
        <f>IFERROR(IF(OR($B387="",COUNTIFS(데이터!$A$2:$A$20000,$A387,데이터!$E$2:$E$20000,설정!$B$7)=0),"",$B387/SUMIFS(데이터!$C$2:$C$20000,데이터!$A$2:$A$20000,$A387,데이터!$E$2:$E$20000,설정!$B$7)-1),"")</f>
        <v/>
      </c>
      <c r="J387">
        <f>IF(C387="","",C387+ROW()*0.000000001)</f>
        <v/>
      </c>
      <c r="K387">
        <f>IF(D387="","",D387+ROW()*0.000000001)</f>
        <v/>
      </c>
      <c r="L387">
        <f>IF(E387="","",E387+ROW()*0.000000001)</f>
        <v/>
      </c>
      <c r="M387">
        <f>IF(F387="","",F387+ROW()*0.000000001)</f>
        <v/>
      </c>
      <c r="N387">
        <f>IF(G387="","",G387+ROW()*0.000000001)</f>
        <v/>
      </c>
      <c r="O387">
        <f>IF(H387="","",H387+ROW()*0.000000001)</f>
        <v/>
      </c>
    </row>
    <row r="388">
      <c r="B388" s="4">
        <f>IF($A388="","",IF(COUNTIFS(데이터!$A$2:$A$20000,$A388,데이터!$E$2:$E$20000,1)=0,"",SUMIFS(데이터!$C$2:$C$20000,데이터!$A$2:$A$20000,$A388,데이터!$E$2:$E$20000,1)))</f>
        <v/>
      </c>
      <c r="C388" s="5">
        <f>IFERROR(IF(OR($B388="",COUNTIFS(데이터!$A$2:$A$20000,$A388,데이터!$E$2:$E$20000,설정!$B$2)=0),"",$B388/SUMIFS(데이터!$C$2:$C$20000,데이터!$A$2:$A$20000,$A388,데이터!$E$2:$E$20000,설정!$B$2)-1),"")</f>
        <v/>
      </c>
      <c r="D388" s="5">
        <f>IFERROR(IF(OR($B388="",COUNTIFS(데이터!$A$2:$A$20000,$A388,데이터!$E$2:$E$20000,설정!$B$3)=0),"",$B388/SUMIFS(데이터!$C$2:$C$20000,데이터!$A$2:$A$20000,$A388,데이터!$E$2:$E$20000,설정!$B$3)-1),"")</f>
        <v/>
      </c>
      <c r="E388" s="5">
        <f>IFERROR(IF(OR($B388="",COUNTIFS(데이터!$A$2:$A$20000,$A388,데이터!$E$2:$E$20000,설정!$B$4)=0),"",$B388/SUMIFS(데이터!$C$2:$C$20000,데이터!$A$2:$A$20000,$A388,데이터!$E$2:$E$20000,설정!$B$4)-1),"")</f>
        <v/>
      </c>
      <c r="F388" s="5">
        <f>IFERROR(IF(OR($B388="",COUNTIFS(데이터!$A$2:$A$20000,$A388,데이터!$E$2:$E$20000,설정!$B$5)=0),"",$B388/SUMIFS(데이터!$C$2:$C$20000,데이터!$A$2:$A$20000,$A388,데이터!$E$2:$E$20000,설정!$B$5)-1),"")</f>
        <v/>
      </c>
      <c r="G388" s="5">
        <f>IFERROR(IF(OR($B388="",COUNTIFS(데이터!$A$2:$A$20000,$A388,데이터!$E$2:$E$20000,설정!$B$6)=0),"",$B388/SUMIFS(데이터!$C$2:$C$20000,데이터!$A$2:$A$20000,$A388,데이터!$E$2:$E$20000,설정!$B$6)-1),"")</f>
        <v/>
      </c>
      <c r="H388" s="5">
        <f>IFERROR(IF(OR($B388="",COUNTIFS(데이터!$A$2:$A$20000,$A388,데이터!$E$2:$E$20000,설정!$B$7)=0),"",$B388/SUMIFS(데이터!$C$2:$C$20000,데이터!$A$2:$A$20000,$A388,데이터!$E$2:$E$20000,설정!$B$7)-1),"")</f>
        <v/>
      </c>
      <c r="J388">
        <f>IF(C388="","",C388+ROW()*0.000000001)</f>
        <v/>
      </c>
      <c r="K388">
        <f>IF(D388="","",D388+ROW()*0.000000001)</f>
        <v/>
      </c>
      <c r="L388">
        <f>IF(E388="","",E388+ROW()*0.000000001)</f>
        <v/>
      </c>
      <c r="M388">
        <f>IF(F388="","",F388+ROW()*0.000000001)</f>
        <v/>
      </c>
      <c r="N388">
        <f>IF(G388="","",G388+ROW()*0.000000001)</f>
        <v/>
      </c>
      <c r="O388">
        <f>IF(H388="","",H388+ROW()*0.000000001)</f>
        <v/>
      </c>
    </row>
    <row r="389">
      <c r="B389" s="4">
        <f>IF($A389="","",IF(COUNTIFS(데이터!$A$2:$A$20000,$A389,데이터!$E$2:$E$20000,1)=0,"",SUMIFS(데이터!$C$2:$C$20000,데이터!$A$2:$A$20000,$A389,데이터!$E$2:$E$20000,1)))</f>
        <v/>
      </c>
      <c r="C389" s="5">
        <f>IFERROR(IF(OR($B389="",COUNTIFS(데이터!$A$2:$A$20000,$A389,데이터!$E$2:$E$20000,설정!$B$2)=0),"",$B389/SUMIFS(데이터!$C$2:$C$20000,데이터!$A$2:$A$20000,$A389,데이터!$E$2:$E$20000,설정!$B$2)-1),"")</f>
        <v/>
      </c>
      <c r="D389" s="5">
        <f>IFERROR(IF(OR($B389="",COUNTIFS(데이터!$A$2:$A$20000,$A389,데이터!$E$2:$E$20000,설정!$B$3)=0),"",$B389/SUMIFS(데이터!$C$2:$C$20000,데이터!$A$2:$A$20000,$A389,데이터!$E$2:$E$20000,설정!$B$3)-1),"")</f>
        <v/>
      </c>
      <c r="E389" s="5">
        <f>IFERROR(IF(OR($B389="",COUNTIFS(데이터!$A$2:$A$20000,$A389,데이터!$E$2:$E$20000,설정!$B$4)=0),"",$B389/SUMIFS(데이터!$C$2:$C$20000,데이터!$A$2:$A$20000,$A389,데이터!$E$2:$E$20000,설정!$B$4)-1),"")</f>
        <v/>
      </c>
      <c r="F389" s="5">
        <f>IFERROR(IF(OR($B389="",COUNTIFS(데이터!$A$2:$A$20000,$A389,데이터!$E$2:$E$20000,설정!$B$5)=0),"",$B389/SUMIFS(데이터!$C$2:$C$20000,데이터!$A$2:$A$20000,$A389,데이터!$E$2:$E$20000,설정!$B$5)-1),"")</f>
        <v/>
      </c>
      <c r="G389" s="5">
        <f>IFERROR(IF(OR($B389="",COUNTIFS(데이터!$A$2:$A$20000,$A389,데이터!$E$2:$E$20000,설정!$B$6)=0),"",$B389/SUMIFS(데이터!$C$2:$C$20000,데이터!$A$2:$A$20000,$A389,데이터!$E$2:$E$20000,설정!$B$6)-1),"")</f>
        <v/>
      </c>
      <c r="H389" s="5">
        <f>IFERROR(IF(OR($B389="",COUNTIFS(데이터!$A$2:$A$20000,$A389,데이터!$E$2:$E$20000,설정!$B$7)=0),"",$B389/SUMIFS(데이터!$C$2:$C$20000,데이터!$A$2:$A$20000,$A389,데이터!$E$2:$E$20000,설정!$B$7)-1),"")</f>
        <v/>
      </c>
      <c r="J389">
        <f>IF(C389="","",C389+ROW()*0.000000001)</f>
        <v/>
      </c>
      <c r="K389">
        <f>IF(D389="","",D389+ROW()*0.000000001)</f>
        <v/>
      </c>
      <c r="L389">
        <f>IF(E389="","",E389+ROW()*0.000000001)</f>
        <v/>
      </c>
      <c r="M389">
        <f>IF(F389="","",F389+ROW()*0.000000001)</f>
        <v/>
      </c>
      <c r="N389">
        <f>IF(G389="","",G389+ROW()*0.000000001)</f>
        <v/>
      </c>
      <c r="O389">
        <f>IF(H389="","",H389+ROW()*0.000000001)</f>
        <v/>
      </c>
    </row>
    <row r="390">
      <c r="B390" s="4">
        <f>IF($A390="","",IF(COUNTIFS(데이터!$A$2:$A$20000,$A390,데이터!$E$2:$E$20000,1)=0,"",SUMIFS(데이터!$C$2:$C$20000,데이터!$A$2:$A$20000,$A390,데이터!$E$2:$E$20000,1)))</f>
        <v/>
      </c>
      <c r="C390" s="5">
        <f>IFERROR(IF(OR($B390="",COUNTIFS(데이터!$A$2:$A$20000,$A390,데이터!$E$2:$E$20000,설정!$B$2)=0),"",$B390/SUMIFS(데이터!$C$2:$C$20000,데이터!$A$2:$A$20000,$A390,데이터!$E$2:$E$20000,설정!$B$2)-1),"")</f>
        <v/>
      </c>
      <c r="D390" s="5">
        <f>IFERROR(IF(OR($B390="",COUNTIFS(데이터!$A$2:$A$20000,$A390,데이터!$E$2:$E$20000,설정!$B$3)=0),"",$B390/SUMIFS(데이터!$C$2:$C$20000,데이터!$A$2:$A$20000,$A390,데이터!$E$2:$E$20000,설정!$B$3)-1),"")</f>
        <v/>
      </c>
      <c r="E390" s="5">
        <f>IFERROR(IF(OR($B390="",COUNTIFS(데이터!$A$2:$A$20000,$A390,데이터!$E$2:$E$20000,설정!$B$4)=0),"",$B390/SUMIFS(데이터!$C$2:$C$20000,데이터!$A$2:$A$20000,$A390,데이터!$E$2:$E$20000,설정!$B$4)-1),"")</f>
        <v/>
      </c>
      <c r="F390" s="5">
        <f>IFERROR(IF(OR($B390="",COUNTIFS(데이터!$A$2:$A$20000,$A390,데이터!$E$2:$E$20000,설정!$B$5)=0),"",$B390/SUMIFS(데이터!$C$2:$C$20000,데이터!$A$2:$A$20000,$A390,데이터!$E$2:$E$20000,설정!$B$5)-1),"")</f>
        <v/>
      </c>
      <c r="G390" s="5">
        <f>IFERROR(IF(OR($B390="",COUNTIFS(데이터!$A$2:$A$20000,$A390,데이터!$E$2:$E$20000,설정!$B$6)=0),"",$B390/SUMIFS(데이터!$C$2:$C$20000,데이터!$A$2:$A$20000,$A390,데이터!$E$2:$E$20000,설정!$B$6)-1),"")</f>
        <v/>
      </c>
      <c r="H390" s="5">
        <f>IFERROR(IF(OR($B390="",COUNTIFS(데이터!$A$2:$A$20000,$A390,데이터!$E$2:$E$20000,설정!$B$7)=0),"",$B390/SUMIFS(데이터!$C$2:$C$20000,데이터!$A$2:$A$20000,$A390,데이터!$E$2:$E$20000,설정!$B$7)-1),"")</f>
        <v/>
      </c>
      <c r="J390">
        <f>IF(C390="","",C390+ROW()*0.000000001)</f>
        <v/>
      </c>
      <c r="K390">
        <f>IF(D390="","",D390+ROW()*0.000000001)</f>
        <v/>
      </c>
      <c r="L390">
        <f>IF(E390="","",E390+ROW()*0.000000001)</f>
        <v/>
      </c>
      <c r="M390">
        <f>IF(F390="","",F390+ROW()*0.000000001)</f>
        <v/>
      </c>
      <c r="N390">
        <f>IF(G390="","",G390+ROW()*0.000000001)</f>
        <v/>
      </c>
      <c r="O390">
        <f>IF(H390="","",H390+ROW()*0.000000001)</f>
        <v/>
      </c>
    </row>
    <row r="391">
      <c r="B391" s="4">
        <f>IF($A391="","",IF(COUNTIFS(데이터!$A$2:$A$20000,$A391,데이터!$E$2:$E$20000,1)=0,"",SUMIFS(데이터!$C$2:$C$20000,데이터!$A$2:$A$20000,$A391,데이터!$E$2:$E$20000,1)))</f>
        <v/>
      </c>
      <c r="C391" s="5">
        <f>IFERROR(IF(OR($B391="",COUNTIFS(데이터!$A$2:$A$20000,$A391,데이터!$E$2:$E$20000,설정!$B$2)=0),"",$B391/SUMIFS(데이터!$C$2:$C$20000,데이터!$A$2:$A$20000,$A391,데이터!$E$2:$E$20000,설정!$B$2)-1),"")</f>
        <v/>
      </c>
      <c r="D391" s="5">
        <f>IFERROR(IF(OR($B391="",COUNTIFS(데이터!$A$2:$A$20000,$A391,데이터!$E$2:$E$20000,설정!$B$3)=0),"",$B391/SUMIFS(데이터!$C$2:$C$20000,데이터!$A$2:$A$20000,$A391,데이터!$E$2:$E$20000,설정!$B$3)-1),"")</f>
        <v/>
      </c>
      <c r="E391" s="5">
        <f>IFERROR(IF(OR($B391="",COUNTIFS(데이터!$A$2:$A$20000,$A391,데이터!$E$2:$E$20000,설정!$B$4)=0),"",$B391/SUMIFS(데이터!$C$2:$C$20000,데이터!$A$2:$A$20000,$A391,데이터!$E$2:$E$20000,설정!$B$4)-1),"")</f>
        <v/>
      </c>
      <c r="F391" s="5">
        <f>IFERROR(IF(OR($B391="",COUNTIFS(데이터!$A$2:$A$20000,$A391,데이터!$E$2:$E$20000,설정!$B$5)=0),"",$B391/SUMIFS(데이터!$C$2:$C$20000,데이터!$A$2:$A$20000,$A391,데이터!$E$2:$E$20000,설정!$B$5)-1),"")</f>
        <v/>
      </c>
      <c r="G391" s="5">
        <f>IFERROR(IF(OR($B391="",COUNTIFS(데이터!$A$2:$A$20000,$A391,데이터!$E$2:$E$20000,설정!$B$6)=0),"",$B391/SUMIFS(데이터!$C$2:$C$20000,데이터!$A$2:$A$20000,$A391,데이터!$E$2:$E$20000,설정!$B$6)-1),"")</f>
        <v/>
      </c>
      <c r="H391" s="5">
        <f>IFERROR(IF(OR($B391="",COUNTIFS(데이터!$A$2:$A$20000,$A391,데이터!$E$2:$E$20000,설정!$B$7)=0),"",$B391/SUMIFS(데이터!$C$2:$C$20000,데이터!$A$2:$A$20000,$A391,데이터!$E$2:$E$20000,설정!$B$7)-1),"")</f>
        <v/>
      </c>
      <c r="J391">
        <f>IF(C391="","",C391+ROW()*0.000000001)</f>
        <v/>
      </c>
      <c r="K391">
        <f>IF(D391="","",D391+ROW()*0.000000001)</f>
        <v/>
      </c>
      <c r="L391">
        <f>IF(E391="","",E391+ROW()*0.000000001)</f>
        <v/>
      </c>
      <c r="M391">
        <f>IF(F391="","",F391+ROW()*0.000000001)</f>
        <v/>
      </c>
      <c r="N391">
        <f>IF(G391="","",G391+ROW()*0.000000001)</f>
        <v/>
      </c>
      <c r="O391">
        <f>IF(H391="","",H391+ROW()*0.000000001)</f>
        <v/>
      </c>
    </row>
    <row r="392">
      <c r="B392" s="4">
        <f>IF($A392="","",IF(COUNTIFS(데이터!$A$2:$A$20000,$A392,데이터!$E$2:$E$20000,1)=0,"",SUMIFS(데이터!$C$2:$C$20000,데이터!$A$2:$A$20000,$A392,데이터!$E$2:$E$20000,1)))</f>
        <v/>
      </c>
      <c r="C392" s="5">
        <f>IFERROR(IF(OR($B392="",COUNTIFS(데이터!$A$2:$A$20000,$A392,데이터!$E$2:$E$20000,설정!$B$2)=0),"",$B392/SUMIFS(데이터!$C$2:$C$20000,데이터!$A$2:$A$20000,$A392,데이터!$E$2:$E$20000,설정!$B$2)-1),"")</f>
        <v/>
      </c>
      <c r="D392" s="5">
        <f>IFERROR(IF(OR($B392="",COUNTIFS(데이터!$A$2:$A$20000,$A392,데이터!$E$2:$E$20000,설정!$B$3)=0),"",$B392/SUMIFS(데이터!$C$2:$C$20000,데이터!$A$2:$A$20000,$A392,데이터!$E$2:$E$20000,설정!$B$3)-1),"")</f>
        <v/>
      </c>
      <c r="E392" s="5">
        <f>IFERROR(IF(OR($B392="",COUNTIFS(데이터!$A$2:$A$20000,$A392,데이터!$E$2:$E$20000,설정!$B$4)=0),"",$B392/SUMIFS(데이터!$C$2:$C$20000,데이터!$A$2:$A$20000,$A392,데이터!$E$2:$E$20000,설정!$B$4)-1),"")</f>
        <v/>
      </c>
      <c r="F392" s="5">
        <f>IFERROR(IF(OR($B392="",COUNTIFS(데이터!$A$2:$A$20000,$A392,데이터!$E$2:$E$20000,설정!$B$5)=0),"",$B392/SUMIFS(데이터!$C$2:$C$20000,데이터!$A$2:$A$20000,$A392,데이터!$E$2:$E$20000,설정!$B$5)-1),"")</f>
        <v/>
      </c>
      <c r="G392" s="5">
        <f>IFERROR(IF(OR($B392="",COUNTIFS(데이터!$A$2:$A$20000,$A392,데이터!$E$2:$E$20000,설정!$B$6)=0),"",$B392/SUMIFS(데이터!$C$2:$C$20000,데이터!$A$2:$A$20000,$A392,데이터!$E$2:$E$20000,설정!$B$6)-1),"")</f>
        <v/>
      </c>
      <c r="H392" s="5">
        <f>IFERROR(IF(OR($B392="",COUNTIFS(데이터!$A$2:$A$20000,$A392,데이터!$E$2:$E$20000,설정!$B$7)=0),"",$B392/SUMIFS(데이터!$C$2:$C$20000,데이터!$A$2:$A$20000,$A392,데이터!$E$2:$E$20000,설정!$B$7)-1),"")</f>
        <v/>
      </c>
      <c r="J392">
        <f>IF(C392="","",C392+ROW()*0.000000001)</f>
        <v/>
      </c>
      <c r="K392">
        <f>IF(D392="","",D392+ROW()*0.000000001)</f>
        <v/>
      </c>
      <c r="L392">
        <f>IF(E392="","",E392+ROW()*0.000000001)</f>
        <v/>
      </c>
      <c r="M392">
        <f>IF(F392="","",F392+ROW()*0.000000001)</f>
        <v/>
      </c>
      <c r="N392">
        <f>IF(G392="","",G392+ROW()*0.000000001)</f>
        <v/>
      </c>
      <c r="O392">
        <f>IF(H392="","",H392+ROW()*0.000000001)</f>
        <v/>
      </c>
    </row>
    <row r="393">
      <c r="B393" s="4">
        <f>IF($A393="","",IF(COUNTIFS(데이터!$A$2:$A$20000,$A393,데이터!$E$2:$E$20000,1)=0,"",SUMIFS(데이터!$C$2:$C$20000,데이터!$A$2:$A$20000,$A393,데이터!$E$2:$E$20000,1)))</f>
        <v/>
      </c>
      <c r="C393" s="5">
        <f>IFERROR(IF(OR($B393="",COUNTIFS(데이터!$A$2:$A$20000,$A393,데이터!$E$2:$E$20000,설정!$B$2)=0),"",$B393/SUMIFS(데이터!$C$2:$C$20000,데이터!$A$2:$A$20000,$A393,데이터!$E$2:$E$20000,설정!$B$2)-1),"")</f>
        <v/>
      </c>
      <c r="D393" s="5">
        <f>IFERROR(IF(OR($B393="",COUNTIFS(데이터!$A$2:$A$20000,$A393,데이터!$E$2:$E$20000,설정!$B$3)=0),"",$B393/SUMIFS(데이터!$C$2:$C$20000,데이터!$A$2:$A$20000,$A393,데이터!$E$2:$E$20000,설정!$B$3)-1),"")</f>
        <v/>
      </c>
      <c r="E393" s="5">
        <f>IFERROR(IF(OR($B393="",COUNTIFS(데이터!$A$2:$A$20000,$A393,데이터!$E$2:$E$20000,설정!$B$4)=0),"",$B393/SUMIFS(데이터!$C$2:$C$20000,데이터!$A$2:$A$20000,$A393,데이터!$E$2:$E$20000,설정!$B$4)-1),"")</f>
        <v/>
      </c>
      <c r="F393" s="5">
        <f>IFERROR(IF(OR($B393="",COUNTIFS(데이터!$A$2:$A$20000,$A393,데이터!$E$2:$E$20000,설정!$B$5)=0),"",$B393/SUMIFS(데이터!$C$2:$C$20000,데이터!$A$2:$A$20000,$A393,데이터!$E$2:$E$20000,설정!$B$5)-1),"")</f>
        <v/>
      </c>
      <c r="G393" s="5">
        <f>IFERROR(IF(OR($B393="",COUNTIFS(데이터!$A$2:$A$20000,$A393,데이터!$E$2:$E$20000,설정!$B$6)=0),"",$B393/SUMIFS(데이터!$C$2:$C$20000,데이터!$A$2:$A$20000,$A393,데이터!$E$2:$E$20000,설정!$B$6)-1),"")</f>
        <v/>
      </c>
      <c r="H393" s="5">
        <f>IFERROR(IF(OR($B393="",COUNTIFS(데이터!$A$2:$A$20000,$A393,데이터!$E$2:$E$20000,설정!$B$7)=0),"",$B393/SUMIFS(데이터!$C$2:$C$20000,데이터!$A$2:$A$20000,$A393,데이터!$E$2:$E$20000,설정!$B$7)-1),"")</f>
        <v/>
      </c>
      <c r="J393">
        <f>IF(C393="","",C393+ROW()*0.000000001)</f>
        <v/>
      </c>
      <c r="K393">
        <f>IF(D393="","",D393+ROW()*0.000000001)</f>
        <v/>
      </c>
      <c r="L393">
        <f>IF(E393="","",E393+ROW()*0.000000001)</f>
        <v/>
      </c>
      <c r="M393">
        <f>IF(F393="","",F393+ROW()*0.000000001)</f>
        <v/>
      </c>
      <c r="N393">
        <f>IF(G393="","",G393+ROW()*0.000000001)</f>
        <v/>
      </c>
      <c r="O393">
        <f>IF(H393="","",H393+ROW()*0.000000001)</f>
        <v/>
      </c>
    </row>
    <row r="394">
      <c r="B394" s="4">
        <f>IF($A394="","",IF(COUNTIFS(데이터!$A$2:$A$20000,$A394,데이터!$E$2:$E$20000,1)=0,"",SUMIFS(데이터!$C$2:$C$20000,데이터!$A$2:$A$20000,$A394,데이터!$E$2:$E$20000,1)))</f>
        <v/>
      </c>
      <c r="C394" s="5">
        <f>IFERROR(IF(OR($B394="",COUNTIFS(데이터!$A$2:$A$20000,$A394,데이터!$E$2:$E$20000,설정!$B$2)=0),"",$B394/SUMIFS(데이터!$C$2:$C$20000,데이터!$A$2:$A$20000,$A394,데이터!$E$2:$E$20000,설정!$B$2)-1),"")</f>
        <v/>
      </c>
      <c r="D394" s="5">
        <f>IFERROR(IF(OR($B394="",COUNTIFS(데이터!$A$2:$A$20000,$A394,데이터!$E$2:$E$20000,설정!$B$3)=0),"",$B394/SUMIFS(데이터!$C$2:$C$20000,데이터!$A$2:$A$20000,$A394,데이터!$E$2:$E$20000,설정!$B$3)-1),"")</f>
        <v/>
      </c>
      <c r="E394" s="5">
        <f>IFERROR(IF(OR($B394="",COUNTIFS(데이터!$A$2:$A$20000,$A394,데이터!$E$2:$E$20000,설정!$B$4)=0),"",$B394/SUMIFS(데이터!$C$2:$C$20000,데이터!$A$2:$A$20000,$A394,데이터!$E$2:$E$20000,설정!$B$4)-1),"")</f>
        <v/>
      </c>
      <c r="F394" s="5">
        <f>IFERROR(IF(OR($B394="",COUNTIFS(데이터!$A$2:$A$20000,$A394,데이터!$E$2:$E$20000,설정!$B$5)=0),"",$B394/SUMIFS(데이터!$C$2:$C$20000,데이터!$A$2:$A$20000,$A394,데이터!$E$2:$E$20000,설정!$B$5)-1),"")</f>
        <v/>
      </c>
      <c r="G394" s="5">
        <f>IFERROR(IF(OR($B394="",COUNTIFS(데이터!$A$2:$A$20000,$A394,데이터!$E$2:$E$20000,설정!$B$6)=0),"",$B394/SUMIFS(데이터!$C$2:$C$20000,데이터!$A$2:$A$20000,$A394,데이터!$E$2:$E$20000,설정!$B$6)-1),"")</f>
        <v/>
      </c>
      <c r="H394" s="5">
        <f>IFERROR(IF(OR($B394="",COUNTIFS(데이터!$A$2:$A$20000,$A394,데이터!$E$2:$E$20000,설정!$B$7)=0),"",$B394/SUMIFS(데이터!$C$2:$C$20000,데이터!$A$2:$A$20000,$A394,데이터!$E$2:$E$20000,설정!$B$7)-1),"")</f>
        <v/>
      </c>
      <c r="J394">
        <f>IF(C394="","",C394+ROW()*0.000000001)</f>
        <v/>
      </c>
      <c r="K394">
        <f>IF(D394="","",D394+ROW()*0.000000001)</f>
        <v/>
      </c>
      <c r="L394">
        <f>IF(E394="","",E394+ROW()*0.000000001)</f>
        <v/>
      </c>
      <c r="M394">
        <f>IF(F394="","",F394+ROW()*0.000000001)</f>
        <v/>
      </c>
      <c r="N394">
        <f>IF(G394="","",G394+ROW()*0.000000001)</f>
        <v/>
      </c>
      <c r="O394">
        <f>IF(H394="","",H394+ROW()*0.000000001)</f>
        <v/>
      </c>
    </row>
    <row r="395">
      <c r="B395" s="4">
        <f>IF($A395="","",IF(COUNTIFS(데이터!$A$2:$A$20000,$A395,데이터!$E$2:$E$20000,1)=0,"",SUMIFS(데이터!$C$2:$C$20000,데이터!$A$2:$A$20000,$A395,데이터!$E$2:$E$20000,1)))</f>
        <v/>
      </c>
      <c r="C395" s="5">
        <f>IFERROR(IF(OR($B395="",COUNTIFS(데이터!$A$2:$A$20000,$A395,데이터!$E$2:$E$20000,설정!$B$2)=0),"",$B395/SUMIFS(데이터!$C$2:$C$20000,데이터!$A$2:$A$20000,$A395,데이터!$E$2:$E$20000,설정!$B$2)-1),"")</f>
        <v/>
      </c>
      <c r="D395" s="5">
        <f>IFERROR(IF(OR($B395="",COUNTIFS(데이터!$A$2:$A$20000,$A395,데이터!$E$2:$E$20000,설정!$B$3)=0),"",$B395/SUMIFS(데이터!$C$2:$C$20000,데이터!$A$2:$A$20000,$A395,데이터!$E$2:$E$20000,설정!$B$3)-1),"")</f>
        <v/>
      </c>
      <c r="E395" s="5">
        <f>IFERROR(IF(OR($B395="",COUNTIFS(데이터!$A$2:$A$20000,$A395,데이터!$E$2:$E$20000,설정!$B$4)=0),"",$B395/SUMIFS(데이터!$C$2:$C$20000,데이터!$A$2:$A$20000,$A395,데이터!$E$2:$E$20000,설정!$B$4)-1),"")</f>
        <v/>
      </c>
      <c r="F395" s="5">
        <f>IFERROR(IF(OR($B395="",COUNTIFS(데이터!$A$2:$A$20000,$A395,데이터!$E$2:$E$20000,설정!$B$5)=0),"",$B395/SUMIFS(데이터!$C$2:$C$20000,데이터!$A$2:$A$20000,$A395,데이터!$E$2:$E$20000,설정!$B$5)-1),"")</f>
        <v/>
      </c>
      <c r="G395" s="5">
        <f>IFERROR(IF(OR($B395="",COUNTIFS(데이터!$A$2:$A$20000,$A395,데이터!$E$2:$E$20000,설정!$B$6)=0),"",$B395/SUMIFS(데이터!$C$2:$C$20000,데이터!$A$2:$A$20000,$A395,데이터!$E$2:$E$20000,설정!$B$6)-1),"")</f>
        <v/>
      </c>
      <c r="H395" s="5">
        <f>IFERROR(IF(OR($B395="",COUNTIFS(데이터!$A$2:$A$20000,$A395,데이터!$E$2:$E$20000,설정!$B$7)=0),"",$B395/SUMIFS(데이터!$C$2:$C$20000,데이터!$A$2:$A$20000,$A395,데이터!$E$2:$E$20000,설정!$B$7)-1),"")</f>
        <v/>
      </c>
      <c r="J395">
        <f>IF(C395="","",C395+ROW()*0.000000001)</f>
        <v/>
      </c>
      <c r="K395">
        <f>IF(D395="","",D395+ROW()*0.000000001)</f>
        <v/>
      </c>
      <c r="L395">
        <f>IF(E395="","",E395+ROW()*0.000000001)</f>
        <v/>
      </c>
      <c r="M395">
        <f>IF(F395="","",F395+ROW()*0.000000001)</f>
        <v/>
      </c>
      <c r="N395">
        <f>IF(G395="","",G395+ROW()*0.000000001)</f>
        <v/>
      </c>
      <c r="O395">
        <f>IF(H395="","",H395+ROW()*0.000000001)</f>
        <v/>
      </c>
    </row>
    <row r="396">
      <c r="B396" s="4">
        <f>IF($A396="","",IF(COUNTIFS(데이터!$A$2:$A$20000,$A396,데이터!$E$2:$E$20000,1)=0,"",SUMIFS(데이터!$C$2:$C$20000,데이터!$A$2:$A$20000,$A396,데이터!$E$2:$E$20000,1)))</f>
        <v/>
      </c>
      <c r="C396" s="5">
        <f>IFERROR(IF(OR($B396="",COUNTIFS(데이터!$A$2:$A$20000,$A396,데이터!$E$2:$E$20000,설정!$B$2)=0),"",$B396/SUMIFS(데이터!$C$2:$C$20000,데이터!$A$2:$A$20000,$A396,데이터!$E$2:$E$20000,설정!$B$2)-1),"")</f>
        <v/>
      </c>
      <c r="D396" s="5">
        <f>IFERROR(IF(OR($B396="",COUNTIFS(데이터!$A$2:$A$20000,$A396,데이터!$E$2:$E$20000,설정!$B$3)=0),"",$B396/SUMIFS(데이터!$C$2:$C$20000,데이터!$A$2:$A$20000,$A396,데이터!$E$2:$E$20000,설정!$B$3)-1),"")</f>
        <v/>
      </c>
      <c r="E396" s="5">
        <f>IFERROR(IF(OR($B396="",COUNTIFS(데이터!$A$2:$A$20000,$A396,데이터!$E$2:$E$20000,설정!$B$4)=0),"",$B396/SUMIFS(데이터!$C$2:$C$20000,데이터!$A$2:$A$20000,$A396,데이터!$E$2:$E$20000,설정!$B$4)-1),"")</f>
        <v/>
      </c>
      <c r="F396" s="5">
        <f>IFERROR(IF(OR($B396="",COUNTIFS(데이터!$A$2:$A$20000,$A396,데이터!$E$2:$E$20000,설정!$B$5)=0),"",$B396/SUMIFS(데이터!$C$2:$C$20000,데이터!$A$2:$A$20000,$A396,데이터!$E$2:$E$20000,설정!$B$5)-1),"")</f>
        <v/>
      </c>
      <c r="G396" s="5">
        <f>IFERROR(IF(OR($B396="",COUNTIFS(데이터!$A$2:$A$20000,$A396,데이터!$E$2:$E$20000,설정!$B$6)=0),"",$B396/SUMIFS(데이터!$C$2:$C$20000,데이터!$A$2:$A$20000,$A396,데이터!$E$2:$E$20000,설정!$B$6)-1),"")</f>
        <v/>
      </c>
      <c r="H396" s="5">
        <f>IFERROR(IF(OR($B396="",COUNTIFS(데이터!$A$2:$A$20000,$A396,데이터!$E$2:$E$20000,설정!$B$7)=0),"",$B396/SUMIFS(데이터!$C$2:$C$20000,데이터!$A$2:$A$20000,$A396,데이터!$E$2:$E$20000,설정!$B$7)-1),"")</f>
        <v/>
      </c>
      <c r="J396">
        <f>IF(C396="","",C396+ROW()*0.000000001)</f>
        <v/>
      </c>
      <c r="K396">
        <f>IF(D396="","",D396+ROW()*0.000000001)</f>
        <v/>
      </c>
      <c r="L396">
        <f>IF(E396="","",E396+ROW()*0.000000001)</f>
        <v/>
      </c>
      <c r="M396">
        <f>IF(F396="","",F396+ROW()*0.000000001)</f>
        <v/>
      </c>
      <c r="N396">
        <f>IF(G396="","",G396+ROW()*0.000000001)</f>
        <v/>
      </c>
      <c r="O396">
        <f>IF(H396="","",H396+ROW()*0.000000001)</f>
        <v/>
      </c>
    </row>
    <row r="397">
      <c r="B397" s="4">
        <f>IF($A397="","",IF(COUNTIFS(데이터!$A$2:$A$20000,$A397,데이터!$E$2:$E$20000,1)=0,"",SUMIFS(데이터!$C$2:$C$20000,데이터!$A$2:$A$20000,$A397,데이터!$E$2:$E$20000,1)))</f>
        <v/>
      </c>
      <c r="C397" s="5">
        <f>IFERROR(IF(OR($B397="",COUNTIFS(데이터!$A$2:$A$20000,$A397,데이터!$E$2:$E$20000,설정!$B$2)=0),"",$B397/SUMIFS(데이터!$C$2:$C$20000,데이터!$A$2:$A$20000,$A397,데이터!$E$2:$E$20000,설정!$B$2)-1),"")</f>
        <v/>
      </c>
      <c r="D397" s="5">
        <f>IFERROR(IF(OR($B397="",COUNTIFS(데이터!$A$2:$A$20000,$A397,데이터!$E$2:$E$20000,설정!$B$3)=0),"",$B397/SUMIFS(데이터!$C$2:$C$20000,데이터!$A$2:$A$20000,$A397,데이터!$E$2:$E$20000,설정!$B$3)-1),"")</f>
        <v/>
      </c>
      <c r="E397" s="5">
        <f>IFERROR(IF(OR($B397="",COUNTIFS(데이터!$A$2:$A$20000,$A397,데이터!$E$2:$E$20000,설정!$B$4)=0),"",$B397/SUMIFS(데이터!$C$2:$C$20000,데이터!$A$2:$A$20000,$A397,데이터!$E$2:$E$20000,설정!$B$4)-1),"")</f>
        <v/>
      </c>
      <c r="F397" s="5">
        <f>IFERROR(IF(OR($B397="",COUNTIFS(데이터!$A$2:$A$20000,$A397,데이터!$E$2:$E$20000,설정!$B$5)=0),"",$B397/SUMIFS(데이터!$C$2:$C$20000,데이터!$A$2:$A$20000,$A397,데이터!$E$2:$E$20000,설정!$B$5)-1),"")</f>
        <v/>
      </c>
      <c r="G397" s="5">
        <f>IFERROR(IF(OR($B397="",COUNTIFS(데이터!$A$2:$A$20000,$A397,데이터!$E$2:$E$20000,설정!$B$6)=0),"",$B397/SUMIFS(데이터!$C$2:$C$20000,데이터!$A$2:$A$20000,$A397,데이터!$E$2:$E$20000,설정!$B$6)-1),"")</f>
        <v/>
      </c>
      <c r="H397" s="5">
        <f>IFERROR(IF(OR($B397="",COUNTIFS(데이터!$A$2:$A$20000,$A397,데이터!$E$2:$E$20000,설정!$B$7)=0),"",$B397/SUMIFS(데이터!$C$2:$C$20000,데이터!$A$2:$A$20000,$A397,데이터!$E$2:$E$20000,설정!$B$7)-1),"")</f>
        <v/>
      </c>
      <c r="J397">
        <f>IF(C397="","",C397+ROW()*0.000000001)</f>
        <v/>
      </c>
      <c r="K397">
        <f>IF(D397="","",D397+ROW()*0.000000001)</f>
        <v/>
      </c>
      <c r="L397">
        <f>IF(E397="","",E397+ROW()*0.000000001)</f>
        <v/>
      </c>
      <c r="M397">
        <f>IF(F397="","",F397+ROW()*0.000000001)</f>
        <v/>
      </c>
      <c r="N397">
        <f>IF(G397="","",G397+ROW()*0.000000001)</f>
        <v/>
      </c>
      <c r="O397">
        <f>IF(H397="","",H397+ROW()*0.000000001)</f>
        <v/>
      </c>
    </row>
    <row r="398">
      <c r="B398" s="4">
        <f>IF($A398="","",IF(COUNTIFS(데이터!$A$2:$A$20000,$A398,데이터!$E$2:$E$20000,1)=0,"",SUMIFS(데이터!$C$2:$C$20000,데이터!$A$2:$A$20000,$A398,데이터!$E$2:$E$20000,1)))</f>
        <v/>
      </c>
      <c r="C398" s="5">
        <f>IFERROR(IF(OR($B398="",COUNTIFS(데이터!$A$2:$A$20000,$A398,데이터!$E$2:$E$20000,설정!$B$2)=0),"",$B398/SUMIFS(데이터!$C$2:$C$20000,데이터!$A$2:$A$20000,$A398,데이터!$E$2:$E$20000,설정!$B$2)-1),"")</f>
        <v/>
      </c>
      <c r="D398" s="5">
        <f>IFERROR(IF(OR($B398="",COUNTIFS(데이터!$A$2:$A$20000,$A398,데이터!$E$2:$E$20000,설정!$B$3)=0),"",$B398/SUMIFS(데이터!$C$2:$C$20000,데이터!$A$2:$A$20000,$A398,데이터!$E$2:$E$20000,설정!$B$3)-1),"")</f>
        <v/>
      </c>
      <c r="E398" s="5">
        <f>IFERROR(IF(OR($B398="",COUNTIFS(데이터!$A$2:$A$20000,$A398,데이터!$E$2:$E$20000,설정!$B$4)=0),"",$B398/SUMIFS(데이터!$C$2:$C$20000,데이터!$A$2:$A$20000,$A398,데이터!$E$2:$E$20000,설정!$B$4)-1),"")</f>
        <v/>
      </c>
      <c r="F398" s="5">
        <f>IFERROR(IF(OR($B398="",COUNTIFS(데이터!$A$2:$A$20000,$A398,데이터!$E$2:$E$20000,설정!$B$5)=0),"",$B398/SUMIFS(데이터!$C$2:$C$20000,데이터!$A$2:$A$20000,$A398,데이터!$E$2:$E$20000,설정!$B$5)-1),"")</f>
        <v/>
      </c>
      <c r="G398" s="5">
        <f>IFERROR(IF(OR($B398="",COUNTIFS(데이터!$A$2:$A$20000,$A398,데이터!$E$2:$E$20000,설정!$B$6)=0),"",$B398/SUMIFS(데이터!$C$2:$C$20000,데이터!$A$2:$A$20000,$A398,데이터!$E$2:$E$20000,설정!$B$6)-1),"")</f>
        <v/>
      </c>
      <c r="H398" s="5">
        <f>IFERROR(IF(OR($B398="",COUNTIFS(데이터!$A$2:$A$20000,$A398,데이터!$E$2:$E$20000,설정!$B$7)=0),"",$B398/SUMIFS(데이터!$C$2:$C$20000,데이터!$A$2:$A$20000,$A398,데이터!$E$2:$E$20000,설정!$B$7)-1),"")</f>
        <v/>
      </c>
      <c r="J398">
        <f>IF(C398="","",C398+ROW()*0.000000001)</f>
        <v/>
      </c>
      <c r="K398">
        <f>IF(D398="","",D398+ROW()*0.000000001)</f>
        <v/>
      </c>
      <c r="L398">
        <f>IF(E398="","",E398+ROW()*0.000000001)</f>
        <v/>
      </c>
      <c r="M398">
        <f>IF(F398="","",F398+ROW()*0.000000001)</f>
        <v/>
      </c>
      <c r="N398">
        <f>IF(G398="","",G398+ROW()*0.000000001)</f>
        <v/>
      </c>
      <c r="O398">
        <f>IF(H398="","",H398+ROW()*0.000000001)</f>
        <v/>
      </c>
    </row>
    <row r="399">
      <c r="B399" s="4">
        <f>IF($A399="","",IF(COUNTIFS(데이터!$A$2:$A$20000,$A399,데이터!$E$2:$E$20000,1)=0,"",SUMIFS(데이터!$C$2:$C$20000,데이터!$A$2:$A$20000,$A399,데이터!$E$2:$E$20000,1)))</f>
        <v/>
      </c>
      <c r="C399" s="5">
        <f>IFERROR(IF(OR($B399="",COUNTIFS(데이터!$A$2:$A$20000,$A399,데이터!$E$2:$E$20000,설정!$B$2)=0),"",$B399/SUMIFS(데이터!$C$2:$C$20000,데이터!$A$2:$A$20000,$A399,데이터!$E$2:$E$20000,설정!$B$2)-1),"")</f>
        <v/>
      </c>
      <c r="D399" s="5">
        <f>IFERROR(IF(OR($B399="",COUNTIFS(데이터!$A$2:$A$20000,$A399,데이터!$E$2:$E$20000,설정!$B$3)=0),"",$B399/SUMIFS(데이터!$C$2:$C$20000,데이터!$A$2:$A$20000,$A399,데이터!$E$2:$E$20000,설정!$B$3)-1),"")</f>
        <v/>
      </c>
      <c r="E399" s="5">
        <f>IFERROR(IF(OR($B399="",COUNTIFS(데이터!$A$2:$A$20000,$A399,데이터!$E$2:$E$20000,설정!$B$4)=0),"",$B399/SUMIFS(데이터!$C$2:$C$20000,데이터!$A$2:$A$20000,$A399,데이터!$E$2:$E$20000,설정!$B$4)-1),"")</f>
        <v/>
      </c>
      <c r="F399" s="5">
        <f>IFERROR(IF(OR($B399="",COUNTIFS(데이터!$A$2:$A$20000,$A399,데이터!$E$2:$E$20000,설정!$B$5)=0),"",$B399/SUMIFS(데이터!$C$2:$C$20000,데이터!$A$2:$A$20000,$A399,데이터!$E$2:$E$20000,설정!$B$5)-1),"")</f>
        <v/>
      </c>
      <c r="G399" s="5">
        <f>IFERROR(IF(OR($B399="",COUNTIFS(데이터!$A$2:$A$20000,$A399,데이터!$E$2:$E$20000,설정!$B$6)=0),"",$B399/SUMIFS(데이터!$C$2:$C$20000,데이터!$A$2:$A$20000,$A399,데이터!$E$2:$E$20000,설정!$B$6)-1),"")</f>
        <v/>
      </c>
      <c r="H399" s="5">
        <f>IFERROR(IF(OR($B399="",COUNTIFS(데이터!$A$2:$A$20000,$A399,데이터!$E$2:$E$20000,설정!$B$7)=0),"",$B399/SUMIFS(데이터!$C$2:$C$20000,데이터!$A$2:$A$20000,$A399,데이터!$E$2:$E$20000,설정!$B$7)-1),"")</f>
        <v/>
      </c>
      <c r="J399">
        <f>IF(C399="","",C399+ROW()*0.000000001)</f>
        <v/>
      </c>
      <c r="K399">
        <f>IF(D399="","",D399+ROW()*0.000000001)</f>
        <v/>
      </c>
      <c r="L399">
        <f>IF(E399="","",E399+ROW()*0.000000001)</f>
        <v/>
      </c>
      <c r="M399">
        <f>IF(F399="","",F399+ROW()*0.000000001)</f>
        <v/>
      </c>
      <c r="N399">
        <f>IF(G399="","",G399+ROW()*0.000000001)</f>
        <v/>
      </c>
      <c r="O399">
        <f>IF(H399="","",H399+ROW()*0.000000001)</f>
        <v/>
      </c>
    </row>
    <row r="400">
      <c r="B400" s="4">
        <f>IF($A400="","",IF(COUNTIFS(데이터!$A$2:$A$20000,$A400,데이터!$E$2:$E$20000,1)=0,"",SUMIFS(데이터!$C$2:$C$20000,데이터!$A$2:$A$20000,$A400,데이터!$E$2:$E$20000,1)))</f>
        <v/>
      </c>
      <c r="C400" s="5">
        <f>IFERROR(IF(OR($B400="",COUNTIFS(데이터!$A$2:$A$20000,$A400,데이터!$E$2:$E$20000,설정!$B$2)=0),"",$B400/SUMIFS(데이터!$C$2:$C$20000,데이터!$A$2:$A$20000,$A400,데이터!$E$2:$E$20000,설정!$B$2)-1),"")</f>
        <v/>
      </c>
      <c r="D400" s="5">
        <f>IFERROR(IF(OR($B400="",COUNTIFS(데이터!$A$2:$A$20000,$A400,데이터!$E$2:$E$20000,설정!$B$3)=0),"",$B400/SUMIFS(데이터!$C$2:$C$20000,데이터!$A$2:$A$20000,$A400,데이터!$E$2:$E$20000,설정!$B$3)-1),"")</f>
        <v/>
      </c>
      <c r="E400" s="5">
        <f>IFERROR(IF(OR($B400="",COUNTIFS(데이터!$A$2:$A$20000,$A400,데이터!$E$2:$E$20000,설정!$B$4)=0),"",$B400/SUMIFS(데이터!$C$2:$C$20000,데이터!$A$2:$A$20000,$A400,데이터!$E$2:$E$20000,설정!$B$4)-1),"")</f>
        <v/>
      </c>
      <c r="F400" s="5">
        <f>IFERROR(IF(OR($B400="",COUNTIFS(데이터!$A$2:$A$20000,$A400,데이터!$E$2:$E$20000,설정!$B$5)=0),"",$B400/SUMIFS(데이터!$C$2:$C$20000,데이터!$A$2:$A$20000,$A400,데이터!$E$2:$E$20000,설정!$B$5)-1),"")</f>
        <v/>
      </c>
      <c r="G400" s="5">
        <f>IFERROR(IF(OR($B400="",COUNTIFS(데이터!$A$2:$A$20000,$A400,데이터!$E$2:$E$20000,설정!$B$6)=0),"",$B400/SUMIFS(데이터!$C$2:$C$20000,데이터!$A$2:$A$20000,$A400,데이터!$E$2:$E$20000,설정!$B$6)-1),"")</f>
        <v/>
      </c>
      <c r="H400" s="5">
        <f>IFERROR(IF(OR($B400="",COUNTIFS(데이터!$A$2:$A$20000,$A400,데이터!$E$2:$E$20000,설정!$B$7)=0),"",$B400/SUMIFS(데이터!$C$2:$C$20000,데이터!$A$2:$A$20000,$A400,데이터!$E$2:$E$20000,설정!$B$7)-1),"")</f>
        <v/>
      </c>
      <c r="J400">
        <f>IF(C400="","",C400+ROW()*0.000000001)</f>
        <v/>
      </c>
      <c r="K400">
        <f>IF(D400="","",D400+ROW()*0.000000001)</f>
        <v/>
      </c>
      <c r="L400">
        <f>IF(E400="","",E400+ROW()*0.000000001)</f>
        <v/>
      </c>
      <c r="M400">
        <f>IF(F400="","",F400+ROW()*0.000000001)</f>
        <v/>
      </c>
      <c r="N400">
        <f>IF(G400="","",G400+ROW()*0.000000001)</f>
        <v/>
      </c>
      <c r="O400">
        <f>IF(H400="","",H400+ROW()*0.000000001)</f>
        <v/>
      </c>
    </row>
    <row r="401">
      <c r="B401" s="4">
        <f>IF($A401="","",IF(COUNTIFS(데이터!$A$2:$A$20000,$A401,데이터!$E$2:$E$20000,1)=0,"",SUMIFS(데이터!$C$2:$C$20000,데이터!$A$2:$A$20000,$A401,데이터!$E$2:$E$20000,1)))</f>
        <v/>
      </c>
      <c r="C401" s="5">
        <f>IFERROR(IF(OR($B401="",COUNTIFS(데이터!$A$2:$A$20000,$A401,데이터!$E$2:$E$20000,설정!$B$2)=0),"",$B401/SUMIFS(데이터!$C$2:$C$20000,데이터!$A$2:$A$20000,$A401,데이터!$E$2:$E$20000,설정!$B$2)-1),"")</f>
        <v/>
      </c>
      <c r="D401" s="5">
        <f>IFERROR(IF(OR($B401="",COUNTIFS(데이터!$A$2:$A$20000,$A401,데이터!$E$2:$E$20000,설정!$B$3)=0),"",$B401/SUMIFS(데이터!$C$2:$C$20000,데이터!$A$2:$A$20000,$A401,데이터!$E$2:$E$20000,설정!$B$3)-1),"")</f>
        <v/>
      </c>
      <c r="E401" s="5">
        <f>IFERROR(IF(OR($B401="",COUNTIFS(데이터!$A$2:$A$20000,$A401,데이터!$E$2:$E$20000,설정!$B$4)=0),"",$B401/SUMIFS(데이터!$C$2:$C$20000,데이터!$A$2:$A$20000,$A401,데이터!$E$2:$E$20000,설정!$B$4)-1),"")</f>
        <v/>
      </c>
      <c r="F401" s="5">
        <f>IFERROR(IF(OR($B401="",COUNTIFS(데이터!$A$2:$A$20000,$A401,데이터!$E$2:$E$20000,설정!$B$5)=0),"",$B401/SUMIFS(데이터!$C$2:$C$20000,데이터!$A$2:$A$20000,$A401,데이터!$E$2:$E$20000,설정!$B$5)-1),"")</f>
        <v/>
      </c>
      <c r="G401" s="5">
        <f>IFERROR(IF(OR($B401="",COUNTIFS(데이터!$A$2:$A$20000,$A401,데이터!$E$2:$E$20000,설정!$B$6)=0),"",$B401/SUMIFS(데이터!$C$2:$C$20000,데이터!$A$2:$A$20000,$A401,데이터!$E$2:$E$20000,설정!$B$6)-1),"")</f>
        <v/>
      </c>
      <c r="H401" s="5">
        <f>IFERROR(IF(OR($B401="",COUNTIFS(데이터!$A$2:$A$20000,$A401,데이터!$E$2:$E$20000,설정!$B$7)=0),"",$B401/SUMIFS(데이터!$C$2:$C$20000,데이터!$A$2:$A$20000,$A401,데이터!$E$2:$E$20000,설정!$B$7)-1),"")</f>
        <v/>
      </c>
      <c r="J401">
        <f>IF(C401="","",C401+ROW()*0.000000001)</f>
        <v/>
      </c>
      <c r="K401">
        <f>IF(D401="","",D401+ROW()*0.000000001)</f>
        <v/>
      </c>
      <c r="L401">
        <f>IF(E401="","",E401+ROW()*0.000000001)</f>
        <v/>
      </c>
      <c r="M401">
        <f>IF(F401="","",F401+ROW()*0.000000001)</f>
        <v/>
      </c>
      <c r="N401">
        <f>IF(G401="","",G401+ROW()*0.000000001)</f>
        <v/>
      </c>
      <c r="O401">
        <f>IF(H401="","",H401+ROW()*0.000000001)</f>
        <v/>
      </c>
    </row>
    <row r="402">
      <c r="B402" s="4">
        <f>IF($A402="","",IF(COUNTIFS(데이터!$A$2:$A$20000,$A402,데이터!$E$2:$E$20000,1)=0,"",SUMIFS(데이터!$C$2:$C$20000,데이터!$A$2:$A$20000,$A402,데이터!$E$2:$E$20000,1)))</f>
        <v/>
      </c>
      <c r="C402" s="5">
        <f>IFERROR(IF(OR($B402="",COUNTIFS(데이터!$A$2:$A$20000,$A402,데이터!$E$2:$E$20000,설정!$B$2)=0),"",$B402/SUMIFS(데이터!$C$2:$C$20000,데이터!$A$2:$A$20000,$A402,데이터!$E$2:$E$20000,설정!$B$2)-1),"")</f>
        <v/>
      </c>
      <c r="D402" s="5">
        <f>IFERROR(IF(OR($B402="",COUNTIFS(데이터!$A$2:$A$20000,$A402,데이터!$E$2:$E$20000,설정!$B$3)=0),"",$B402/SUMIFS(데이터!$C$2:$C$20000,데이터!$A$2:$A$20000,$A402,데이터!$E$2:$E$20000,설정!$B$3)-1),"")</f>
        <v/>
      </c>
      <c r="E402" s="5">
        <f>IFERROR(IF(OR($B402="",COUNTIFS(데이터!$A$2:$A$20000,$A402,데이터!$E$2:$E$20000,설정!$B$4)=0),"",$B402/SUMIFS(데이터!$C$2:$C$20000,데이터!$A$2:$A$20000,$A402,데이터!$E$2:$E$20000,설정!$B$4)-1),"")</f>
        <v/>
      </c>
      <c r="F402" s="5">
        <f>IFERROR(IF(OR($B402="",COUNTIFS(데이터!$A$2:$A$20000,$A402,데이터!$E$2:$E$20000,설정!$B$5)=0),"",$B402/SUMIFS(데이터!$C$2:$C$20000,데이터!$A$2:$A$20000,$A402,데이터!$E$2:$E$20000,설정!$B$5)-1),"")</f>
        <v/>
      </c>
      <c r="G402" s="5">
        <f>IFERROR(IF(OR($B402="",COUNTIFS(데이터!$A$2:$A$20000,$A402,데이터!$E$2:$E$20000,설정!$B$6)=0),"",$B402/SUMIFS(데이터!$C$2:$C$20000,데이터!$A$2:$A$20000,$A402,데이터!$E$2:$E$20000,설정!$B$6)-1),"")</f>
        <v/>
      </c>
      <c r="H402" s="5">
        <f>IFERROR(IF(OR($B402="",COUNTIFS(데이터!$A$2:$A$20000,$A402,데이터!$E$2:$E$20000,설정!$B$7)=0),"",$B402/SUMIFS(데이터!$C$2:$C$20000,데이터!$A$2:$A$20000,$A402,데이터!$E$2:$E$20000,설정!$B$7)-1),"")</f>
        <v/>
      </c>
      <c r="J402">
        <f>IF(C402="","",C402+ROW()*0.000000001)</f>
        <v/>
      </c>
      <c r="K402">
        <f>IF(D402="","",D402+ROW()*0.000000001)</f>
        <v/>
      </c>
      <c r="L402">
        <f>IF(E402="","",E402+ROW()*0.000000001)</f>
        <v/>
      </c>
      <c r="M402">
        <f>IF(F402="","",F402+ROW()*0.000000001)</f>
        <v/>
      </c>
      <c r="N402">
        <f>IF(G402="","",G402+ROW()*0.000000001)</f>
        <v/>
      </c>
      <c r="O402">
        <f>IF(H402="","",H402+ROW()*0.000000001)</f>
        <v/>
      </c>
    </row>
    <row r="403">
      <c r="B403" s="4">
        <f>IF($A403="","",IF(COUNTIFS(데이터!$A$2:$A$20000,$A403,데이터!$E$2:$E$20000,1)=0,"",SUMIFS(데이터!$C$2:$C$20000,데이터!$A$2:$A$20000,$A403,데이터!$E$2:$E$20000,1)))</f>
        <v/>
      </c>
      <c r="C403" s="5">
        <f>IFERROR(IF(OR($B403="",COUNTIFS(데이터!$A$2:$A$20000,$A403,데이터!$E$2:$E$20000,설정!$B$2)=0),"",$B403/SUMIFS(데이터!$C$2:$C$20000,데이터!$A$2:$A$20000,$A403,데이터!$E$2:$E$20000,설정!$B$2)-1),"")</f>
        <v/>
      </c>
      <c r="D403" s="5">
        <f>IFERROR(IF(OR($B403="",COUNTIFS(데이터!$A$2:$A$20000,$A403,데이터!$E$2:$E$20000,설정!$B$3)=0),"",$B403/SUMIFS(데이터!$C$2:$C$20000,데이터!$A$2:$A$20000,$A403,데이터!$E$2:$E$20000,설정!$B$3)-1),"")</f>
        <v/>
      </c>
      <c r="E403" s="5">
        <f>IFERROR(IF(OR($B403="",COUNTIFS(데이터!$A$2:$A$20000,$A403,데이터!$E$2:$E$20000,설정!$B$4)=0),"",$B403/SUMIFS(데이터!$C$2:$C$20000,데이터!$A$2:$A$20000,$A403,데이터!$E$2:$E$20000,설정!$B$4)-1),"")</f>
        <v/>
      </c>
      <c r="F403" s="5">
        <f>IFERROR(IF(OR($B403="",COUNTIFS(데이터!$A$2:$A$20000,$A403,데이터!$E$2:$E$20000,설정!$B$5)=0),"",$B403/SUMIFS(데이터!$C$2:$C$20000,데이터!$A$2:$A$20000,$A403,데이터!$E$2:$E$20000,설정!$B$5)-1),"")</f>
        <v/>
      </c>
      <c r="G403" s="5">
        <f>IFERROR(IF(OR($B403="",COUNTIFS(데이터!$A$2:$A$20000,$A403,데이터!$E$2:$E$20000,설정!$B$6)=0),"",$B403/SUMIFS(데이터!$C$2:$C$20000,데이터!$A$2:$A$20000,$A403,데이터!$E$2:$E$20000,설정!$B$6)-1),"")</f>
        <v/>
      </c>
      <c r="H403" s="5">
        <f>IFERROR(IF(OR($B403="",COUNTIFS(데이터!$A$2:$A$20000,$A403,데이터!$E$2:$E$20000,설정!$B$7)=0),"",$B403/SUMIFS(데이터!$C$2:$C$20000,데이터!$A$2:$A$20000,$A403,데이터!$E$2:$E$20000,설정!$B$7)-1),"")</f>
        <v/>
      </c>
      <c r="J403">
        <f>IF(C403="","",C403+ROW()*0.000000001)</f>
        <v/>
      </c>
      <c r="K403">
        <f>IF(D403="","",D403+ROW()*0.000000001)</f>
        <v/>
      </c>
      <c r="L403">
        <f>IF(E403="","",E403+ROW()*0.000000001)</f>
        <v/>
      </c>
      <c r="M403">
        <f>IF(F403="","",F403+ROW()*0.000000001)</f>
        <v/>
      </c>
      <c r="N403">
        <f>IF(G403="","",G403+ROW()*0.000000001)</f>
        <v/>
      </c>
      <c r="O403">
        <f>IF(H403="","",H403+ROW()*0.000000001)</f>
        <v/>
      </c>
    </row>
    <row r="404">
      <c r="B404" s="4">
        <f>IF($A404="","",IF(COUNTIFS(데이터!$A$2:$A$20000,$A404,데이터!$E$2:$E$20000,1)=0,"",SUMIFS(데이터!$C$2:$C$20000,데이터!$A$2:$A$20000,$A404,데이터!$E$2:$E$20000,1)))</f>
        <v/>
      </c>
      <c r="C404" s="5">
        <f>IFERROR(IF(OR($B404="",COUNTIFS(데이터!$A$2:$A$20000,$A404,데이터!$E$2:$E$20000,설정!$B$2)=0),"",$B404/SUMIFS(데이터!$C$2:$C$20000,데이터!$A$2:$A$20000,$A404,데이터!$E$2:$E$20000,설정!$B$2)-1),"")</f>
        <v/>
      </c>
      <c r="D404" s="5">
        <f>IFERROR(IF(OR($B404="",COUNTIFS(데이터!$A$2:$A$20000,$A404,데이터!$E$2:$E$20000,설정!$B$3)=0),"",$B404/SUMIFS(데이터!$C$2:$C$20000,데이터!$A$2:$A$20000,$A404,데이터!$E$2:$E$20000,설정!$B$3)-1),"")</f>
        <v/>
      </c>
      <c r="E404" s="5">
        <f>IFERROR(IF(OR($B404="",COUNTIFS(데이터!$A$2:$A$20000,$A404,데이터!$E$2:$E$20000,설정!$B$4)=0),"",$B404/SUMIFS(데이터!$C$2:$C$20000,데이터!$A$2:$A$20000,$A404,데이터!$E$2:$E$20000,설정!$B$4)-1),"")</f>
        <v/>
      </c>
      <c r="F404" s="5">
        <f>IFERROR(IF(OR($B404="",COUNTIFS(데이터!$A$2:$A$20000,$A404,데이터!$E$2:$E$20000,설정!$B$5)=0),"",$B404/SUMIFS(데이터!$C$2:$C$20000,데이터!$A$2:$A$20000,$A404,데이터!$E$2:$E$20000,설정!$B$5)-1),"")</f>
        <v/>
      </c>
      <c r="G404" s="5">
        <f>IFERROR(IF(OR($B404="",COUNTIFS(데이터!$A$2:$A$20000,$A404,데이터!$E$2:$E$20000,설정!$B$6)=0),"",$B404/SUMIFS(데이터!$C$2:$C$20000,데이터!$A$2:$A$20000,$A404,데이터!$E$2:$E$20000,설정!$B$6)-1),"")</f>
        <v/>
      </c>
      <c r="H404" s="5">
        <f>IFERROR(IF(OR($B404="",COUNTIFS(데이터!$A$2:$A$20000,$A404,데이터!$E$2:$E$20000,설정!$B$7)=0),"",$B404/SUMIFS(데이터!$C$2:$C$20000,데이터!$A$2:$A$20000,$A404,데이터!$E$2:$E$20000,설정!$B$7)-1),"")</f>
        <v/>
      </c>
      <c r="J404">
        <f>IF(C404="","",C404+ROW()*0.000000001)</f>
        <v/>
      </c>
      <c r="K404">
        <f>IF(D404="","",D404+ROW()*0.000000001)</f>
        <v/>
      </c>
      <c r="L404">
        <f>IF(E404="","",E404+ROW()*0.000000001)</f>
        <v/>
      </c>
      <c r="M404">
        <f>IF(F404="","",F404+ROW()*0.000000001)</f>
        <v/>
      </c>
      <c r="N404">
        <f>IF(G404="","",G404+ROW()*0.000000001)</f>
        <v/>
      </c>
      <c r="O404">
        <f>IF(H404="","",H404+ROW()*0.000000001)</f>
        <v/>
      </c>
    </row>
    <row r="405">
      <c r="B405" s="4">
        <f>IF($A405="","",IF(COUNTIFS(데이터!$A$2:$A$20000,$A405,데이터!$E$2:$E$20000,1)=0,"",SUMIFS(데이터!$C$2:$C$20000,데이터!$A$2:$A$20000,$A405,데이터!$E$2:$E$20000,1)))</f>
        <v/>
      </c>
      <c r="C405" s="5">
        <f>IFERROR(IF(OR($B405="",COUNTIFS(데이터!$A$2:$A$20000,$A405,데이터!$E$2:$E$20000,설정!$B$2)=0),"",$B405/SUMIFS(데이터!$C$2:$C$20000,데이터!$A$2:$A$20000,$A405,데이터!$E$2:$E$20000,설정!$B$2)-1),"")</f>
        <v/>
      </c>
      <c r="D405" s="5">
        <f>IFERROR(IF(OR($B405="",COUNTIFS(데이터!$A$2:$A$20000,$A405,데이터!$E$2:$E$20000,설정!$B$3)=0),"",$B405/SUMIFS(데이터!$C$2:$C$20000,데이터!$A$2:$A$20000,$A405,데이터!$E$2:$E$20000,설정!$B$3)-1),"")</f>
        <v/>
      </c>
      <c r="E405" s="5">
        <f>IFERROR(IF(OR($B405="",COUNTIFS(데이터!$A$2:$A$20000,$A405,데이터!$E$2:$E$20000,설정!$B$4)=0),"",$B405/SUMIFS(데이터!$C$2:$C$20000,데이터!$A$2:$A$20000,$A405,데이터!$E$2:$E$20000,설정!$B$4)-1),"")</f>
        <v/>
      </c>
      <c r="F405" s="5">
        <f>IFERROR(IF(OR($B405="",COUNTIFS(데이터!$A$2:$A$20000,$A405,데이터!$E$2:$E$20000,설정!$B$5)=0),"",$B405/SUMIFS(데이터!$C$2:$C$20000,데이터!$A$2:$A$20000,$A405,데이터!$E$2:$E$20000,설정!$B$5)-1),"")</f>
        <v/>
      </c>
      <c r="G405" s="5">
        <f>IFERROR(IF(OR($B405="",COUNTIFS(데이터!$A$2:$A$20000,$A405,데이터!$E$2:$E$20000,설정!$B$6)=0),"",$B405/SUMIFS(데이터!$C$2:$C$20000,데이터!$A$2:$A$20000,$A405,데이터!$E$2:$E$20000,설정!$B$6)-1),"")</f>
        <v/>
      </c>
      <c r="H405" s="5">
        <f>IFERROR(IF(OR($B405="",COUNTIFS(데이터!$A$2:$A$20000,$A405,데이터!$E$2:$E$20000,설정!$B$7)=0),"",$B405/SUMIFS(데이터!$C$2:$C$20000,데이터!$A$2:$A$20000,$A405,데이터!$E$2:$E$20000,설정!$B$7)-1),"")</f>
        <v/>
      </c>
      <c r="J405">
        <f>IF(C405="","",C405+ROW()*0.000000001)</f>
        <v/>
      </c>
      <c r="K405">
        <f>IF(D405="","",D405+ROW()*0.000000001)</f>
        <v/>
      </c>
      <c r="L405">
        <f>IF(E405="","",E405+ROW()*0.000000001)</f>
        <v/>
      </c>
      <c r="M405">
        <f>IF(F405="","",F405+ROW()*0.000000001)</f>
        <v/>
      </c>
      <c r="N405">
        <f>IF(G405="","",G405+ROW()*0.000000001)</f>
        <v/>
      </c>
      <c r="O405">
        <f>IF(H405="","",H405+ROW()*0.000000001)</f>
        <v/>
      </c>
    </row>
    <row r="406">
      <c r="B406" s="4">
        <f>IF($A406="","",IF(COUNTIFS(데이터!$A$2:$A$20000,$A406,데이터!$E$2:$E$20000,1)=0,"",SUMIFS(데이터!$C$2:$C$20000,데이터!$A$2:$A$20000,$A406,데이터!$E$2:$E$20000,1)))</f>
        <v/>
      </c>
      <c r="C406" s="5">
        <f>IFERROR(IF(OR($B406="",COUNTIFS(데이터!$A$2:$A$20000,$A406,데이터!$E$2:$E$20000,설정!$B$2)=0),"",$B406/SUMIFS(데이터!$C$2:$C$20000,데이터!$A$2:$A$20000,$A406,데이터!$E$2:$E$20000,설정!$B$2)-1),"")</f>
        <v/>
      </c>
      <c r="D406" s="5">
        <f>IFERROR(IF(OR($B406="",COUNTIFS(데이터!$A$2:$A$20000,$A406,데이터!$E$2:$E$20000,설정!$B$3)=0),"",$B406/SUMIFS(데이터!$C$2:$C$20000,데이터!$A$2:$A$20000,$A406,데이터!$E$2:$E$20000,설정!$B$3)-1),"")</f>
        <v/>
      </c>
      <c r="E406" s="5">
        <f>IFERROR(IF(OR($B406="",COUNTIFS(데이터!$A$2:$A$20000,$A406,데이터!$E$2:$E$20000,설정!$B$4)=0),"",$B406/SUMIFS(데이터!$C$2:$C$20000,데이터!$A$2:$A$20000,$A406,데이터!$E$2:$E$20000,설정!$B$4)-1),"")</f>
        <v/>
      </c>
      <c r="F406" s="5">
        <f>IFERROR(IF(OR($B406="",COUNTIFS(데이터!$A$2:$A$20000,$A406,데이터!$E$2:$E$20000,설정!$B$5)=0),"",$B406/SUMIFS(데이터!$C$2:$C$20000,데이터!$A$2:$A$20000,$A406,데이터!$E$2:$E$20000,설정!$B$5)-1),"")</f>
        <v/>
      </c>
      <c r="G406" s="5">
        <f>IFERROR(IF(OR($B406="",COUNTIFS(데이터!$A$2:$A$20000,$A406,데이터!$E$2:$E$20000,설정!$B$6)=0),"",$B406/SUMIFS(데이터!$C$2:$C$20000,데이터!$A$2:$A$20000,$A406,데이터!$E$2:$E$20000,설정!$B$6)-1),"")</f>
        <v/>
      </c>
      <c r="H406" s="5">
        <f>IFERROR(IF(OR($B406="",COUNTIFS(데이터!$A$2:$A$20000,$A406,데이터!$E$2:$E$20000,설정!$B$7)=0),"",$B406/SUMIFS(데이터!$C$2:$C$20000,데이터!$A$2:$A$20000,$A406,데이터!$E$2:$E$20000,설정!$B$7)-1),"")</f>
        <v/>
      </c>
      <c r="J406">
        <f>IF(C406="","",C406+ROW()*0.000000001)</f>
        <v/>
      </c>
      <c r="K406">
        <f>IF(D406="","",D406+ROW()*0.000000001)</f>
        <v/>
      </c>
      <c r="L406">
        <f>IF(E406="","",E406+ROW()*0.000000001)</f>
        <v/>
      </c>
      <c r="M406">
        <f>IF(F406="","",F406+ROW()*0.000000001)</f>
        <v/>
      </c>
      <c r="N406">
        <f>IF(G406="","",G406+ROW()*0.000000001)</f>
        <v/>
      </c>
      <c r="O406">
        <f>IF(H406="","",H406+ROW()*0.000000001)</f>
        <v/>
      </c>
    </row>
    <row r="407">
      <c r="B407" s="4">
        <f>IF($A407="","",IF(COUNTIFS(데이터!$A$2:$A$20000,$A407,데이터!$E$2:$E$20000,1)=0,"",SUMIFS(데이터!$C$2:$C$20000,데이터!$A$2:$A$20000,$A407,데이터!$E$2:$E$20000,1)))</f>
        <v/>
      </c>
      <c r="C407" s="5">
        <f>IFERROR(IF(OR($B407="",COUNTIFS(데이터!$A$2:$A$20000,$A407,데이터!$E$2:$E$20000,설정!$B$2)=0),"",$B407/SUMIFS(데이터!$C$2:$C$20000,데이터!$A$2:$A$20000,$A407,데이터!$E$2:$E$20000,설정!$B$2)-1),"")</f>
        <v/>
      </c>
      <c r="D407" s="5">
        <f>IFERROR(IF(OR($B407="",COUNTIFS(데이터!$A$2:$A$20000,$A407,데이터!$E$2:$E$20000,설정!$B$3)=0),"",$B407/SUMIFS(데이터!$C$2:$C$20000,데이터!$A$2:$A$20000,$A407,데이터!$E$2:$E$20000,설정!$B$3)-1),"")</f>
        <v/>
      </c>
      <c r="E407" s="5">
        <f>IFERROR(IF(OR($B407="",COUNTIFS(데이터!$A$2:$A$20000,$A407,데이터!$E$2:$E$20000,설정!$B$4)=0),"",$B407/SUMIFS(데이터!$C$2:$C$20000,데이터!$A$2:$A$20000,$A407,데이터!$E$2:$E$20000,설정!$B$4)-1),"")</f>
        <v/>
      </c>
      <c r="F407" s="5">
        <f>IFERROR(IF(OR($B407="",COUNTIFS(데이터!$A$2:$A$20000,$A407,데이터!$E$2:$E$20000,설정!$B$5)=0),"",$B407/SUMIFS(데이터!$C$2:$C$20000,데이터!$A$2:$A$20000,$A407,데이터!$E$2:$E$20000,설정!$B$5)-1),"")</f>
        <v/>
      </c>
      <c r="G407" s="5">
        <f>IFERROR(IF(OR($B407="",COUNTIFS(데이터!$A$2:$A$20000,$A407,데이터!$E$2:$E$20000,설정!$B$6)=0),"",$B407/SUMIFS(데이터!$C$2:$C$20000,데이터!$A$2:$A$20000,$A407,데이터!$E$2:$E$20000,설정!$B$6)-1),"")</f>
        <v/>
      </c>
      <c r="H407" s="5">
        <f>IFERROR(IF(OR($B407="",COUNTIFS(데이터!$A$2:$A$20000,$A407,데이터!$E$2:$E$20000,설정!$B$7)=0),"",$B407/SUMIFS(데이터!$C$2:$C$20000,데이터!$A$2:$A$20000,$A407,데이터!$E$2:$E$20000,설정!$B$7)-1),"")</f>
        <v/>
      </c>
      <c r="J407">
        <f>IF(C407="","",C407+ROW()*0.000000001)</f>
        <v/>
      </c>
      <c r="K407">
        <f>IF(D407="","",D407+ROW()*0.000000001)</f>
        <v/>
      </c>
      <c r="L407">
        <f>IF(E407="","",E407+ROW()*0.000000001)</f>
        <v/>
      </c>
      <c r="M407">
        <f>IF(F407="","",F407+ROW()*0.000000001)</f>
        <v/>
      </c>
      <c r="N407">
        <f>IF(G407="","",G407+ROW()*0.000000001)</f>
        <v/>
      </c>
      <c r="O407">
        <f>IF(H407="","",H407+ROW()*0.000000001)</f>
        <v/>
      </c>
    </row>
    <row r="408">
      <c r="B408" s="4">
        <f>IF($A408="","",IF(COUNTIFS(데이터!$A$2:$A$20000,$A408,데이터!$E$2:$E$20000,1)=0,"",SUMIFS(데이터!$C$2:$C$20000,데이터!$A$2:$A$20000,$A408,데이터!$E$2:$E$20000,1)))</f>
        <v/>
      </c>
      <c r="C408" s="5">
        <f>IFERROR(IF(OR($B408="",COUNTIFS(데이터!$A$2:$A$20000,$A408,데이터!$E$2:$E$20000,설정!$B$2)=0),"",$B408/SUMIFS(데이터!$C$2:$C$20000,데이터!$A$2:$A$20000,$A408,데이터!$E$2:$E$20000,설정!$B$2)-1),"")</f>
        <v/>
      </c>
      <c r="D408" s="5">
        <f>IFERROR(IF(OR($B408="",COUNTIFS(데이터!$A$2:$A$20000,$A408,데이터!$E$2:$E$20000,설정!$B$3)=0),"",$B408/SUMIFS(데이터!$C$2:$C$20000,데이터!$A$2:$A$20000,$A408,데이터!$E$2:$E$20000,설정!$B$3)-1),"")</f>
        <v/>
      </c>
      <c r="E408" s="5">
        <f>IFERROR(IF(OR($B408="",COUNTIFS(데이터!$A$2:$A$20000,$A408,데이터!$E$2:$E$20000,설정!$B$4)=0),"",$B408/SUMIFS(데이터!$C$2:$C$20000,데이터!$A$2:$A$20000,$A408,데이터!$E$2:$E$20000,설정!$B$4)-1),"")</f>
        <v/>
      </c>
      <c r="F408" s="5">
        <f>IFERROR(IF(OR($B408="",COUNTIFS(데이터!$A$2:$A$20000,$A408,데이터!$E$2:$E$20000,설정!$B$5)=0),"",$B408/SUMIFS(데이터!$C$2:$C$20000,데이터!$A$2:$A$20000,$A408,데이터!$E$2:$E$20000,설정!$B$5)-1),"")</f>
        <v/>
      </c>
      <c r="G408" s="5">
        <f>IFERROR(IF(OR($B408="",COUNTIFS(데이터!$A$2:$A$20000,$A408,데이터!$E$2:$E$20000,설정!$B$6)=0),"",$B408/SUMIFS(데이터!$C$2:$C$20000,데이터!$A$2:$A$20000,$A408,데이터!$E$2:$E$20000,설정!$B$6)-1),"")</f>
        <v/>
      </c>
      <c r="H408" s="5">
        <f>IFERROR(IF(OR($B408="",COUNTIFS(데이터!$A$2:$A$20000,$A408,데이터!$E$2:$E$20000,설정!$B$7)=0),"",$B408/SUMIFS(데이터!$C$2:$C$20000,데이터!$A$2:$A$20000,$A408,데이터!$E$2:$E$20000,설정!$B$7)-1),"")</f>
        <v/>
      </c>
      <c r="J408">
        <f>IF(C408="","",C408+ROW()*0.000000001)</f>
        <v/>
      </c>
      <c r="K408">
        <f>IF(D408="","",D408+ROW()*0.000000001)</f>
        <v/>
      </c>
      <c r="L408">
        <f>IF(E408="","",E408+ROW()*0.000000001)</f>
        <v/>
      </c>
      <c r="M408">
        <f>IF(F408="","",F408+ROW()*0.000000001)</f>
        <v/>
      </c>
      <c r="N408">
        <f>IF(G408="","",G408+ROW()*0.000000001)</f>
        <v/>
      </c>
      <c r="O408">
        <f>IF(H408="","",H408+ROW()*0.000000001)</f>
        <v/>
      </c>
    </row>
    <row r="409">
      <c r="B409" s="4">
        <f>IF($A409="","",IF(COUNTIFS(데이터!$A$2:$A$20000,$A409,데이터!$E$2:$E$20000,1)=0,"",SUMIFS(데이터!$C$2:$C$20000,데이터!$A$2:$A$20000,$A409,데이터!$E$2:$E$20000,1)))</f>
        <v/>
      </c>
      <c r="C409" s="5">
        <f>IFERROR(IF(OR($B409="",COUNTIFS(데이터!$A$2:$A$20000,$A409,데이터!$E$2:$E$20000,설정!$B$2)=0),"",$B409/SUMIFS(데이터!$C$2:$C$20000,데이터!$A$2:$A$20000,$A409,데이터!$E$2:$E$20000,설정!$B$2)-1),"")</f>
        <v/>
      </c>
      <c r="D409" s="5">
        <f>IFERROR(IF(OR($B409="",COUNTIFS(데이터!$A$2:$A$20000,$A409,데이터!$E$2:$E$20000,설정!$B$3)=0),"",$B409/SUMIFS(데이터!$C$2:$C$20000,데이터!$A$2:$A$20000,$A409,데이터!$E$2:$E$20000,설정!$B$3)-1),"")</f>
        <v/>
      </c>
      <c r="E409" s="5">
        <f>IFERROR(IF(OR($B409="",COUNTIFS(데이터!$A$2:$A$20000,$A409,데이터!$E$2:$E$20000,설정!$B$4)=0),"",$B409/SUMIFS(데이터!$C$2:$C$20000,데이터!$A$2:$A$20000,$A409,데이터!$E$2:$E$20000,설정!$B$4)-1),"")</f>
        <v/>
      </c>
      <c r="F409" s="5">
        <f>IFERROR(IF(OR($B409="",COUNTIFS(데이터!$A$2:$A$20000,$A409,데이터!$E$2:$E$20000,설정!$B$5)=0),"",$B409/SUMIFS(데이터!$C$2:$C$20000,데이터!$A$2:$A$20000,$A409,데이터!$E$2:$E$20000,설정!$B$5)-1),"")</f>
        <v/>
      </c>
      <c r="G409" s="5">
        <f>IFERROR(IF(OR($B409="",COUNTIFS(데이터!$A$2:$A$20000,$A409,데이터!$E$2:$E$20000,설정!$B$6)=0),"",$B409/SUMIFS(데이터!$C$2:$C$20000,데이터!$A$2:$A$20000,$A409,데이터!$E$2:$E$20000,설정!$B$6)-1),"")</f>
        <v/>
      </c>
      <c r="H409" s="5">
        <f>IFERROR(IF(OR($B409="",COUNTIFS(데이터!$A$2:$A$20000,$A409,데이터!$E$2:$E$20000,설정!$B$7)=0),"",$B409/SUMIFS(데이터!$C$2:$C$20000,데이터!$A$2:$A$20000,$A409,데이터!$E$2:$E$20000,설정!$B$7)-1),"")</f>
        <v/>
      </c>
      <c r="J409">
        <f>IF(C409="","",C409+ROW()*0.000000001)</f>
        <v/>
      </c>
      <c r="K409">
        <f>IF(D409="","",D409+ROW()*0.000000001)</f>
        <v/>
      </c>
      <c r="L409">
        <f>IF(E409="","",E409+ROW()*0.000000001)</f>
        <v/>
      </c>
      <c r="M409">
        <f>IF(F409="","",F409+ROW()*0.000000001)</f>
        <v/>
      </c>
      <c r="N409">
        <f>IF(G409="","",G409+ROW()*0.000000001)</f>
        <v/>
      </c>
      <c r="O409">
        <f>IF(H409="","",H409+ROW()*0.000000001)</f>
        <v/>
      </c>
    </row>
    <row r="410">
      <c r="B410" s="4">
        <f>IF($A410="","",IF(COUNTIFS(데이터!$A$2:$A$20000,$A410,데이터!$E$2:$E$20000,1)=0,"",SUMIFS(데이터!$C$2:$C$20000,데이터!$A$2:$A$20000,$A410,데이터!$E$2:$E$20000,1)))</f>
        <v/>
      </c>
      <c r="C410" s="5">
        <f>IFERROR(IF(OR($B410="",COUNTIFS(데이터!$A$2:$A$20000,$A410,데이터!$E$2:$E$20000,설정!$B$2)=0),"",$B410/SUMIFS(데이터!$C$2:$C$20000,데이터!$A$2:$A$20000,$A410,데이터!$E$2:$E$20000,설정!$B$2)-1),"")</f>
        <v/>
      </c>
      <c r="D410" s="5">
        <f>IFERROR(IF(OR($B410="",COUNTIFS(데이터!$A$2:$A$20000,$A410,데이터!$E$2:$E$20000,설정!$B$3)=0),"",$B410/SUMIFS(데이터!$C$2:$C$20000,데이터!$A$2:$A$20000,$A410,데이터!$E$2:$E$20000,설정!$B$3)-1),"")</f>
        <v/>
      </c>
      <c r="E410" s="5">
        <f>IFERROR(IF(OR($B410="",COUNTIFS(데이터!$A$2:$A$20000,$A410,데이터!$E$2:$E$20000,설정!$B$4)=0),"",$B410/SUMIFS(데이터!$C$2:$C$20000,데이터!$A$2:$A$20000,$A410,데이터!$E$2:$E$20000,설정!$B$4)-1),"")</f>
        <v/>
      </c>
      <c r="F410" s="5">
        <f>IFERROR(IF(OR($B410="",COUNTIFS(데이터!$A$2:$A$20000,$A410,데이터!$E$2:$E$20000,설정!$B$5)=0),"",$B410/SUMIFS(데이터!$C$2:$C$20000,데이터!$A$2:$A$20000,$A410,데이터!$E$2:$E$20000,설정!$B$5)-1),"")</f>
        <v/>
      </c>
      <c r="G410" s="5">
        <f>IFERROR(IF(OR($B410="",COUNTIFS(데이터!$A$2:$A$20000,$A410,데이터!$E$2:$E$20000,설정!$B$6)=0),"",$B410/SUMIFS(데이터!$C$2:$C$20000,데이터!$A$2:$A$20000,$A410,데이터!$E$2:$E$20000,설정!$B$6)-1),"")</f>
        <v/>
      </c>
      <c r="H410" s="5">
        <f>IFERROR(IF(OR($B410="",COUNTIFS(데이터!$A$2:$A$20000,$A410,데이터!$E$2:$E$20000,설정!$B$7)=0),"",$B410/SUMIFS(데이터!$C$2:$C$20000,데이터!$A$2:$A$20000,$A410,데이터!$E$2:$E$20000,설정!$B$7)-1),"")</f>
        <v/>
      </c>
      <c r="J410">
        <f>IF(C410="","",C410+ROW()*0.000000001)</f>
        <v/>
      </c>
      <c r="K410">
        <f>IF(D410="","",D410+ROW()*0.000000001)</f>
        <v/>
      </c>
      <c r="L410">
        <f>IF(E410="","",E410+ROW()*0.000000001)</f>
        <v/>
      </c>
      <c r="M410">
        <f>IF(F410="","",F410+ROW()*0.000000001)</f>
        <v/>
      </c>
      <c r="N410">
        <f>IF(G410="","",G410+ROW()*0.000000001)</f>
        <v/>
      </c>
      <c r="O410">
        <f>IF(H410="","",H410+ROW()*0.000000001)</f>
        <v/>
      </c>
    </row>
    <row r="411">
      <c r="B411" s="4">
        <f>IF($A411="","",IF(COUNTIFS(데이터!$A$2:$A$20000,$A411,데이터!$E$2:$E$20000,1)=0,"",SUMIFS(데이터!$C$2:$C$20000,데이터!$A$2:$A$20000,$A411,데이터!$E$2:$E$20000,1)))</f>
        <v/>
      </c>
      <c r="C411" s="5">
        <f>IFERROR(IF(OR($B411="",COUNTIFS(데이터!$A$2:$A$20000,$A411,데이터!$E$2:$E$20000,설정!$B$2)=0),"",$B411/SUMIFS(데이터!$C$2:$C$20000,데이터!$A$2:$A$20000,$A411,데이터!$E$2:$E$20000,설정!$B$2)-1),"")</f>
        <v/>
      </c>
      <c r="D411" s="5">
        <f>IFERROR(IF(OR($B411="",COUNTIFS(데이터!$A$2:$A$20000,$A411,데이터!$E$2:$E$20000,설정!$B$3)=0),"",$B411/SUMIFS(데이터!$C$2:$C$20000,데이터!$A$2:$A$20000,$A411,데이터!$E$2:$E$20000,설정!$B$3)-1),"")</f>
        <v/>
      </c>
      <c r="E411" s="5">
        <f>IFERROR(IF(OR($B411="",COUNTIFS(데이터!$A$2:$A$20000,$A411,데이터!$E$2:$E$20000,설정!$B$4)=0),"",$B411/SUMIFS(데이터!$C$2:$C$20000,데이터!$A$2:$A$20000,$A411,데이터!$E$2:$E$20000,설정!$B$4)-1),"")</f>
        <v/>
      </c>
      <c r="F411" s="5">
        <f>IFERROR(IF(OR($B411="",COUNTIFS(데이터!$A$2:$A$20000,$A411,데이터!$E$2:$E$20000,설정!$B$5)=0),"",$B411/SUMIFS(데이터!$C$2:$C$20000,데이터!$A$2:$A$20000,$A411,데이터!$E$2:$E$20000,설정!$B$5)-1),"")</f>
        <v/>
      </c>
      <c r="G411" s="5">
        <f>IFERROR(IF(OR($B411="",COUNTIFS(데이터!$A$2:$A$20000,$A411,데이터!$E$2:$E$20000,설정!$B$6)=0),"",$B411/SUMIFS(데이터!$C$2:$C$20000,데이터!$A$2:$A$20000,$A411,데이터!$E$2:$E$20000,설정!$B$6)-1),"")</f>
        <v/>
      </c>
      <c r="H411" s="5">
        <f>IFERROR(IF(OR($B411="",COUNTIFS(데이터!$A$2:$A$20000,$A411,데이터!$E$2:$E$20000,설정!$B$7)=0),"",$B411/SUMIFS(데이터!$C$2:$C$20000,데이터!$A$2:$A$20000,$A411,데이터!$E$2:$E$20000,설정!$B$7)-1),"")</f>
        <v/>
      </c>
      <c r="J411">
        <f>IF(C411="","",C411+ROW()*0.000000001)</f>
        <v/>
      </c>
      <c r="K411">
        <f>IF(D411="","",D411+ROW()*0.000000001)</f>
        <v/>
      </c>
      <c r="L411">
        <f>IF(E411="","",E411+ROW()*0.000000001)</f>
        <v/>
      </c>
      <c r="M411">
        <f>IF(F411="","",F411+ROW()*0.000000001)</f>
        <v/>
      </c>
      <c r="N411">
        <f>IF(G411="","",G411+ROW()*0.000000001)</f>
        <v/>
      </c>
      <c r="O411">
        <f>IF(H411="","",H411+ROW()*0.000000001)</f>
        <v/>
      </c>
    </row>
    <row r="412">
      <c r="B412" s="4">
        <f>IF($A412="","",IF(COUNTIFS(데이터!$A$2:$A$20000,$A412,데이터!$E$2:$E$20000,1)=0,"",SUMIFS(데이터!$C$2:$C$20000,데이터!$A$2:$A$20000,$A412,데이터!$E$2:$E$20000,1)))</f>
        <v/>
      </c>
      <c r="C412" s="5">
        <f>IFERROR(IF(OR($B412="",COUNTIFS(데이터!$A$2:$A$20000,$A412,데이터!$E$2:$E$20000,설정!$B$2)=0),"",$B412/SUMIFS(데이터!$C$2:$C$20000,데이터!$A$2:$A$20000,$A412,데이터!$E$2:$E$20000,설정!$B$2)-1),"")</f>
        <v/>
      </c>
      <c r="D412" s="5">
        <f>IFERROR(IF(OR($B412="",COUNTIFS(데이터!$A$2:$A$20000,$A412,데이터!$E$2:$E$20000,설정!$B$3)=0),"",$B412/SUMIFS(데이터!$C$2:$C$20000,데이터!$A$2:$A$20000,$A412,데이터!$E$2:$E$20000,설정!$B$3)-1),"")</f>
        <v/>
      </c>
      <c r="E412" s="5">
        <f>IFERROR(IF(OR($B412="",COUNTIFS(데이터!$A$2:$A$20000,$A412,데이터!$E$2:$E$20000,설정!$B$4)=0),"",$B412/SUMIFS(데이터!$C$2:$C$20000,데이터!$A$2:$A$20000,$A412,데이터!$E$2:$E$20000,설정!$B$4)-1),"")</f>
        <v/>
      </c>
      <c r="F412" s="5">
        <f>IFERROR(IF(OR($B412="",COUNTIFS(데이터!$A$2:$A$20000,$A412,데이터!$E$2:$E$20000,설정!$B$5)=0),"",$B412/SUMIFS(데이터!$C$2:$C$20000,데이터!$A$2:$A$20000,$A412,데이터!$E$2:$E$20000,설정!$B$5)-1),"")</f>
        <v/>
      </c>
      <c r="G412" s="5">
        <f>IFERROR(IF(OR($B412="",COUNTIFS(데이터!$A$2:$A$20000,$A412,데이터!$E$2:$E$20000,설정!$B$6)=0),"",$B412/SUMIFS(데이터!$C$2:$C$20000,데이터!$A$2:$A$20000,$A412,데이터!$E$2:$E$20000,설정!$B$6)-1),"")</f>
        <v/>
      </c>
      <c r="H412" s="5">
        <f>IFERROR(IF(OR($B412="",COUNTIFS(데이터!$A$2:$A$20000,$A412,데이터!$E$2:$E$20000,설정!$B$7)=0),"",$B412/SUMIFS(데이터!$C$2:$C$20000,데이터!$A$2:$A$20000,$A412,데이터!$E$2:$E$20000,설정!$B$7)-1),"")</f>
        <v/>
      </c>
      <c r="J412">
        <f>IF(C412="","",C412+ROW()*0.000000001)</f>
        <v/>
      </c>
      <c r="K412">
        <f>IF(D412="","",D412+ROW()*0.000000001)</f>
        <v/>
      </c>
      <c r="L412">
        <f>IF(E412="","",E412+ROW()*0.000000001)</f>
        <v/>
      </c>
      <c r="M412">
        <f>IF(F412="","",F412+ROW()*0.000000001)</f>
        <v/>
      </c>
      <c r="N412">
        <f>IF(G412="","",G412+ROW()*0.000000001)</f>
        <v/>
      </c>
      <c r="O412">
        <f>IF(H412="","",H412+ROW()*0.000000001)</f>
        <v/>
      </c>
    </row>
    <row r="413">
      <c r="B413" s="4">
        <f>IF($A413="","",IF(COUNTIFS(데이터!$A$2:$A$20000,$A413,데이터!$E$2:$E$20000,1)=0,"",SUMIFS(데이터!$C$2:$C$20000,데이터!$A$2:$A$20000,$A413,데이터!$E$2:$E$20000,1)))</f>
        <v/>
      </c>
      <c r="C413" s="5">
        <f>IFERROR(IF(OR($B413="",COUNTIFS(데이터!$A$2:$A$20000,$A413,데이터!$E$2:$E$20000,설정!$B$2)=0),"",$B413/SUMIFS(데이터!$C$2:$C$20000,데이터!$A$2:$A$20000,$A413,데이터!$E$2:$E$20000,설정!$B$2)-1),"")</f>
        <v/>
      </c>
      <c r="D413" s="5">
        <f>IFERROR(IF(OR($B413="",COUNTIFS(데이터!$A$2:$A$20000,$A413,데이터!$E$2:$E$20000,설정!$B$3)=0),"",$B413/SUMIFS(데이터!$C$2:$C$20000,데이터!$A$2:$A$20000,$A413,데이터!$E$2:$E$20000,설정!$B$3)-1),"")</f>
        <v/>
      </c>
      <c r="E413" s="5">
        <f>IFERROR(IF(OR($B413="",COUNTIFS(데이터!$A$2:$A$20000,$A413,데이터!$E$2:$E$20000,설정!$B$4)=0),"",$B413/SUMIFS(데이터!$C$2:$C$20000,데이터!$A$2:$A$20000,$A413,데이터!$E$2:$E$20000,설정!$B$4)-1),"")</f>
        <v/>
      </c>
      <c r="F413" s="5">
        <f>IFERROR(IF(OR($B413="",COUNTIFS(데이터!$A$2:$A$20000,$A413,데이터!$E$2:$E$20000,설정!$B$5)=0),"",$B413/SUMIFS(데이터!$C$2:$C$20000,데이터!$A$2:$A$20000,$A413,데이터!$E$2:$E$20000,설정!$B$5)-1),"")</f>
        <v/>
      </c>
      <c r="G413" s="5">
        <f>IFERROR(IF(OR($B413="",COUNTIFS(데이터!$A$2:$A$20000,$A413,데이터!$E$2:$E$20000,설정!$B$6)=0),"",$B413/SUMIFS(데이터!$C$2:$C$20000,데이터!$A$2:$A$20000,$A413,데이터!$E$2:$E$20000,설정!$B$6)-1),"")</f>
        <v/>
      </c>
      <c r="H413" s="5">
        <f>IFERROR(IF(OR($B413="",COUNTIFS(데이터!$A$2:$A$20000,$A413,데이터!$E$2:$E$20000,설정!$B$7)=0),"",$B413/SUMIFS(데이터!$C$2:$C$20000,데이터!$A$2:$A$20000,$A413,데이터!$E$2:$E$20000,설정!$B$7)-1),"")</f>
        <v/>
      </c>
      <c r="J413">
        <f>IF(C413="","",C413+ROW()*0.000000001)</f>
        <v/>
      </c>
      <c r="K413">
        <f>IF(D413="","",D413+ROW()*0.000000001)</f>
        <v/>
      </c>
      <c r="L413">
        <f>IF(E413="","",E413+ROW()*0.000000001)</f>
        <v/>
      </c>
      <c r="M413">
        <f>IF(F413="","",F413+ROW()*0.000000001)</f>
        <v/>
      </c>
      <c r="N413">
        <f>IF(G413="","",G413+ROW()*0.000000001)</f>
        <v/>
      </c>
      <c r="O413">
        <f>IF(H413="","",H413+ROW()*0.000000001)</f>
        <v/>
      </c>
    </row>
    <row r="414">
      <c r="B414" s="4">
        <f>IF($A414="","",IF(COUNTIFS(데이터!$A$2:$A$20000,$A414,데이터!$E$2:$E$20000,1)=0,"",SUMIFS(데이터!$C$2:$C$20000,데이터!$A$2:$A$20000,$A414,데이터!$E$2:$E$20000,1)))</f>
        <v/>
      </c>
      <c r="C414" s="5">
        <f>IFERROR(IF(OR($B414="",COUNTIFS(데이터!$A$2:$A$20000,$A414,데이터!$E$2:$E$20000,설정!$B$2)=0),"",$B414/SUMIFS(데이터!$C$2:$C$20000,데이터!$A$2:$A$20000,$A414,데이터!$E$2:$E$20000,설정!$B$2)-1),"")</f>
        <v/>
      </c>
      <c r="D414" s="5">
        <f>IFERROR(IF(OR($B414="",COUNTIFS(데이터!$A$2:$A$20000,$A414,데이터!$E$2:$E$20000,설정!$B$3)=0),"",$B414/SUMIFS(데이터!$C$2:$C$20000,데이터!$A$2:$A$20000,$A414,데이터!$E$2:$E$20000,설정!$B$3)-1),"")</f>
        <v/>
      </c>
      <c r="E414" s="5">
        <f>IFERROR(IF(OR($B414="",COUNTIFS(데이터!$A$2:$A$20000,$A414,데이터!$E$2:$E$20000,설정!$B$4)=0),"",$B414/SUMIFS(데이터!$C$2:$C$20000,데이터!$A$2:$A$20000,$A414,데이터!$E$2:$E$20000,설정!$B$4)-1),"")</f>
        <v/>
      </c>
      <c r="F414" s="5">
        <f>IFERROR(IF(OR($B414="",COUNTIFS(데이터!$A$2:$A$20000,$A414,데이터!$E$2:$E$20000,설정!$B$5)=0),"",$B414/SUMIFS(데이터!$C$2:$C$20000,데이터!$A$2:$A$20000,$A414,데이터!$E$2:$E$20000,설정!$B$5)-1),"")</f>
        <v/>
      </c>
      <c r="G414" s="5">
        <f>IFERROR(IF(OR($B414="",COUNTIFS(데이터!$A$2:$A$20000,$A414,데이터!$E$2:$E$20000,설정!$B$6)=0),"",$B414/SUMIFS(데이터!$C$2:$C$20000,데이터!$A$2:$A$20000,$A414,데이터!$E$2:$E$20000,설정!$B$6)-1),"")</f>
        <v/>
      </c>
      <c r="H414" s="5">
        <f>IFERROR(IF(OR($B414="",COUNTIFS(데이터!$A$2:$A$20000,$A414,데이터!$E$2:$E$20000,설정!$B$7)=0),"",$B414/SUMIFS(데이터!$C$2:$C$20000,데이터!$A$2:$A$20000,$A414,데이터!$E$2:$E$20000,설정!$B$7)-1),"")</f>
        <v/>
      </c>
      <c r="J414">
        <f>IF(C414="","",C414+ROW()*0.000000001)</f>
        <v/>
      </c>
      <c r="K414">
        <f>IF(D414="","",D414+ROW()*0.000000001)</f>
        <v/>
      </c>
      <c r="L414">
        <f>IF(E414="","",E414+ROW()*0.000000001)</f>
        <v/>
      </c>
      <c r="M414">
        <f>IF(F414="","",F414+ROW()*0.000000001)</f>
        <v/>
      </c>
      <c r="N414">
        <f>IF(G414="","",G414+ROW()*0.000000001)</f>
        <v/>
      </c>
      <c r="O414">
        <f>IF(H414="","",H414+ROW()*0.000000001)</f>
        <v/>
      </c>
    </row>
    <row r="415">
      <c r="B415" s="4">
        <f>IF($A415="","",IF(COUNTIFS(데이터!$A$2:$A$20000,$A415,데이터!$E$2:$E$20000,1)=0,"",SUMIFS(데이터!$C$2:$C$20000,데이터!$A$2:$A$20000,$A415,데이터!$E$2:$E$20000,1)))</f>
        <v/>
      </c>
      <c r="C415" s="5">
        <f>IFERROR(IF(OR($B415="",COUNTIFS(데이터!$A$2:$A$20000,$A415,데이터!$E$2:$E$20000,설정!$B$2)=0),"",$B415/SUMIFS(데이터!$C$2:$C$20000,데이터!$A$2:$A$20000,$A415,데이터!$E$2:$E$20000,설정!$B$2)-1),"")</f>
        <v/>
      </c>
      <c r="D415" s="5">
        <f>IFERROR(IF(OR($B415="",COUNTIFS(데이터!$A$2:$A$20000,$A415,데이터!$E$2:$E$20000,설정!$B$3)=0),"",$B415/SUMIFS(데이터!$C$2:$C$20000,데이터!$A$2:$A$20000,$A415,데이터!$E$2:$E$20000,설정!$B$3)-1),"")</f>
        <v/>
      </c>
      <c r="E415" s="5">
        <f>IFERROR(IF(OR($B415="",COUNTIFS(데이터!$A$2:$A$20000,$A415,데이터!$E$2:$E$20000,설정!$B$4)=0),"",$B415/SUMIFS(데이터!$C$2:$C$20000,데이터!$A$2:$A$20000,$A415,데이터!$E$2:$E$20000,설정!$B$4)-1),"")</f>
        <v/>
      </c>
      <c r="F415" s="5">
        <f>IFERROR(IF(OR($B415="",COUNTIFS(데이터!$A$2:$A$20000,$A415,데이터!$E$2:$E$20000,설정!$B$5)=0),"",$B415/SUMIFS(데이터!$C$2:$C$20000,데이터!$A$2:$A$20000,$A415,데이터!$E$2:$E$20000,설정!$B$5)-1),"")</f>
        <v/>
      </c>
      <c r="G415" s="5">
        <f>IFERROR(IF(OR($B415="",COUNTIFS(데이터!$A$2:$A$20000,$A415,데이터!$E$2:$E$20000,설정!$B$6)=0),"",$B415/SUMIFS(데이터!$C$2:$C$20000,데이터!$A$2:$A$20000,$A415,데이터!$E$2:$E$20000,설정!$B$6)-1),"")</f>
        <v/>
      </c>
      <c r="H415" s="5">
        <f>IFERROR(IF(OR($B415="",COUNTIFS(데이터!$A$2:$A$20000,$A415,데이터!$E$2:$E$20000,설정!$B$7)=0),"",$B415/SUMIFS(데이터!$C$2:$C$20000,데이터!$A$2:$A$20000,$A415,데이터!$E$2:$E$20000,설정!$B$7)-1),"")</f>
        <v/>
      </c>
      <c r="J415">
        <f>IF(C415="","",C415+ROW()*0.000000001)</f>
        <v/>
      </c>
      <c r="K415">
        <f>IF(D415="","",D415+ROW()*0.000000001)</f>
        <v/>
      </c>
      <c r="L415">
        <f>IF(E415="","",E415+ROW()*0.000000001)</f>
        <v/>
      </c>
      <c r="M415">
        <f>IF(F415="","",F415+ROW()*0.000000001)</f>
        <v/>
      </c>
      <c r="N415">
        <f>IF(G415="","",G415+ROW()*0.000000001)</f>
        <v/>
      </c>
      <c r="O415">
        <f>IF(H415="","",H415+ROW()*0.000000001)</f>
        <v/>
      </c>
    </row>
    <row r="416">
      <c r="B416" s="4">
        <f>IF($A416="","",IF(COUNTIFS(데이터!$A$2:$A$20000,$A416,데이터!$E$2:$E$20000,1)=0,"",SUMIFS(데이터!$C$2:$C$20000,데이터!$A$2:$A$20000,$A416,데이터!$E$2:$E$20000,1)))</f>
        <v/>
      </c>
      <c r="C416" s="5">
        <f>IFERROR(IF(OR($B416="",COUNTIFS(데이터!$A$2:$A$20000,$A416,데이터!$E$2:$E$20000,설정!$B$2)=0),"",$B416/SUMIFS(데이터!$C$2:$C$20000,데이터!$A$2:$A$20000,$A416,데이터!$E$2:$E$20000,설정!$B$2)-1),"")</f>
        <v/>
      </c>
      <c r="D416" s="5">
        <f>IFERROR(IF(OR($B416="",COUNTIFS(데이터!$A$2:$A$20000,$A416,데이터!$E$2:$E$20000,설정!$B$3)=0),"",$B416/SUMIFS(데이터!$C$2:$C$20000,데이터!$A$2:$A$20000,$A416,데이터!$E$2:$E$20000,설정!$B$3)-1),"")</f>
        <v/>
      </c>
      <c r="E416" s="5">
        <f>IFERROR(IF(OR($B416="",COUNTIFS(데이터!$A$2:$A$20000,$A416,데이터!$E$2:$E$20000,설정!$B$4)=0),"",$B416/SUMIFS(데이터!$C$2:$C$20000,데이터!$A$2:$A$20000,$A416,데이터!$E$2:$E$20000,설정!$B$4)-1),"")</f>
        <v/>
      </c>
      <c r="F416" s="5">
        <f>IFERROR(IF(OR($B416="",COUNTIFS(데이터!$A$2:$A$20000,$A416,데이터!$E$2:$E$20000,설정!$B$5)=0),"",$B416/SUMIFS(데이터!$C$2:$C$20000,데이터!$A$2:$A$20000,$A416,데이터!$E$2:$E$20000,설정!$B$5)-1),"")</f>
        <v/>
      </c>
      <c r="G416" s="5">
        <f>IFERROR(IF(OR($B416="",COUNTIFS(데이터!$A$2:$A$20000,$A416,데이터!$E$2:$E$20000,설정!$B$6)=0),"",$B416/SUMIFS(데이터!$C$2:$C$20000,데이터!$A$2:$A$20000,$A416,데이터!$E$2:$E$20000,설정!$B$6)-1),"")</f>
        <v/>
      </c>
      <c r="H416" s="5">
        <f>IFERROR(IF(OR($B416="",COUNTIFS(데이터!$A$2:$A$20000,$A416,데이터!$E$2:$E$20000,설정!$B$7)=0),"",$B416/SUMIFS(데이터!$C$2:$C$20000,데이터!$A$2:$A$20000,$A416,데이터!$E$2:$E$20000,설정!$B$7)-1),"")</f>
        <v/>
      </c>
      <c r="J416">
        <f>IF(C416="","",C416+ROW()*0.000000001)</f>
        <v/>
      </c>
      <c r="K416">
        <f>IF(D416="","",D416+ROW()*0.000000001)</f>
        <v/>
      </c>
      <c r="L416">
        <f>IF(E416="","",E416+ROW()*0.000000001)</f>
        <v/>
      </c>
      <c r="M416">
        <f>IF(F416="","",F416+ROW()*0.000000001)</f>
        <v/>
      </c>
      <c r="N416">
        <f>IF(G416="","",G416+ROW()*0.000000001)</f>
        <v/>
      </c>
      <c r="O416">
        <f>IF(H416="","",H416+ROW()*0.000000001)</f>
        <v/>
      </c>
    </row>
    <row r="417">
      <c r="B417" s="4">
        <f>IF($A417="","",IF(COUNTIFS(데이터!$A$2:$A$20000,$A417,데이터!$E$2:$E$20000,1)=0,"",SUMIFS(데이터!$C$2:$C$20000,데이터!$A$2:$A$20000,$A417,데이터!$E$2:$E$20000,1)))</f>
        <v/>
      </c>
      <c r="C417" s="5">
        <f>IFERROR(IF(OR($B417="",COUNTIFS(데이터!$A$2:$A$20000,$A417,데이터!$E$2:$E$20000,설정!$B$2)=0),"",$B417/SUMIFS(데이터!$C$2:$C$20000,데이터!$A$2:$A$20000,$A417,데이터!$E$2:$E$20000,설정!$B$2)-1),"")</f>
        <v/>
      </c>
      <c r="D417" s="5">
        <f>IFERROR(IF(OR($B417="",COUNTIFS(데이터!$A$2:$A$20000,$A417,데이터!$E$2:$E$20000,설정!$B$3)=0),"",$B417/SUMIFS(데이터!$C$2:$C$20000,데이터!$A$2:$A$20000,$A417,데이터!$E$2:$E$20000,설정!$B$3)-1),"")</f>
        <v/>
      </c>
      <c r="E417" s="5">
        <f>IFERROR(IF(OR($B417="",COUNTIFS(데이터!$A$2:$A$20000,$A417,데이터!$E$2:$E$20000,설정!$B$4)=0),"",$B417/SUMIFS(데이터!$C$2:$C$20000,데이터!$A$2:$A$20000,$A417,데이터!$E$2:$E$20000,설정!$B$4)-1),"")</f>
        <v/>
      </c>
      <c r="F417" s="5">
        <f>IFERROR(IF(OR($B417="",COUNTIFS(데이터!$A$2:$A$20000,$A417,데이터!$E$2:$E$20000,설정!$B$5)=0),"",$B417/SUMIFS(데이터!$C$2:$C$20000,데이터!$A$2:$A$20000,$A417,데이터!$E$2:$E$20000,설정!$B$5)-1),"")</f>
        <v/>
      </c>
      <c r="G417" s="5">
        <f>IFERROR(IF(OR($B417="",COUNTIFS(데이터!$A$2:$A$20000,$A417,데이터!$E$2:$E$20000,설정!$B$6)=0),"",$B417/SUMIFS(데이터!$C$2:$C$20000,데이터!$A$2:$A$20000,$A417,데이터!$E$2:$E$20000,설정!$B$6)-1),"")</f>
        <v/>
      </c>
      <c r="H417" s="5">
        <f>IFERROR(IF(OR($B417="",COUNTIFS(데이터!$A$2:$A$20000,$A417,데이터!$E$2:$E$20000,설정!$B$7)=0),"",$B417/SUMIFS(데이터!$C$2:$C$20000,데이터!$A$2:$A$20000,$A417,데이터!$E$2:$E$20000,설정!$B$7)-1),"")</f>
        <v/>
      </c>
      <c r="J417">
        <f>IF(C417="","",C417+ROW()*0.000000001)</f>
        <v/>
      </c>
      <c r="K417">
        <f>IF(D417="","",D417+ROW()*0.000000001)</f>
        <v/>
      </c>
      <c r="L417">
        <f>IF(E417="","",E417+ROW()*0.000000001)</f>
        <v/>
      </c>
      <c r="M417">
        <f>IF(F417="","",F417+ROW()*0.000000001)</f>
        <v/>
      </c>
      <c r="N417">
        <f>IF(G417="","",G417+ROW()*0.000000001)</f>
        <v/>
      </c>
      <c r="O417">
        <f>IF(H417="","",H417+ROW()*0.000000001)</f>
        <v/>
      </c>
    </row>
    <row r="418">
      <c r="B418" s="4">
        <f>IF($A418="","",IF(COUNTIFS(데이터!$A$2:$A$20000,$A418,데이터!$E$2:$E$20000,1)=0,"",SUMIFS(데이터!$C$2:$C$20000,데이터!$A$2:$A$20000,$A418,데이터!$E$2:$E$20000,1)))</f>
        <v/>
      </c>
      <c r="C418" s="5">
        <f>IFERROR(IF(OR($B418="",COUNTIFS(데이터!$A$2:$A$20000,$A418,데이터!$E$2:$E$20000,설정!$B$2)=0),"",$B418/SUMIFS(데이터!$C$2:$C$20000,데이터!$A$2:$A$20000,$A418,데이터!$E$2:$E$20000,설정!$B$2)-1),"")</f>
        <v/>
      </c>
      <c r="D418" s="5">
        <f>IFERROR(IF(OR($B418="",COUNTIFS(데이터!$A$2:$A$20000,$A418,데이터!$E$2:$E$20000,설정!$B$3)=0),"",$B418/SUMIFS(데이터!$C$2:$C$20000,데이터!$A$2:$A$20000,$A418,데이터!$E$2:$E$20000,설정!$B$3)-1),"")</f>
        <v/>
      </c>
      <c r="E418" s="5">
        <f>IFERROR(IF(OR($B418="",COUNTIFS(데이터!$A$2:$A$20000,$A418,데이터!$E$2:$E$20000,설정!$B$4)=0),"",$B418/SUMIFS(데이터!$C$2:$C$20000,데이터!$A$2:$A$20000,$A418,데이터!$E$2:$E$20000,설정!$B$4)-1),"")</f>
        <v/>
      </c>
      <c r="F418" s="5">
        <f>IFERROR(IF(OR($B418="",COUNTIFS(데이터!$A$2:$A$20000,$A418,데이터!$E$2:$E$20000,설정!$B$5)=0),"",$B418/SUMIFS(데이터!$C$2:$C$20000,데이터!$A$2:$A$20000,$A418,데이터!$E$2:$E$20000,설정!$B$5)-1),"")</f>
        <v/>
      </c>
      <c r="G418" s="5">
        <f>IFERROR(IF(OR($B418="",COUNTIFS(데이터!$A$2:$A$20000,$A418,데이터!$E$2:$E$20000,설정!$B$6)=0),"",$B418/SUMIFS(데이터!$C$2:$C$20000,데이터!$A$2:$A$20000,$A418,데이터!$E$2:$E$20000,설정!$B$6)-1),"")</f>
        <v/>
      </c>
      <c r="H418" s="5">
        <f>IFERROR(IF(OR($B418="",COUNTIFS(데이터!$A$2:$A$20000,$A418,데이터!$E$2:$E$20000,설정!$B$7)=0),"",$B418/SUMIFS(데이터!$C$2:$C$20000,데이터!$A$2:$A$20000,$A418,데이터!$E$2:$E$20000,설정!$B$7)-1),"")</f>
        <v/>
      </c>
      <c r="J418">
        <f>IF(C418="","",C418+ROW()*0.000000001)</f>
        <v/>
      </c>
      <c r="K418">
        <f>IF(D418="","",D418+ROW()*0.000000001)</f>
        <v/>
      </c>
      <c r="L418">
        <f>IF(E418="","",E418+ROW()*0.000000001)</f>
        <v/>
      </c>
      <c r="M418">
        <f>IF(F418="","",F418+ROW()*0.000000001)</f>
        <v/>
      </c>
      <c r="N418">
        <f>IF(G418="","",G418+ROW()*0.000000001)</f>
        <v/>
      </c>
      <c r="O418">
        <f>IF(H418="","",H418+ROW()*0.000000001)</f>
        <v/>
      </c>
    </row>
    <row r="419">
      <c r="B419" s="4">
        <f>IF($A419="","",IF(COUNTIFS(데이터!$A$2:$A$20000,$A419,데이터!$E$2:$E$20000,1)=0,"",SUMIFS(데이터!$C$2:$C$20000,데이터!$A$2:$A$20000,$A419,데이터!$E$2:$E$20000,1)))</f>
        <v/>
      </c>
      <c r="C419" s="5">
        <f>IFERROR(IF(OR($B419="",COUNTIFS(데이터!$A$2:$A$20000,$A419,데이터!$E$2:$E$20000,설정!$B$2)=0),"",$B419/SUMIFS(데이터!$C$2:$C$20000,데이터!$A$2:$A$20000,$A419,데이터!$E$2:$E$20000,설정!$B$2)-1),"")</f>
        <v/>
      </c>
      <c r="D419" s="5">
        <f>IFERROR(IF(OR($B419="",COUNTIFS(데이터!$A$2:$A$20000,$A419,데이터!$E$2:$E$20000,설정!$B$3)=0),"",$B419/SUMIFS(데이터!$C$2:$C$20000,데이터!$A$2:$A$20000,$A419,데이터!$E$2:$E$20000,설정!$B$3)-1),"")</f>
        <v/>
      </c>
      <c r="E419" s="5">
        <f>IFERROR(IF(OR($B419="",COUNTIFS(데이터!$A$2:$A$20000,$A419,데이터!$E$2:$E$20000,설정!$B$4)=0),"",$B419/SUMIFS(데이터!$C$2:$C$20000,데이터!$A$2:$A$20000,$A419,데이터!$E$2:$E$20000,설정!$B$4)-1),"")</f>
        <v/>
      </c>
      <c r="F419" s="5">
        <f>IFERROR(IF(OR($B419="",COUNTIFS(데이터!$A$2:$A$20000,$A419,데이터!$E$2:$E$20000,설정!$B$5)=0),"",$B419/SUMIFS(데이터!$C$2:$C$20000,데이터!$A$2:$A$20000,$A419,데이터!$E$2:$E$20000,설정!$B$5)-1),"")</f>
        <v/>
      </c>
      <c r="G419" s="5">
        <f>IFERROR(IF(OR($B419="",COUNTIFS(데이터!$A$2:$A$20000,$A419,데이터!$E$2:$E$20000,설정!$B$6)=0),"",$B419/SUMIFS(데이터!$C$2:$C$20000,데이터!$A$2:$A$20000,$A419,데이터!$E$2:$E$20000,설정!$B$6)-1),"")</f>
        <v/>
      </c>
      <c r="H419" s="5">
        <f>IFERROR(IF(OR($B419="",COUNTIFS(데이터!$A$2:$A$20000,$A419,데이터!$E$2:$E$20000,설정!$B$7)=0),"",$B419/SUMIFS(데이터!$C$2:$C$20000,데이터!$A$2:$A$20000,$A419,데이터!$E$2:$E$20000,설정!$B$7)-1),"")</f>
        <v/>
      </c>
      <c r="J419">
        <f>IF(C419="","",C419+ROW()*0.000000001)</f>
        <v/>
      </c>
      <c r="K419">
        <f>IF(D419="","",D419+ROW()*0.000000001)</f>
        <v/>
      </c>
      <c r="L419">
        <f>IF(E419="","",E419+ROW()*0.000000001)</f>
        <v/>
      </c>
      <c r="M419">
        <f>IF(F419="","",F419+ROW()*0.000000001)</f>
        <v/>
      </c>
      <c r="N419">
        <f>IF(G419="","",G419+ROW()*0.000000001)</f>
        <v/>
      </c>
      <c r="O419">
        <f>IF(H419="","",H419+ROW()*0.000000001)</f>
        <v/>
      </c>
    </row>
    <row r="420">
      <c r="B420" s="4">
        <f>IF($A420="","",IF(COUNTIFS(데이터!$A$2:$A$20000,$A420,데이터!$E$2:$E$20000,1)=0,"",SUMIFS(데이터!$C$2:$C$20000,데이터!$A$2:$A$20000,$A420,데이터!$E$2:$E$20000,1)))</f>
        <v/>
      </c>
      <c r="C420" s="5">
        <f>IFERROR(IF(OR($B420="",COUNTIFS(데이터!$A$2:$A$20000,$A420,데이터!$E$2:$E$20000,설정!$B$2)=0),"",$B420/SUMIFS(데이터!$C$2:$C$20000,데이터!$A$2:$A$20000,$A420,데이터!$E$2:$E$20000,설정!$B$2)-1),"")</f>
        <v/>
      </c>
      <c r="D420" s="5">
        <f>IFERROR(IF(OR($B420="",COUNTIFS(데이터!$A$2:$A$20000,$A420,데이터!$E$2:$E$20000,설정!$B$3)=0),"",$B420/SUMIFS(데이터!$C$2:$C$20000,데이터!$A$2:$A$20000,$A420,데이터!$E$2:$E$20000,설정!$B$3)-1),"")</f>
        <v/>
      </c>
      <c r="E420" s="5">
        <f>IFERROR(IF(OR($B420="",COUNTIFS(데이터!$A$2:$A$20000,$A420,데이터!$E$2:$E$20000,설정!$B$4)=0),"",$B420/SUMIFS(데이터!$C$2:$C$20000,데이터!$A$2:$A$20000,$A420,데이터!$E$2:$E$20000,설정!$B$4)-1),"")</f>
        <v/>
      </c>
      <c r="F420" s="5">
        <f>IFERROR(IF(OR($B420="",COUNTIFS(데이터!$A$2:$A$20000,$A420,데이터!$E$2:$E$20000,설정!$B$5)=0),"",$B420/SUMIFS(데이터!$C$2:$C$20000,데이터!$A$2:$A$20000,$A420,데이터!$E$2:$E$20000,설정!$B$5)-1),"")</f>
        <v/>
      </c>
      <c r="G420" s="5">
        <f>IFERROR(IF(OR($B420="",COUNTIFS(데이터!$A$2:$A$20000,$A420,데이터!$E$2:$E$20000,설정!$B$6)=0),"",$B420/SUMIFS(데이터!$C$2:$C$20000,데이터!$A$2:$A$20000,$A420,데이터!$E$2:$E$20000,설정!$B$6)-1),"")</f>
        <v/>
      </c>
      <c r="H420" s="5">
        <f>IFERROR(IF(OR($B420="",COUNTIFS(데이터!$A$2:$A$20000,$A420,데이터!$E$2:$E$20000,설정!$B$7)=0),"",$B420/SUMIFS(데이터!$C$2:$C$20000,데이터!$A$2:$A$20000,$A420,데이터!$E$2:$E$20000,설정!$B$7)-1),"")</f>
        <v/>
      </c>
      <c r="J420">
        <f>IF(C420="","",C420+ROW()*0.000000001)</f>
        <v/>
      </c>
      <c r="K420">
        <f>IF(D420="","",D420+ROW()*0.000000001)</f>
        <v/>
      </c>
      <c r="L420">
        <f>IF(E420="","",E420+ROW()*0.000000001)</f>
        <v/>
      </c>
      <c r="M420">
        <f>IF(F420="","",F420+ROW()*0.000000001)</f>
        <v/>
      </c>
      <c r="N420">
        <f>IF(G420="","",G420+ROW()*0.000000001)</f>
        <v/>
      </c>
      <c r="O420">
        <f>IF(H420="","",H420+ROW()*0.000000001)</f>
        <v/>
      </c>
    </row>
    <row r="421">
      <c r="B421" s="4">
        <f>IF($A421="","",IF(COUNTIFS(데이터!$A$2:$A$20000,$A421,데이터!$E$2:$E$20000,1)=0,"",SUMIFS(데이터!$C$2:$C$20000,데이터!$A$2:$A$20000,$A421,데이터!$E$2:$E$20000,1)))</f>
        <v/>
      </c>
      <c r="C421" s="5">
        <f>IFERROR(IF(OR($B421="",COUNTIFS(데이터!$A$2:$A$20000,$A421,데이터!$E$2:$E$20000,설정!$B$2)=0),"",$B421/SUMIFS(데이터!$C$2:$C$20000,데이터!$A$2:$A$20000,$A421,데이터!$E$2:$E$20000,설정!$B$2)-1),"")</f>
        <v/>
      </c>
      <c r="D421" s="5">
        <f>IFERROR(IF(OR($B421="",COUNTIFS(데이터!$A$2:$A$20000,$A421,데이터!$E$2:$E$20000,설정!$B$3)=0),"",$B421/SUMIFS(데이터!$C$2:$C$20000,데이터!$A$2:$A$20000,$A421,데이터!$E$2:$E$20000,설정!$B$3)-1),"")</f>
        <v/>
      </c>
      <c r="E421" s="5">
        <f>IFERROR(IF(OR($B421="",COUNTIFS(데이터!$A$2:$A$20000,$A421,데이터!$E$2:$E$20000,설정!$B$4)=0),"",$B421/SUMIFS(데이터!$C$2:$C$20000,데이터!$A$2:$A$20000,$A421,데이터!$E$2:$E$20000,설정!$B$4)-1),"")</f>
        <v/>
      </c>
      <c r="F421" s="5">
        <f>IFERROR(IF(OR($B421="",COUNTIFS(데이터!$A$2:$A$20000,$A421,데이터!$E$2:$E$20000,설정!$B$5)=0),"",$B421/SUMIFS(데이터!$C$2:$C$20000,데이터!$A$2:$A$20000,$A421,데이터!$E$2:$E$20000,설정!$B$5)-1),"")</f>
        <v/>
      </c>
      <c r="G421" s="5">
        <f>IFERROR(IF(OR($B421="",COUNTIFS(데이터!$A$2:$A$20000,$A421,데이터!$E$2:$E$20000,설정!$B$6)=0),"",$B421/SUMIFS(데이터!$C$2:$C$20000,데이터!$A$2:$A$20000,$A421,데이터!$E$2:$E$20000,설정!$B$6)-1),"")</f>
        <v/>
      </c>
      <c r="H421" s="5">
        <f>IFERROR(IF(OR($B421="",COUNTIFS(데이터!$A$2:$A$20000,$A421,데이터!$E$2:$E$20000,설정!$B$7)=0),"",$B421/SUMIFS(데이터!$C$2:$C$20000,데이터!$A$2:$A$20000,$A421,데이터!$E$2:$E$20000,설정!$B$7)-1),"")</f>
        <v/>
      </c>
      <c r="J421">
        <f>IF(C421="","",C421+ROW()*0.000000001)</f>
        <v/>
      </c>
      <c r="K421">
        <f>IF(D421="","",D421+ROW()*0.000000001)</f>
        <v/>
      </c>
      <c r="L421">
        <f>IF(E421="","",E421+ROW()*0.000000001)</f>
        <v/>
      </c>
      <c r="M421">
        <f>IF(F421="","",F421+ROW()*0.000000001)</f>
        <v/>
      </c>
      <c r="N421">
        <f>IF(G421="","",G421+ROW()*0.000000001)</f>
        <v/>
      </c>
      <c r="O421">
        <f>IF(H421="","",H421+ROW()*0.000000001)</f>
        <v/>
      </c>
    </row>
    <row r="422">
      <c r="B422" s="4">
        <f>IF($A422="","",IF(COUNTIFS(데이터!$A$2:$A$20000,$A422,데이터!$E$2:$E$20000,1)=0,"",SUMIFS(데이터!$C$2:$C$20000,데이터!$A$2:$A$20000,$A422,데이터!$E$2:$E$20000,1)))</f>
        <v/>
      </c>
      <c r="C422" s="5">
        <f>IFERROR(IF(OR($B422="",COUNTIFS(데이터!$A$2:$A$20000,$A422,데이터!$E$2:$E$20000,설정!$B$2)=0),"",$B422/SUMIFS(데이터!$C$2:$C$20000,데이터!$A$2:$A$20000,$A422,데이터!$E$2:$E$20000,설정!$B$2)-1),"")</f>
        <v/>
      </c>
      <c r="D422" s="5">
        <f>IFERROR(IF(OR($B422="",COUNTIFS(데이터!$A$2:$A$20000,$A422,데이터!$E$2:$E$20000,설정!$B$3)=0),"",$B422/SUMIFS(데이터!$C$2:$C$20000,데이터!$A$2:$A$20000,$A422,데이터!$E$2:$E$20000,설정!$B$3)-1),"")</f>
        <v/>
      </c>
      <c r="E422" s="5">
        <f>IFERROR(IF(OR($B422="",COUNTIFS(데이터!$A$2:$A$20000,$A422,데이터!$E$2:$E$20000,설정!$B$4)=0),"",$B422/SUMIFS(데이터!$C$2:$C$20000,데이터!$A$2:$A$20000,$A422,데이터!$E$2:$E$20000,설정!$B$4)-1),"")</f>
        <v/>
      </c>
      <c r="F422" s="5">
        <f>IFERROR(IF(OR($B422="",COUNTIFS(데이터!$A$2:$A$20000,$A422,데이터!$E$2:$E$20000,설정!$B$5)=0),"",$B422/SUMIFS(데이터!$C$2:$C$20000,데이터!$A$2:$A$20000,$A422,데이터!$E$2:$E$20000,설정!$B$5)-1),"")</f>
        <v/>
      </c>
      <c r="G422" s="5">
        <f>IFERROR(IF(OR($B422="",COUNTIFS(데이터!$A$2:$A$20000,$A422,데이터!$E$2:$E$20000,설정!$B$6)=0),"",$B422/SUMIFS(데이터!$C$2:$C$20000,데이터!$A$2:$A$20000,$A422,데이터!$E$2:$E$20000,설정!$B$6)-1),"")</f>
        <v/>
      </c>
      <c r="H422" s="5">
        <f>IFERROR(IF(OR($B422="",COUNTIFS(데이터!$A$2:$A$20000,$A422,데이터!$E$2:$E$20000,설정!$B$7)=0),"",$B422/SUMIFS(데이터!$C$2:$C$20000,데이터!$A$2:$A$20000,$A422,데이터!$E$2:$E$20000,설정!$B$7)-1),"")</f>
        <v/>
      </c>
      <c r="J422">
        <f>IF(C422="","",C422+ROW()*0.000000001)</f>
        <v/>
      </c>
      <c r="K422">
        <f>IF(D422="","",D422+ROW()*0.000000001)</f>
        <v/>
      </c>
      <c r="L422">
        <f>IF(E422="","",E422+ROW()*0.000000001)</f>
        <v/>
      </c>
      <c r="M422">
        <f>IF(F422="","",F422+ROW()*0.000000001)</f>
        <v/>
      </c>
      <c r="N422">
        <f>IF(G422="","",G422+ROW()*0.000000001)</f>
        <v/>
      </c>
      <c r="O422">
        <f>IF(H422="","",H422+ROW()*0.000000001)</f>
        <v/>
      </c>
    </row>
    <row r="423">
      <c r="B423" s="4">
        <f>IF($A423="","",IF(COUNTIFS(데이터!$A$2:$A$20000,$A423,데이터!$E$2:$E$20000,1)=0,"",SUMIFS(데이터!$C$2:$C$20000,데이터!$A$2:$A$20000,$A423,데이터!$E$2:$E$20000,1)))</f>
        <v/>
      </c>
      <c r="C423" s="5">
        <f>IFERROR(IF(OR($B423="",COUNTIFS(데이터!$A$2:$A$20000,$A423,데이터!$E$2:$E$20000,설정!$B$2)=0),"",$B423/SUMIFS(데이터!$C$2:$C$20000,데이터!$A$2:$A$20000,$A423,데이터!$E$2:$E$20000,설정!$B$2)-1),"")</f>
        <v/>
      </c>
      <c r="D423" s="5">
        <f>IFERROR(IF(OR($B423="",COUNTIFS(데이터!$A$2:$A$20000,$A423,데이터!$E$2:$E$20000,설정!$B$3)=0),"",$B423/SUMIFS(데이터!$C$2:$C$20000,데이터!$A$2:$A$20000,$A423,데이터!$E$2:$E$20000,설정!$B$3)-1),"")</f>
        <v/>
      </c>
      <c r="E423" s="5">
        <f>IFERROR(IF(OR($B423="",COUNTIFS(데이터!$A$2:$A$20000,$A423,데이터!$E$2:$E$20000,설정!$B$4)=0),"",$B423/SUMIFS(데이터!$C$2:$C$20000,데이터!$A$2:$A$20000,$A423,데이터!$E$2:$E$20000,설정!$B$4)-1),"")</f>
        <v/>
      </c>
      <c r="F423" s="5">
        <f>IFERROR(IF(OR($B423="",COUNTIFS(데이터!$A$2:$A$20000,$A423,데이터!$E$2:$E$20000,설정!$B$5)=0),"",$B423/SUMIFS(데이터!$C$2:$C$20000,데이터!$A$2:$A$20000,$A423,데이터!$E$2:$E$20000,설정!$B$5)-1),"")</f>
        <v/>
      </c>
      <c r="G423" s="5">
        <f>IFERROR(IF(OR($B423="",COUNTIFS(데이터!$A$2:$A$20000,$A423,데이터!$E$2:$E$20000,설정!$B$6)=0),"",$B423/SUMIFS(데이터!$C$2:$C$20000,데이터!$A$2:$A$20000,$A423,데이터!$E$2:$E$20000,설정!$B$6)-1),"")</f>
        <v/>
      </c>
      <c r="H423" s="5">
        <f>IFERROR(IF(OR($B423="",COUNTIFS(데이터!$A$2:$A$20000,$A423,데이터!$E$2:$E$20000,설정!$B$7)=0),"",$B423/SUMIFS(데이터!$C$2:$C$20000,데이터!$A$2:$A$20000,$A423,데이터!$E$2:$E$20000,설정!$B$7)-1),"")</f>
        <v/>
      </c>
      <c r="J423">
        <f>IF(C423="","",C423+ROW()*0.000000001)</f>
        <v/>
      </c>
      <c r="K423">
        <f>IF(D423="","",D423+ROW()*0.000000001)</f>
        <v/>
      </c>
      <c r="L423">
        <f>IF(E423="","",E423+ROW()*0.000000001)</f>
        <v/>
      </c>
      <c r="M423">
        <f>IF(F423="","",F423+ROW()*0.000000001)</f>
        <v/>
      </c>
      <c r="N423">
        <f>IF(G423="","",G423+ROW()*0.000000001)</f>
        <v/>
      </c>
      <c r="O423">
        <f>IF(H423="","",H423+ROW()*0.000000001)</f>
        <v/>
      </c>
    </row>
    <row r="424">
      <c r="B424" s="4">
        <f>IF($A424="","",IF(COUNTIFS(데이터!$A$2:$A$20000,$A424,데이터!$E$2:$E$20000,1)=0,"",SUMIFS(데이터!$C$2:$C$20000,데이터!$A$2:$A$20000,$A424,데이터!$E$2:$E$20000,1)))</f>
        <v/>
      </c>
      <c r="C424" s="5">
        <f>IFERROR(IF(OR($B424="",COUNTIFS(데이터!$A$2:$A$20000,$A424,데이터!$E$2:$E$20000,설정!$B$2)=0),"",$B424/SUMIFS(데이터!$C$2:$C$20000,데이터!$A$2:$A$20000,$A424,데이터!$E$2:$E$20000,설정!$B$2)-1),"")</f>
        <v/>
      </c>
      <c r="D424" s="5">
        <f>IFERROR(IF(OR($B424="",COUNTIFS(데이터!$A$2:$A$20000,$A424,데이터!$E$2:$E$20000,설정!$B$3)=0),"",$B424/SUMIFS(데이터!$C$2:$C$20000,데이터!$A$2:$A$20000,$A424,데이터!$E$2:$E$20000,설정!$B$3)-1),"")</f>
        <v/>
      </c>
      <c r="E424" s="5">
        <f>IFERROR(IF(OR($B424="",COUNTIFS(데이터!$A$2:$A$20000,$A424,데이터!$E$2:$E$20000,설정!$B$4)=0),"",$B424/SUMIFS(데이터!$C$2:$C$20000,데이터!$A$2:$A$20000,$A424,데이터!$E$2:$E$20000,설정!$B$4)-1),"")</f>
        <v/>
      </c>
      <c r="F424" s="5">
        <f>IFERROR(IF(OR($B424="",COUNTIFS(데이터!$A$2:$A$20000,$A424,데이터!$E$2:$E$20000,설정!$B$5)=0),"",$B424/SUMIFS(데이터!$C$2:$C$20000,데이터!$A$2:$A$20000,$A424,데이터!$E$2:$E$20000,설정!$B$5)-1),"")</f>
        <v/>
      </c>
      <c r="G424" s="5">
        <f>IFERROR(IF(OR($B424="",COUNTIFS(데이터!$A$2:$A$20000,$A424,데이터!$E$2:$E$20000,설정!$B$6)=0),"",$B424/SUMIFS(데이터!$C$2:$C$20000,데이터!$A$2:$A$20000,$A424,데이터!$E$2:$E$20000,설정!$B$6)-1),"")</f>
        <v/>
      </c>
      <c r="H424" s="5">
        <f>IFERROR(IF(OR($B424="",COUNTIFS(데이터!$A$2:$A$20000,$A424,데이터!$E$2:$E$20000,설정!$B$7)=0),"",$B424/SUMIFS(데이터!$C$2:$C$20000,데이터!$A$2:$A$20000,$A424,데이터!$E$2:$E$20000,설정!$B$7)-1),"")</f>
        <v/>
      </c>
      <c r="J424">
        <f>IF(C424="","",C424+ROW()*0.000000001)</f>
        <v/>
      </c>
      <c r="K424">
        <f>IF(D424="","",D424+ROW()*0.000000001)</f>
        <v/>
      </c>
      <c r="L424">
        <f>IF(E424="","",E424+ROW()*0.000000001)</f>
        <v/>
      </c>
      <c r="M424">
        <f>IF(F424="","",F424+ROW()*0.000000001)</f>
        <v/>
      </c>
      <c r="N424">
        <f>IF(G424="","",G424+ROW()*0.000000001)</f>
        <v/>
      </c>
      <c r="O424">
        <f>IF(H424="","",H424+ROW()*0.000000001)</f>
        <v/>
      </c>
    </row>
    <row r="425">
      <c r="B425" s="4">
        <f>IF($A425="","",IF(COUNTIFS(데이터!$A$2:$A$20000,$A425,데이터!$E$2:$E$20000,1)=0,"",SUMIFS(데이터!$C$2:$C$20000,데이터!$A$2:$A$20000,$A425,데이터!$E$2:$E$20000,1)))</f>
        <v/>
      </c>
      <c r="C425" s="5">
        <f>IFERROR(IF(OR($B425="",COUNTIFS(데이터!$A$2:$A$20000,$A425,데이터!$E$2:$E$20000,설정!$B$2)=0),"",$B425/SUMIFS(데이터!$C$2:$C$20000,데이터!$A$2:$A$20000,$A425,데이터!$E$2:$E$20000,설정!$B$2)-1),"")</f>
        <v/>
      </c>
      <c r="D425" s="5">
        <f>IFERROR(IF(OR($B425="",COUNTIFS(데이터!$A$2:$A$20000,$A425,데이터!$E$2:$E$20000,설정!$B$3)=0),"",$B425/SUMIFS(데이터!$C$2:$C$20000,데이터!$A$2:$A$20000,$A425,데이터!$E$2:$E$20000,설정!$B$3)-1),"")</f>
        <v/>
      </c>
      <c r="E425" s="5">
        <f>IFERROR(IF(OR($B425="",COUNTIFS(데이터!$A$2:$A$20000,$A425,데이터!$E$2:$E$20000,설정!$B$4)=0),"",$B425/SUMIFS(데이터!$C$2:$C$20000,데이터!$A$2:$A$20000,$A425,데이터!$E$2:$E$20000,설정!$B$4)-1),"")</f>
        <v/>
      </c>
      <c r="F425" s="5">
        <f>IFERROR(IF(OR($B425="",COUNTIFS(데이터!$A$2:$A$20000,$A425,데이터!$E$2:$E$20000,설정!$B$5)=0),"",$B425/SUMIFS(데이터!$C$2:$C$20000,데이터!$A$2:$A$20000,$A425,데이터!$E$2:$E$20000,설정!$B$5)-1),"")</f>
        <v/>
      </c>
      <c r="G425" s="5">
        <f>IFERROR(IF(OR($B425="",COUNTIFS(데이터!$A$2:$A$20000,$A425,데이터!$E$2:$E$20000,설정!$B$6)=0),"",$B425/SUMIFS(데이터!$C$2:$C$20000,데이터!$A$2:$A$20000,$A425,데이터!$E$2:$E$20000,설정!$B$6)-1),"")</f>
        <v/>
      </c>
      <c r="H425" s="5">
        <f>IFERROR(IF(OR($B425="",COUNTIFS(데이터!$A$2:$A$20000,$A425,데이터!$E$2:$E$20000,설정!$B$7)=0),"",$B425/SUMIFS(데이터!$C$2:$C$20000,데이터!$A$2:$A$20000,$A425,데이터!$E$2:$E$20000,설정!$B$7)-1),"")</f>
        <v/>
      </c>
      <c r="J425">
        <f>IF(C425="","",C425+ROW()*0.000000001)</f>
        <v/>
      </c>
      <c r="K425">
        <f>IF(D425="","",D425+ROW()*0.000000001)</f>
        <v/>
      </c>
      <c r="L425">
        <f>IF(E425="","",E425+ROW()*0.000000001)</f>
        <v/>
      </c>
      <c r="M425">
        <f>IF(F425="","",F425+ROW()*0.000000001)</f>
        <v/>
      </c>
      <c r="N425">
        <f>IF(G425="","",G425+ROW()*0.000000001)</f>
        <v/>
      </c>
      <c r="O425">
        <f>IF(H425="","",H425+ROW()*0.000000001)</f>
        <v/>
      </c>
    </row>
    <row r="426">
      <c r="B426" s="4">
        <f>IF($A426="","",IF(COUNTIFS(데이터!$A$2:$A$20000,$A426,데이터!$E$2:$E$20000,1)=0,"",SUMIFS(데이터!$C$2:$C$20000,데이터!$A$2:$A$20000,$A426,데이터!$E$2:$E$20000,1)))</f>
        <v/>
      </c>
      <c r="C426" s="5">
        <f>IFERROR(IF(OR($B426="",COUNTIFS(데이터!$A$2:$A$20000,$A426,데이터!$E$2:$E$20000,설정!$B$2)=0),"",$B426/SUMIFS(데이터!$C$2:$C$20000,데이터!$A$2:$A$20000,$A426,데이터!$E$2:$E$20000,설정!$B$2)-1),"")</f>
        <v/>
      </c>
      <c r="D426" s="5">
        <f>IFERROR(IF(OR($B426="",COUNTIFS(데이터!$A$2:$A$20000,$A426,데이터!$E$2:$E$20000,설정!$B$3)=0),"",$B426/SUMIFS(데이터!$C$2:$C$20000,데이터!$A$2:$A$20000,$A426,데이터!$E$2:$E$20000,설정!$B$3)-1),"")</f>
        <v/>
      </c>
      <c r="E426" s="5">
        <f>IFERROR(IF(OR($B426="",COUNTIFS(데이터!$A$2:$A$20000,$A426,데이터!$E$2:$E$20000,설정!$B$4)=0),"",$B426/SUMIFS(데이터!$C$2:$C$20000,데이터!$A$2:$A$20000,$A426,데이터!$E$2:$E$20000,설정!$B$4)-1),"")</f>
        <v/>
      </c>
      <c r="F426" s="5">
        <f>IFERROR(IF(OR($B426="",COUNTIFS(데이터!$A$2:$A$20000,$A426,데이터!$E$2:$E$20000,설정!$B$5)=0),"",$B426/SUMIFS(데이터!$C$2:$C$20000,데이터!$A$2:$A$20000,$A426,데이터!$E$2:$E$20000,설정!$B$5)-1),"")</f>
        <v/>
      </c>
      <c r="G426" s="5">
        <f>IFERROR(IF(OR($B426="",COUNTIFS(데이터!$A$2:$A$20000,$A426,데이터!$E$2:$E$20000,설정!$B$6)=0),"",$B426/SUMIFS(데이터!$C$2:$C$20000,데이터!$A$2:$A$20000,$A426,데이터!$E$2:$E$20000,설정!$B$6)-1),"")</f>
        <v/>
      </c>
      <c r="H426" s="5">
        <f>IFERROR(IF(OR($B426="",COUNTIFS(데이터!$A$2:$A$20000,$A426,데이터!$E$2:$E$20000,설정!$B$7)=0),"",$B426/SUMIFS(데이터!$C$2:$C$20000,데이터!$A$2:$A$20000,$A426,데이터!$E$2:$E$20000,설정!$B$7)-1),"")</f>
        <v/>
      </c>
      <c r="J426">
        <f>IF(C426="","",C426+ROW()*0.000000001)</f>
        <v/>
      </c>
      <c r="K426">
        <f>IF(D426="","",D426+ROW()*0.000000001)</f>
        <v/>
      </c>
      <c r="L426">
        <f>IF(E426="","",E426+ROW()*0.000000001)</f>
        <v/>
      </c>
      <c r="M426">
        <f>IF(F426="","",F426+ROW()*0.000000001)</f>
        <v/>
      </c>
      <c r="N426">
        <f>IF(G426="","",G426+ROW()*0.000000001)</f>
        <v/>
      </c>
      <c r="O426">
        <f>IF(H426="","",H426+ROW()*0.000000001)</f>
        <v/>
      </c>
    </row>
    <row r="427">
      <c r="B427" s="4">
        <f>IF($A427="","",IF(COUNTIFS(데이터!$A$2:$A$20000,$A427,데이터!$E$2:$E$20000,1)=0,"",SUMIFS(데이터!$C$2:$C$20000,데이터!$A$2:$A$20000,$A427,데이터!$E$2:$E$20000,1)))</f>
        <v/>
      </c>
      <c r="C427" s="5">
        <f>IFERROR(IF(OR($B427="",COUNTIFS(데이터!$A$2:$A$20000,$A427,데이터!$E$2:$E$20000,설정!$B$2)=0),"",$B427/SUMIFS(데이터!$C$2:$C$20000,데이터!$A$2:$A$20000,$A427,데이터!$E$2:$E$20000,설정!$B$2)-1),"")</f>
        <v/>
      </c>
      <c r="D427" s="5">
        <f>IFERROR(IF(OR($B427="",COUNTIFS(데이터!$A$2:$A$20000,$A427,데이터!$E$2:$E$20000,설정!$B$3)=0),"",$B427/SUMIFS(데이터!$C$2:$C$20000,데이터!$A$2:$A$20000,$A427,데이터!$E$2:$E$20000,설정!$B$3)-1),"")</f>
        <v/>
      </c>
      <c r="E427" s="5">
        <f>IFERROR(IF(OR($B427="",COUNTIFS(데이터!$A$2:$A$20000,$A427,데이터!$E$2:$E$20000,설정!$B$4)=0),"",$B427/SUMIFS(데이터!$C$2:$C$20000,데이터!$A$2:$A$20000,$A427,데이터!$E$2:$E$20000,설정!$B$4)-1),"")</f>
        <v/>
      </c>
      <c r="F427" s="5">
        <f>IFERROR(IF(OR($B427="",COUNTIFS(데이터!$A$2:$A$20000,$A427,데이터!$E$2:$E$20000,설정!$B$5)=0),"",$B427/SUMIFS(데이터!$C$2:$C$20000,데이터!$A$2:$A$20000,$A427,데이터!$E$2:$E$20000,설정!$B$5)-1),"")</f>
        <v/>
      </c>
      <c r="G427" s="5">
        <f>IFERROR(IF(OR($B427="",COUNTIFS(데이터!$A$2:$A$20000,$A427,데이터!$E$2:$E$20000,설정!$B$6)=0),"",$B427/SUMIFS(데이터!$C$2:$C$20000,데이터!$A$2:$A$20000,$A427,데이터!$E$2:$E$20000,설정!$B$6)-1),"")</f>
        <v/>
      </c>
      <c r="H427" s="5">
        <f>IFERROR(IF(OR($B427="",COUNTIFS(데이터!$A$2:$A$20000,$A427,데이터!$E$2:$E$20000,설정!$B$7)=0),"",$B427/SUMIFS(데이터!$C$2:$C$20000,데이터!$A$2:$A$20000,$A427,데이터!$E$2:$E$20000,설정!$B$7)-1),"")</f>
        <v/>
      </c>
      <c r="J427">
        <f>IF(C427="","",C427+ROW()*0.000000001)</f>
        <v/>
      </c>
      <c r="K427">
        <f>IF(D427="","",D427+ROW()*0.000000001)</f>
        <v/>
      </c>
      <c r="L427">
        <f>IF(E427="","",E427+ROW()*0.000000001)</f>
        <v/>
      </c>
      <c r="M427">
        <f>IF(F427="","",F427+ROW()*0.000000001)</f>
        <v/>
      </c>
      <c r="N427">
        <f>IF(G427="","",G427+ROW()*0.000000001)</f>
        <v/>
      </c>
      <c r="O427">
        <f>IF(H427="","",H427+ROW()*0.000000001)</f>
        <v/>
      </c>
    </row>
    <row r="428">
      <c r="B428" s="4">
        <f>IF($A428="","",IF(COUNTIFS(데이터!$A$2:$A$20000,$A428,데이터!$E$2:$E$20000,1)=0,"",SUMIFS(데이터!$C$2:$C$20000,데이터!$A$2:$A$20000,$A428,데이터!$E$2:$E$20000,1)))</f>
        <v/>
      </c>
      <c r="C428" s="5">
        <f>IFERROR(IF(OR($B428="",COUNTIFS(데이터!$A$2:$A$20000,$A428,데이터!$E$2:$E$20000,설정!$B$2)=0),"",$B428/SUMIFS(데이터!$C$2:$C$20000,데이터!$A$2:$A$20000,$A428,데이터!$E$2:$E$20000,설정!$B$2)-1),"")</f>
        <v/>
      </c>
      <c r="D428" s="5">
        <f>IFERROR(IF(OR($B428="",COUNTIFS(데이터!$A$2:$A$20000,$A428,데이터!$E$2:$E$20000,설정!$B$3)=0),"",$B428/SUMIFS(데이터!$C$2:$C$20000,데이터!$A$2:$A$20000,$A428,데이터!$E$2:$E$20000,설정!$B$3)-1),"")</f>
        <v/>
      </c>
      <c r="E428" s="5">
        <f>IFERROR(IF(OR($B428="",COUNTIFS(데이터!$A$2:$A$20000,$A428,데이터!$E$2:$E$20000,설정!$B$4)=0),"",$B428/SUMIFS(데이터!$C$2:$C$20000,데이터!$A$2:$A$20000,$A428,데이터!$E$2:$E$20000,설정!$B$4)-1),"")</f>
        <v/>
      </c>
      <c r="F428" s="5">
        <f>IFERROR(IF(OR($B428="",COUNTIFS(데이터!$A$2:$A$20000,$A428,데이터!$E$2:$E$20000,설정!$B$5)=0),"",$B428/SUMIFS(데이터!$C$2:$C$20000,데이터!$A$2:$A$20000,$A428,데이터!$E$2:$E$20000,설정!$B$5)-1),"")</f>
        <v/>
      </c>
      <c r="G428" s="5">
        <f>IFERROR(IF(OR($B428="",COUNTIFS(데이터!$A$2:$A$20000,$A428,데이터!$E$2:$E$20000,설정!$B$6)=0),"",$B428/SUMIFS(데이터!$C$2:$C$20000,데이터!$A$2:$A$20000,$A428,데이터!$E$2:$E$20000,설정!$B$6)-1),"")</f>
        <v/>
      </c>
      <c r="H428" s="5">
        <f>IFERROR(IF(OR($B428="",COUNTIFS(데이터!$A$2:$A$20000,$A428,데이터!$E$2:$E$20000,설정!$B$7)=0),"",$B428/SUMIFS(데이터!$C$2:$C$20000,데이터!$A$2:$A$20000,$A428,데이터!$E$2:$E$20000,설정!$B$7)-1),"")</f>
        <v/>
      </c>
      <c r="J428">
        <f>IF(C428="","",C428+ROW()*0.000000001)</f>
        <v/>
      </c>
      <c r="K428">
        <f>IF(D428="","",D428+ROW()*0.000000001)</f>
        <v/>
      </c>
      <c r="L428">
        <f>IF(E428="","",E428+ROW()*0.000000001)</f>
        <v/>
      </c>
      <c r="M428">
        <f>IF(F428="","",F428+ROW()*0.000000001)</f>
        <v/>
      </c>
      <c r="N428">
        <f>IF(G428="","",G428+ROW()*0.000000001)</f>
        <v/>
      </c>
      <c r="O428">
        <f>IF(H428="","",H428+ROW()*0.000000001)</f>
        <v/>
      </c>
    </row>
    <row r="429">
      <c r="B429" s="4">
        <f>IF($A429="","",IF(COUNTIFS(데이터!$A$2:$A$20000,$A429,데이터!$E$2:$E$20000,1)=0,"",SUMIFS(데이터!$C$2:$C$20000,데이터!$A$2:$A$20000,$A429,데이터!$E$2:$E$20000,1)))</f>
        <v/>
      </c>
      <c r="C429" s="5">
        <f>IFERROR(IF(OR($B429="",COUNTIFS(데이터!$A$2:$A$20000,$A429,데이터!$E$2:$E$20000,설정!$B$2)=0),"",$B429/SUMIFS(데이터!$C$2:$C$20000,데이터!$A$2:$A$20000,$A429,데이터!$E$2:$E$20000,설정!$B$2)-1),"")</f>
        <v/>
      </c>
      <c r="D429" s="5">
        <f>IFERROR(IF(OR($B429="",COUNTIFS(데이터!$A$2:$A$20000,$A429,데이터!$E$2:$E$20000,설정!$B$3)=0),"",$B429/SUMIFS(데이터!$C$2:$C$20000,데이터!$A$2:$A$20000,$A429,데이터!$E$2:$E$20000,설정!$B$3)-1),"")</f>
        <v/>
      </c>
      <c r="E429" s="5">
        <f>IFERROR(IF(OR($B429="",COUNTIFS(데이터!$A$2:$A$20000,$A429,데이터!$E$2:$E$20000,설정!$B$4)=0),"",$B429/SUMIFS(데이터!$C$2:$C$20000,데이터!$A$2:$A$20000,$A429,데이터!$E$2:$E$20000,설정!$B$4)-1),"")</f>
        <v/>
      </c>
      <c r="F429" s="5">
        <f>IFERROR(IF(OR($B429="",COUNTIFS(데이터!$A$2:$A$20000,$A429,데이터!$E$2:$E$20000,설정!$B$5)=0),"",$B429/SUMIFS(데이터!$C$2:$C$20000,데이터!$A$2:$A$20000,$A429,데이터!$E$2:$E$20000,설정!$B$5)-1),"")</f>
        <v/>
      </c>
      <c r="G429" s="5">
        <f>IFERROR(IF(OR($B429="",COUNTIFS(데이터!$A$2:$A$20000,$A429,데이터!$E$2:$E$20000,설정!$B$6)=0),"",$B429/SUMIFS(데이터!$C$2:$C$20000,데이터!$A$2:$A$20000,$A429,데이터!$E$2:$E$20000,설정!$B$6)-1),"")</f>
        <v/>
      </c>
      <c r="H429" s="5">
        <f>IFERROR(IF(OR($B429="",COUNTIFS(데이터!$A$2:$A$20000,$A429,데이터!$E$2:$E$20000,설정!$B$7)=0),"",$B429/SUMIFS(데이터!$C$2:$C$20000,데이터!$A$2:$A$20000,$A429,데이터!$E$2:$E$20000,설정!$B$7)-1),"")</f>
        <v/>
      </c>
      <c r="J429">
        <f>IF(C429="","",C429+ROW()*0.000000001)</f>
        <v/>
      </c>
      <c r="K429">
        <f>IF(D429="","",D429+ROW()*0.000000001)</f>
        <v/>
      </c>
      <c r="L429">
        <f>IF(E429="","",E429+ROW()*0.000000001)</f>
        <v/>
      </c>
      <c r="M429">
        <f>IF(F429="","",F429+ROW()*0.000000001)</f>
        <v/>
      </c>
      <c r="N429">
        <f>IF(G429="","",G429+ROW()*0.000000001)</f>
        <v/>
      </c>
      <c r="O429">
        <f>IF(H429="","",H429+ROW()*0.000000001)</f>
        <v/>
      </c>
    </row>
    <row r="430">
      <c r="B430" s="4">
        <f>IF($A430="","",IF(COUNTIFS(데이터!$A$2:$A$20000,$A430,데이터!$E$2:$E$20000,1)=0,"",SUMIFS(데이터!$C$2:$C$20000,데이터!$A$2:$A$20000,$A430,데이터!$E$2:$E$20000,1)))</f>
        <v/>
      </c>
      <c r="C430" s="5">
        <f>IFERROR(IF(OR($B430="",COUNTIFS(데이터!$A$2:$A$20000,$A430,데이터!$E$2:$E$20000,설정!$B$2)=0),"",$B430/SUMIFS(데이터!$C$2:$C$20000,데이터!$A$2:$A$20000,$A430,데이터!$E$2:$E$20000,설정!$B$2)-1),"")</f>
        <v/>
      </c>
      <c r="D430" s="5">
        <f>IFERROR(IF(OR($B430="",COUNTIFS(데이터!$A$2:$A$20000,$A430,데이터!$E$2:$E$20000,설정!$B$3)=0),"",$B430/SUMIFS(데이터!$C$2:$C$20000,데이터!$A$2:$A$20000,$A430,데이터!$E$2:$E$20000,설정!$B$3)-1),"")</f>
        <v/>
      </c>
      <c r="E430" s="5">
        <f>IFERROR(IF(OR($B430="",COUNTIFS(데이터!$A$2:$A$20000,$A430,데이터!$E$2:$E$20000,설정!$B$4)=0),"",$B430/SUMIFS(데이터!$C$2:$C$20000,데이터!$A$2:$A$20000,$A430,데이터!$E$2:$E$20000,설정!$B$4)-1),"")</f>
        <v/>
      </c>
      <c r="F430" s="5">
        <f>IFERROR(IF(OR($B430="",COUNTIFS(데이터!$A$2:$A$20000,$A430,데이터!$E$2:$E$20000,설정!$B$5)=0),"",$B430/SUMIFS(데이터!$C$2:$C$20000,데이터!$A$2:$A$20000,$A430,데이터!$E$2:$E$20000,설정!$B$5)-1),"")</f>
        <v/>
      </c>
      <c r="G430" s="5">
        <f>IFERROR(IF(OR($B430="",COUNTIFS(데이터!$A$2:$A$20000,$A430,데이터!$E$2:$E$20000,설정!$B$6)=0),"",$B430/SUMIFS(데이터!$C$2:$C$20000,데이터!$A$2:$A$20000,$A430,데이터!$E$2:$E$20000,설정!$B$6)-1),"")</f>
        <v/>
      </c>
      <c r="H430" s="5">
        <f>IFERROR(IF(OR($B430="",COUNTIFS(데이터!$A$2:$A$20000,$A430,데이터!$E$2:$E$20000,설정!$B$7)=0),"",$B430/SUMIFS(데이터!$C$2:$C$20000,데이터!$A$2:$A$20000,$A430,데이터!$E$2:$E$20000,설정!$B$7)-1),"")</f>
        <v/>
      </c>
      <c r="J430">
        <f>IF(C430="","",C430+ROW()*0.000000001)</f>
        <v/>
      </c>
      <c r="K430">
        <f>IF(D430="","",D430+ROW()*0.000000001)</f>
        <v/>
      </c>
      <c r="L430">
        <f>IF(E430="","",E430+ROW()*0.000000001)</f>
        <v/>
      </c>
      <c r="M430">
        <f>IF(F430="","",F430+ROW()*0.000000001)</f>
        <v/>
      </c>
      <c r="N430">
        <f>IF(G430="","",G430+ROW()*0.000000001)</f>
        <v/>
      </c>
      <c r="O430">
        <f>IF(H430="","",H430+ROW()*0.000000001)</f>
        <v/>
      </c>
    </row>
    <row r="431">
      <c r="B431" s="4">
        <f>IF($A431="","",IF(COUNTIFS(데이터!$A$2:$A$20000,$A431,데이터!$E$2:$E$20000,1)=0,"",SUMIFS(데이터!$C$2:$C$20000,데이터!$A$2:$A$20000,$A431,데이터!$E$2:$E$20000,1)))</f>
        <v/>
      </c>
      <c r="C431" s="5">
        <f>IFERROR(IF(OR($B431="",COUNTIFS(데이터!$A$2:$A$20000,$A431,데이터!$E$2:$E$20000,설정!$B$2)=0),"",$B431/SUMIFS(데이터!$C$2:$C$20000,데이터!$A$2:$A$20000,$A431,데이터!$E$2:$E$20000,설정!$B$2)-1),"")</f>
        <v/>
      </c>
      <c r="D431" s="5">
        <f>IFERROR(IF(OR($B431="",COUNTIFS(데이터!$A$2:$A$20000,$A431,데이터!$E$2:$E$20000,설정!$B$3)=0),"",$B431/SUMIFS(데이터!$C$2:$C$20000,데이터!$A$2:$A$20000,$A431,데이터!$E$2:$E$20000,설정!$B$3)-1),"")</f>
        <v/>
      </c>
      <c r="E431" s="5">
        <f>IFERROR(IF(OR($B431="",COUNTIFS(데이터!$A$2:$A$20000,$A431,데이터!$E$2:$E$20000,설정!$B$4)=0),"",$B431/SUMIFS(데이터!$C$2:$C$20000,데이터!$A$2:$A$20000,$A431,데이터!$E$2:$E$20000,설정!$B$4)-1),"")</f>
        <v/>
      </c>
      <c r="F431" s="5">
        <f>IFERROR(IF(OR($B431="",COUNTIFS(데이터!$A$2:$A$20000,$A431,데이터!$E$2:$E$20000,설정!$B$5)=0),"",$B431/SUMIFS(데이터!$C$2:$C$20000,데이터!$A$2:$A$20000,$A431,데이터!$E$2:$E$20000,설정!$B$5)-1),"")</f>
        <v/>
      </c>
      <c r="G431" s="5">
        <f>IFERROR(IF(OR($B431="",COUNTIFS(데이터!$A$2:$A$20000,$A431,데이터!$E$2:$E$20000,설정!$B$6)=0),"",$B431/SUMIFS(데이터!$C$2:$C$20000,데이터!$A$2:$A$20000,$A431,데이터!$E$2:$E$20000,설정!$B$6)-1),"")</f>
        <v/>
      </c>
      <c r="H431" s="5">
        <f>IFERROR(IF(OR($B431="",COUNTIFS(데이터!$A$2:$A$20000,$A431,데이터!$E$2:$E$20000,설정!$B$7)=0),"",$B431/SUMIFS(데이터!$C$2:$C$20000,데이터!$A$2:$A$20000,$A431,데이터!$E$2:$E$20000,설정!$B$7)-1),"")</f>
        <v/>
      </c>
      <c r="J431">
        <f>IF(C431="","",C431+ROW()*0.000000001)</f>
        <v/>
      </c>
      <c r="K431">
        <f>IF(D431="","",D431+ROW()*0.000000001)</f>
        <v/>
      </c>
      <c r="L431">
        <f>IF(E431="","",E431+ROW()*0.000000001)</f>
        <v/>
      </c>
      <c r="M431">
        <f>IF(F431="","",F431+ROW()*0.000000001)</f>
        <v/>
      </c>
      <c r="N431">
        <f>IF(G431="","",G431+ROW()*0.000000001)</f>
        <v/>
      </c>
      <c r="O431">
        <f>IF(H431="","",H431+ROW()*0.000000001)</f>
        <v/>
      </c>
    </row>
    <row r="432">
      <c r="B432" s="4">
        <f>IF($A432="","",IF(COUNTIFS(데이터!$A$2:$A$20000,$A432,데이터!$E$2:$E$20000,1)=0,"",SUMIFS(데이터!$C$2:$C$20000,데이터!$A$2:$A$20000,$A432,데이터!$E$2:$E$20000,1)))</f>
        <v/>
      </c>
      <c r="C432" s="5">
        <f>IFERROR(IF(OR($B432="",COUNTIFS(데이터!$A$2:$A$20000,$A432,데이터!$E$2:$E$20000,설정!$B$2)=0),"",$B432/SUMIFS(데이터!$C$2:$C$20000,데이터!$A$2:$A$20000,$A432,데이터!$E$2:$E$20000,설정!$B$2)-1),"")</f>
        <v/>
      </c>
      <c r="D432" s="5">
        <f>IFERROR(IF(OR($B432="",COUNTIFS(데이터!$A$2:$A$20000,$A432,데이터!$E$2:$E$20000,설정!$B$3)=0),"",$B432/SUMIFS(데이터!$C$2:$C$20000,데이터!$A$2:$A$20000,$A432,데이터!$E$2:$E$20000,설정!$B$3)-1),"")</f>
        <v/>
      </c>
      <c r="E432" s="5">
        <f>IFERROR(IF(OR($B432="",COUNTIFS(데이터!$A$2:$A$20000,$A432,데이터!$E$2:$E$20000,설정!$B$4)=0),"",$B432/SUMIFS(데이터!$C$2:$C$20000,데이터!$A$2:$A$20000,$A432,데이터!$E$2:$E$20000,설정!$B$4)-1),"")</f>
        <v/>
      </c>
      <c r="F432" s="5">
        <f>IFERROR(IF(OR($B432="",COUNTIFS(데이터!$A$2:$A$20000,$A432,데이터!$E$2:$E$20000,설정!$B$5)=0),"",$B432/SUMIFS(데이터!$C$2:$C$20000,데이터!$A$2:$A$20000,$A432,데이터!$E$2:$E$20000,설정!$B$5)-1),"")</f>
        <v/>
      </c>
      <c r="G432" s="5">
        <f>IFERROR(IF(OR($B432="",COUNTIFS(데이터!$A$2:$A$20000,$A432,데이터!$E$2:$E$20000,설정!$B$6)=0),"",$B432/SUMIFS(데이터!$C$2:$C$20000,데이터!$A$2:$A$20000,$A432,데이터!$E$2:$E$20000,설정!$B$6)-1),"")</f>
        <v/>
      </c>
      <c r="H432" s="5">
        <f>IFERROR(IF(OR($B432="",COUNTIFS(데이터!$A$2:$A$20000,$A432,데이터!$E$2:$E$20000,설정!$B$7)=0),"",$B432/SUMIFS(데이터!$C$2:$C$20000,데이터!$A$2:$A$20000,$A432,데이터!$E$2:$E$20000,설정!$B$7)-1),"")</f>
        <v/>
      </c>
      <c r="J432">
        <f>IF(C432="","",C432+ROW()*0.000000001)</f>
        <v/>
      </c>
      <c r="K432">
        <f>IF(D432="","",D432+ROW()*0.000000001)</f>
        <v/>
      </c>
      <c r="L432">
        <f>IF(E432="","",E432+ROW()*0.000000001)</f>
        <v/>
      </c>
      <c r="M432">
        <f>IF(F432="","",F432+ROW()*0.000000001)</f>
        <v/>
      </c>
      <c r="N432">
        <f>IF(G432="","",G432+ROW()*0.000000001)</f>
        <v/>
      </c>
      <c r="O432">
        <f>IF(H432="","",H432+ROW()*0.000000001)</f>
        <v/>
      </c>
    </row>
    <row r="433">
      <c r="B433" s="4">
        <f>IF($A433="","",IF(COUNTIFS(데이터!$A$2:$A$20000,$A433,데이터!$E$2:$E$20000,1)=0,"",SUMIFS(데이터!$C$2:$C$20000,데이터!$A$2:$A$20000,$A433,데이터!$E$2:$E$20000,1)))</f>
        <v/>
      </c>
      <c r="C433" s="5">
        <f>IFERROR(IF(OR($B433="",COUNTIFS(데이터!$A$2:$A$20000,$A433,데이터!$E$2:$E$20000,설정!$B$2)=0),"",$B433/SUMIFS(데이터!$C$2:$C$20000,데이터!$A$2:$A$20000,$A433,데이터!$E$2:$E$20000,설정!$B$2)-1),"")</f>
        <v/>
      </c>
      <c r="D433" s="5">
        <f>IFERROR(IF(OR($B433="",COUNTIFS(데이터!$A$2:$A$20000,$A433,데이터!$E$2:$E$20000,설정!$B$3)=0),"",$B433/SUMIFS(데이터!$C$2:$C$20000,데이터!$A$2:$A$20000,$A433,데이터!$E$2:$E$20000,설정!$B$3)-1),"")</f>
        <v/>
      </c>
      <c r="E433" s="5">
        <f>IFERROR(IF(OR($B433="",COUNTIFS(데이터!$A$2:$A$20000,$A433,데이터!$E$2:$E$20000,설정!$B$4)=0),"",$B433/SUMIFS(데이터!$C$2:$C$20000,데이터!$A$2:$A$20000,$A433,데이터!$E$2:$E$20000,설정!$B$4)-1),"")</f>
        <v/>
      </c>
      <c r="F433" s="5">
        <f>IFERROR(IF(OR($B433="",COUNTIFS(데이터!$A$2:$A$20000,$A433,데이터!$E$2:$E$20000,설정!$B$5)=0),"",$B433/SUMIFS(데이터!$C$2:$C$20000,데이터!$A$2:$A$20000,$A433,데이터!$E$2:$E$20000,설정!$B$5)-1),"")</f>
        <v/>
      </c>
      <c r="G433" s="5">
        <f>IFERROR(IF(OR($B433="",COUNTIFS(데이터!$A$2:$A$20000,$A433,데이터!$E$2:$E$20000,설정!$B$6)=0),"",$B433/SUMIFS(데이터!$C$2:$C$20000,데이터!$A$2:$A$20000,$A433,데이터!$E$2:$E$20000,설정!$B$6)-1),"")</f>
        <v/>
      </c>
      <c r="H433" s="5">
        <f>IFERROR(IF(OR($B433="",COUNTIFS(데이터!$A$2:$A$20000,$A433,데이터!$E$2:$E$20000,설정!$B$7)=0),"",$B433/SUMIFS(데이터!$C$2:$C$20000,데이터!$A$2:$A$20000,$A433,데이터!$E$2:$E$20000,설정!$B$7)-1),"")</f>
        <v/>
      </c>
      <c r="J433">
        <f>IF(C433="","",C433+ROW()*0.000000001)</f>
        <v/>
      </c>
      <c r="K433">
        <f>IF(D433="","",D433+ROW()*0.000000001)</f>
        <v/>
      </c>
      <c r="L433">
        <f>IF(E433="","",E433+ROW()*0.000000001)</f>
        <v/>
      </c>
      <c r="M433">
        <f>IF(F433="","",F433+ROW()*0.000000001)</f>
        <v/>
      </c>
      <c r="N433">
        <f>IF(G433="","",G433+ROW()*0.000000001)</f>
        <v/>
      </c>
      <c r="O433">
        <f>IF(H433="","",H433+ROW()*0.000000001)</f>
        <v/>
      </c>
    </row>
    <row r="434">
      <c r="B434" s="4">
        <f>IF($A434="","",IF(COUNTIFS(데이터!$A$2:$A$20000,$A434,데이터!$E$2:$E$20000,1)=0,"",SUMIFS(데이터!$C$2:$C$20000,데이터!$A$2:$A$20000,$A434,데이터!$E$2:$E$20000,1)))</f>
        <v/>
      </c>
      <c r="C434" s="5">
        <f>IFERROR(IF(OR($B434="",COUNTIFS(데이터!$A$2:$A$20000,$A434,데이터!$E$2:$E$20000,설정!$B$2)=0),"",$B434/SUMIFS(데이터!$C$2:$C$20000,데이터!$A$2:$A$20000,$A434,데이터!$E$2:$E$20000,설정!$B$2)-1),"")</f>
        <v/>
      </c>
      <c r="D434" s="5">
        <f>IFERROR(IF(OR($B434="",COUNTIFS(데이터!$A$2:$A$20000,$A434,데이터!$E$2:$E$20000,설정!$B$3)=0),"",$B434/SUMIFS(데이터!$C$2:$C$20000,데이터!$A$2:$A$20000,$A434,데이터!$E$2:$E$20000,설정!$B$3)-1),"")</f>
        <v/>
      </c>
      <c r="E434" s="5">
        <f>IFERROR(IF(OR($B434="",COUNTIFS(데이터!$A$2:$A$20000,$A434,데이터!$E$2:$E$20000,설정!$B$4)=0),"",$B434/SUMIFS(데이터!$C$2:$C$20000,데이터!$A$2:$A$20000,$A434,데이터!$E$2:$E$20000,설정!$B$4)-1),"")</f>
        <v/>
      </c>
      <c r="F434" s="5">
        <f>IFERROR(IF(OR($B434="",COUNTIFS(데이터!$A$2:$A$20000,$A434,데이터!$E$2:$E$20000,설정!$B$5)=0),"",$B434/SUMIFS(데이터!$C$2:$C$20000,데이터!$A$2:$A$20000,$A434,데이터!$E$2:$E$20000,설정!$B$5)-1),"")</f>
        <v/>
      </c>
      <c r="G434" s="5">
        <f>IFERROR(IF(OR($B434="",COUNTIFS(데이터!$A$2:$A$20000,$A434,데이터!$E$2:$E$20000,설정!$B$6)=0),"",$B434/SUMIFS(데이터!$C$2:$C$20000,데이터!$A$2:$A$20000,$A434,데이터!$E$2:$E$20000,설정!$B$6)-1),"")</f>
        <v/>
      </c>
      <c r="H434" s="5">
        <f>IFERROR(IF(OR($B434="",COUNTIFS(데이터!$A$2:$A$20000,$A434,데이터!$E$2:$E$20000,설정!$B$7)=0),"",$B434/SUMIFS(데이터!$C$2:$C$20000,데이터!$A$2:$A$20000,$A434,데이터!$E$2:$E$20000,설정!$B$7)-1),"")</f>
        <v/>
      </c>
      <c r="J434">
        <f>IF(C434="","",C434+ROW()*0.000000001)</f>
        <v/>
      </c>
      <c r="K434">
        <f>IF(D434="","",D434+ROW()*0.000000001)</f>
        <v/>
      </c>
      <c r="L434">
        <f>IF(E434="","",E434+ROW()*0.000000001)</f>
        <v/>
      </c>
      <c r="M434">
        <f>IF(F434="","",F434+ROW()*0.000000001)</f>
        <v/>
      </c>
      <c r="N434">
        <f>IF(G434="","",G434+ROW()*0.000000001)</f>
        <v/>
      </c>
      <c r="O434">
        <f>IF(H434="","",H434+ROW()*0.000000001)</f>
        <v/>
      </c>
    </row>
    <row r="435">
      <c r="B435" s="4">
        <f>IF($A435="","",IF(COUNTIFS(데이터!$A$2:$A$20000,$A435,데이터!$E$2:$E$20000,1)=0,"",SUMIFS(데이터!$C$2:$C$20000,데이터!$A$2:$A$20000,$A435,데이터!$E$2:$E$20000,1)))</f>
        <v/>
      </c>
      <c r="C435" s="5">
        <f>IFERROR(IF(OR($B435="",COUNTIFS(데이터!$A$2:$A$20000,$A435,데이터!$E$2:$E$20000,설정!$B$2)=0),"",$B435/SUMIFS(데이터!$C$2:$C$20000,데이터!$A$2:$A$20000,$A435,데이터!$E$2:$E$20000,설정!$B$2)-1),"")</f>
        <v/>
      </c>
      <c r="D435" s="5">
        <f>IFERROR(IF(OR($B435="",COUNTIFS(데이터!$A$2:$A$20000,$A435,데이터!$E$2:$E$20000,설정!$B$3)=0),"",$B435/SUMIFS(데이터!$C$2:$C$20000,데이터!$A$2:$A$20000,$A435,데이터!$E$2:$E$20000,설정!$B$3)-1),"")</f>
        <v/>
      </c>
      <c r="E435" s="5">
        <f>IFERROR(IF(OR($B435="",COUNTIFS(데이터!$A$2:$A$20000,$A435,데이터!$E$2:$E$20000,설정!$B$4)=0),"",$B435/SUMIFS(데이터!$C$2:$C$20000,데이터!$A$2:$A$20000,$A435,데이터!$E$2:$E$20000,설정!$B$4)-1),"")</f>
        <v/>
      </c>
      <c r="F435" s="5">
        <f>IFERROR(IF(OR($B435="",COUNTIFS(데이터!$A$2:$A$20000,$A435,데이터!$E$2:$E$20000,설정!$B$5)=0),"",$B435/SUMIFS(데이터!$C$2:$C$20000,데이터!$A$2:$A$20000,$A435,데이터!$E$2:$E$20000,설정!$B$5)-1),"")</f>
        <v/>
      </c>
      <c r="G435" s="5">
        <f>IFERROR(IF(OR($B435="",COUNTIFS(데이터!$A$2:$A$20000,$A435,데이터!$E$2:$E$20000,설정!$B$6)=0),"",$B435/SUMIFS(데이터!$C$2:$C$20000,데이터!$A$2:$A$20000,$A435,데이터!$E$2:$E$20000,설정!$B$6)-1),"")</f>
        <v/>
      </c>
      <c r="H435" s="5">
        <f>IFERROR(IF(OR($B435="",COUNTIFS(데이터!$A$2:$A$20000,$A435,데이터!$E$2:$E$20000,설정!$B$7)=0),"",$B435/SUMIFS(데이터!$C$2:$C$20000,데이터!$A$2:$A$20000,$A435,데이터!$E$2:$E$20000,설정!$B$7)-1),"")</f>
        <v/>
      </c>
      <c r="J435">
        <f>IF(C435="","",C435+ROW()*0.000000001)</f>
        <v/>
      </c>
      <c r="K435">
        <f>IF(D435="","",D435+ROW()*0.000000001)</f>
        <v/>
      </c>
      <c r="L435">
        <f>IF(E435="","",E435+ROW()*0.000000001)</f>
        <v/>
      </c>
      <c r="M435">
        <f>IF(F435="","",F435+ROW()*0.000000001)</f>
        <v/>
      </c>
      <c r="N435">
        <f>IF(G435="","",G435+ROW()*0.000000001)</f>
        <v/>
      </c>
      <c r="O435">
        <f>IF(H435="","",H435+ROW()*0.000000001)</f>
        <v/>
      </c>
    </row>
    <row r="436">
      <c r="B436" s="4">
        <f>IF($A436="","",IF(COUNTIFS(데이터!$A$2:$A$20000,$A436,데이터!$E$2:$E$20000,1)=0,"",SUMIFS(데이터!$C$2:$C$20000,데이터!$A$2:$A$20000,$A436,데이터!$E$2:$E$20000,1)))</f>
        <v/>
      </c>
      <c r="C436" s="5">
        <f>IFERROR(IF(OR($B436="",COUNTIFS(데이터!$A$2:$A$20000,$A436,데이터!$E$2:$E$20000,설정!$B$2)=0),"",$B436/SUMIFS(데이터!$C$2:$C$20000,데이터!$A$2:$A$20000,$A436,데이터!$E$2:$E$20000,설정!$B$2)-1),"")</f>
        <v/>
      </c>
      <c r="D436" s="5">
        <f>IFERROR(IF(OR($B436="",COUNTIFS(데이터!$A$2:$A$20000,$A436,데이터!$E$2:$E$20000,설정!$B$3)=0),"",$B436/SUMIFS(데이터!$C$2:$C$20000,데이터!$A$2:$A$20000,$A436,데이터!$E$2:$E$20000,설정!$B$3)-1),"")</f>
        <v/>
      </c>
      <c r="E436" s="5">
        <f>IFERROR(IF(OR($B436="",COUNTIFS(데이터!$A$2:$A$20000,$A436,데이터!$E$2:$E$20000,설정!$B$4)=0),"",$B436/SUMIFS(데이터!$C$2:$C$20000,데이터!$A$2:$A$20000,$A436,데이터!$E$2:$E$20000,설정!$B$4)-1),"")</f>
        <v/>
      </c>
      <c r="F436" s="5">
        <f>IFERROR(IF(OR($B436="",COUNTIFS(데이터!$A$2:$A$20000,$A436,데이터!$E$2:$E$20000,설정!$B$5)=0),"",$B436/SUMIFS(데이터!$C$2:$C$20000,데이터!$A$2:$A$20000,$A436,데이터!$E$2:$E$20000,설정!$B$5)-1),"")</f>
        <v/>
      </c>
      <c r="G436" s="5">
        <f>IFERROR(IF(OR($B436="",COUNTIFS(데이터!$A$2:$A$20000,$A436,데이터!$E$2:$E$20000,설정!$B$6)=0),"",$B436/SUMIFS(데이터!$C$2:$C$20000,데이터!$A$2:$A$20000,$A436,데이터!$E$2:$E$20000,설정!$B$6)-1),"")</f>
        <v/>
      </c>
      <c r="H436" s="5">
        <f>IFERROR(IF(OR($B436="",COUNTIFS(데이터!$A$2:$A$20000,$A436,데이터!$E$2:$E$20000,설정!$B$7)=0),"",$B436/SUMIFS(데이터!$C$2:$C$20000,데이터!$A$2:$A$20000,$A436,데이터!$E$2:$E$20000,설정!$B$7)-1),"")</f>
        <v/>
      </c>
      <c r="J436">
        <f>IF(C436="","",C436+ROW()*0.000000001)</f>
        <v/>
      </c>
      <c r="K436">
        <f>IF(D436="","",D436+ROW()*0.000000001)</f>
        <v/>
      </c>
      <c r="L436">
        <f>IF(E436="","",E436+ROW()*0.000000001)</f>
        <v/>
      </c>
      <c r="M436">
        <f>IF(F436="","",F436+ROW()*0.000000001)</f>
        <v/>
      </c>
      <c r="N436">
        <f>IF(G436="","",G436+ROW()*0.000000001)</f>
        <v/>
      </c>
      <c r="O436">
        <f>IF(H436="","",H436+ROW()*0.000000001)</f>
        <v/>
      </c>
    </row>
    <row r="437">
      <c r="B437" s="4">
        <f>IF($A437="","",IF(COUNTIFS(데이터!$A$2:$A$20000,$A437,데이터!$E$2:$E$20000,1)=0,"",SUMIFS(데이터!$C$2:$C$20000,데이터!$A$2:$A$20000,$A437,데이터!$E$2:$E$20000,1)))</f>
        <v/>
      </c>
      <c r="C437" s="5">
        <f>IFERROR(IF(OR($B437="",COUNTIFS(데이터!$A$2:$A$20000,$A437,데이터!$E$2:$E$20000,설정!$B$2)=0),"",$B437/SUMIFS(데이터!$C$2:$C$20000,데이터!$A$2:$A$20000,$A437,데이터!$E$2:$E$20000,설정!$B$2)-1),"")</f>
        <v/>
      </c>
      <c r="D437" s="5">
        <f>IFERROR(IF(OR($B437="",COUNTIFS(데이터!$A$2:$A$20000,$A437,데이터!$E$2:$E$20000,설정!$B$3)=0),"",$B437/SUMIFS(데이터!$C$2:$C$20000,데이터!$A$2:$A$20000,$A437,데이터!$E$2:$E$20000,설정!$B$3)-1),"")</f>
        <v/>
      </c>
      <c r="E437" s="5">
        <f>IFERROR(IF(OR($B437="",COUNTIFS(데이터!$A$2:$A$20000,$A437,데이터!$E$2:$E$20000,설정!$B$4)=0),"",$B437/SUMIFS(데이터!$C$2:$C$20000,데이터!$A$2:$A$20000,$A437,데이터!$E$2:$E$20000,설정!$B$4)-1),"")</f>
        <v/>
      </c>
      <c r="F437" s="5">
        <f>IFERROR(IF(OR($B437="",COUNTIFS(데이터!$A$2:$A$20000,$A437,데이터!$E$2:$E$20000,설정!$B$5)=0),"",$B437/SUMIFS(데이터!$C$2:$C$20000,데이터!$A$2:$A$20000,$A437,데이터!$E$2:$E$20000,설정!$B$5)-1),"")</f>
        <v/>
      </c>
      <c r="G437" s="5">
        <f>IFERROR(IF(OR($B437="",COUNTIFS(데이터!$A$2:$A$20000,$A437,데이터!$E$2:$E$20000,설정!$B$6)=0),"",$B437/SUMIFS(데이터!$C$2:$C$20000,데이터!$A$2:$A$20000,$A437,데이터!$E$2:$E$20000,설정!$B$6)-1),"")</f>
        <v/>
      </c>
      <c r="H437" s="5">
        <f>IFERROR(IF(OR($B437="",COUNTIFS(데이터!$A$2:$A$20000,$A437,데이터!$E$2:$E$20000,설정!$B$7)=0),"",$B437/SUMIFS(데이터!$C$2:$C$20000,데이터!$A$2:$A$20000,$A437,데이터!$E$2:$E$20000,설정!$B$7)-1),"")</f>
        <v/>
      </c>
      <c r="J437">
        <f>IF(C437="","",C437+ROW()*0.000000001)</f>
        <v/>
      </c>
      <c r="K437">
        <f>IF(D437="","",D437+ROW()*0.000000001)</f>
        <v/>
      </c>
      <c r="L437">
        <f>IF(E437="","",E437+ROW()*0.000000001)</f>
        <v/>
      </c>
      <c r="M437">
        <f>IF(F437="","",F437+ROW()*0.000000001)</f>
        <v/>
      </c>
      <c r="N437">
        <f>IF(G437="","",G437+ROW()*0.000000001)</f>
        <v/>
      </c>
      <c r="O437">
        <f>IF(H437="","",H437+ROW()*0.000000001)</f>
        <v/>
      </c>
    </row>
    <row r="438">
      <c r="B438" s="4">
        <f>IF($A438="","",IF(COUNTIFS(데이터!$A$2:$A$20000,$A438,데이터!$E$2:$E$20000,1)=0,"",SUMIFS(데이터!$C$2:$C$20000,데이터!$A$2:$A$20000,$A438,데이터!$E$2:$E$20000,1)))</f>
        <v/>
      </c>
      <c r="C438" s="5">
        <f>IFERROR(IF(OR($B438="",COUNTIFS(데이터!$A$2:$A$20000,$A438,데이터!$E$2:$E$20000,설정!$B$2)=0),"",$B438/SUMIFS(데이터!$C$2:$C$20000,데이터!$A$2:$A$20000,$A438,데이터!$E$2:$E$20000,설정!$B$2)-1),"")</f>
        <v/>
      </c>
      <c r="D438" s="5">
        <f>IFERROR(IF(OR($B438="",COUNTIFS(데이터!$A$2:$A$20000,$A438,데이터!$E$2:$E$20000,설정!$B$3)=0),"",$B438/SUMIFS(데이터!$C$2:$C$20000,데이터!$A$2:$A$20000,$A438,데이터!$E$2:$E$20000,설정!$B$3)-1),"")</f>
        <v/>
      </c>
      <c r="E438" s="5">
        <f>IFERROR(IF(OR($B438="",COUNTIFS(데이터!$A$2:$A$20000,$A438,데이터!$E$2:$E$20000,설정!$B$4)=0),"",$B438/SUMIFS(데이터!$C$2:$C$20000,데이터!$A$2:$A$20000,$A438,데이터!$E$2:$E$20000,설정!$B$4)-1),"")</f>
        <v/>
      </c>
      <c r="F438" s="5">
        <f>IFERROR(IF(OR($B438="",COUNTIFS(데이터!$A$2:$A$20000,$A438,데이터!$E$2:$E$20000,설정!$B$5)=0),"",$B438/SUMIFS(데이터!$C$2:$C$20000,데이터!$A$2:$A$20000,$A438,데이터!$E$2:$E$20000,설정!$B$5)-1),"")</f>
        <v/>
      </c>
      <c r="G438" s="5">
        <f>IFERROR(IF(OR($B438="",COUNTIFS(데이터!$A$2:$A$20000,$A438,데이터!$E$2:$E$20000,설정!$B$6)=0),"",$B438/SUMIFS(데이터!$C$2:$C$20000,데이터!$A$2:$A$20000,$A438,데이터!$E$2:$E$20000,설정!$B$6)-1),"")</f>
        <v/>
      </c>
      <c r="H438" s="5">
        <f>IFERROR(IF(OR($B438="",COUNTIFS(데이터!$A$2:$A$20000,$A438,데이터!$E$2:$E$20000,설정!$B$7)=0),"",$B438/SUMIFS(데이터!$C$2:$C$20000,데이터!$A$2:$A$20000,$A438,데이터!$E$2:$E$20000,설정!$B$7)-1),"")</f>
        <v/>
      </c>
      <c r="J438">
        <f>IF(C438="","",C438+ROW()*0.000000001)</f>
        <v/>
      </c>
      <c r="K438">
        <f>IF(D438="","",D438+ROW()*0.000000001)</f>
        <v/>
      </c>
      <c r="L438">
        <f>IF(E438="","",E438+ROW()*0.000000001)</f>
        <v/>
      </c>
      <c r="M438">
        <f>IF(F438="","",F438+ROW()*0.000000001)</f>
        <v/>
      </c>
      <c r="N438">
        <f>IF(G438="","",G438+ROW()*0.000000001)</f>
        <v/>
      </c>
      <c r="O438">
        <f>IF(H438="","",H438+ROW()*0.000000001)</f>
        <v/>
      </c>
    </row>
    <row r="439">
      <c r="B439" s="4">
        <f>IF($A439="","",IF(COUNTIFS(데이터!$A$2:$A$20000,$A439,데이터!$E$2:$E$20000,1)=0,"",SUMIFS(데이터!$C$2:$C$20000,데이터!$A$2:$A$20000,$A439,데이터!$E$2:$E$20000,1)))</f>
        <v/>
      </c>
      <c r="C439" s="5">
        <f>IFERROR(IF(OR($B439="",COUNTIFS(데이터!$A$2:$A$20000,$A439,데이터!$E$2:$E$20000,설정!$B$2)=0),"",$B439/SUMIFS(데이터!$C$2:$C$20000,데이터!$A$2:$A$20000,$A439,데이터!$E$2:$E$20000,설정!$B$2)-1),"")</f>
        <v/>
      </c>
      <c r="D439" s="5">
        <f>IFERROR(IF(OR($B439="",COUNTIFS(데이터!$A$2:$A$20000,$A439,데이터!$E$2:$E$20000,설정!$B$3)=0),"",$B439/SUMIFS(데이터!$C$2:$C$20000,데이터!$A$2:$A$20000,$A439,데이터!$E$2:$E$20000,설정!$B$3)-1),"")</f>
        <v/>
      </c>
      <c r="E439" s="5">
        <f>IFERROR(IF(OR($B439="",COUNTIFS(데이터!$A$2:$A$20000,$A439,데이터!$E$2:$E$20000,설정!$B$4)=0),"",$B439/SUMIFS(데이터!$C$2:$C$20000,데이터!$A$2:$A$20000,$A439,데이터!$E$2:$E$20000,설정!$B$4)-1),"")</f>
        <v/>
      </c>
      <c r="F439" s="5">
        <f>IFERROR(IF(OR($B439="",COUNTIFS(데이터!$A$2:$A$20000,$A439,데이터!$E$2:$E$20000,설정!$B$5)=0),"",$B439/SUMIFS(데이터!$C$2:$C$20000,데이터!$A$2:$A$20000,$A439,데이터!$E$2:$E$20000,설정!$B$5)-1),"")</f>
        <v/>
      </c>
      <c r="G439" s="5">
        <f>IFERROR(IF(OR($B439="",COUNTIFS(데이터!$A$2:$A$20000,$A439,데이터!$E$2:$E$20000,설정!$B$6)=0),"",$B439/SUMIFS(데이터!$C$2:$C$20000,데이터!$A$2:$A$20000,$A439,데이터!$E$2:$E$20000,설정!$B$6)-1),"")</f>
        <v/>
      </c>
      <c r="H439" s="5">
        <f>IFERROR(IF(OR($B439="",COUNTIFS(데이터!$A$2:$A$20000,$A439,데이터!$E$2:$E$20000,설정!$B$7)=0),"",$B439/SUMIFS(데이터!$C$2:$C$20000,데이터!$A$2:$A$20000,$A439,데이터!$E$2:$E$20000,설정!$B$7)-1),"")</f>
        <v/>
      </c>
      <c r="J439">
        <f>IF(C439="","",C439+ROW()*0.000000001)</f>
        <v/>
      </c>
      <c r="K439">
        <f>IF(D439="","",D439+ROW()*0.000000001)</f>
        <v/>
      </c>
      <c r="L439">
        <f>IF(E439="","",E439+ROW()*0.000000001)</f>
        <v/>
      </c>
      <c r="M439">
        <f>IF(F439="","",F439+ROW()*0.000000001)</f>
        <v/>
      </c>
      <c r="N439">
        <f>IF(G439="","",G439+ROW()*0.000000001)</f>
        <v/>
      </c>
      <c r="O439">
        <f>IF(H439="","",H439+ROW()*0.000000001)</f>
        <v/>
      </c>
    </row>
    <row r="440">
      <c r="B440" s="4">
        <f>IF($A440="","",IF(COUNTIFS(데이터!$A$2:$A$20000,$A440,데이터!$E$2:$E$20000,1)=0,"",SUMIFS(데이터!$C$2:$C$20000,데이터!$A$2:$A$20000,$A440,데이터!$E$2:$E$20000,1)))</f>
        <v/>
      </c>
      <c r="C440" s="5">
        <f>IFERROR(IF(OR($B440="",COUNTIFS(데이터!$A$2:$A$20000,$A440,데이터!$E$2:$E$20000,설정!$B$2)=0),"",$B440/SUMIFS(데이터!$C$2:$C$20000,데이터!$A$2:$A$20000,$A440,데이터!$E$2:$E$20000,설정!$B$2)-1),"")</f>
        <v/>
      </c>
      <c r="D440" s="5">
        <f>IFERROR(IF(OR($B440="",COUNTIFS(데이터!$A$2:$A$20000,$A440,데이터!$E$2:$E$20000,설정!$B$3)=0),"",$B440/SUMIFS(데이터!$C$2:$C$20000,데이터!$A$2:$A$20000,$A440,데이터!$E$2:$E$20000,설정!$B$3)-1),"")</f>
        <v/>
      </c>
      <c r="E440" s="5">
        <f>IFERROR(IF(OR($B440="",COUNTIFS(데이터!$A$2:$A$20000,$A440,데이터!$E$2:$E$20000,설정!$B$4)=0),"",$B440/SUMIFS(데이터!$C$2:$C$20000,데이터!$A$2:$A$20000,$A440,데이터!$E$2:$E$20000,설정!$B$4)-1),"")</f>
        <v/>
      </c>
      <c r="F440" s="5">
        <f>IFERROR(IF(OR($B440="",COUNTIFS(데이터!$A$2:$A$20000,$A440,데이터!$E$2:$E$20000,설정!$B$5)=0),"",$B440/SUMIFS(데이터!$C$2:$C$20000,데이터!$A$2:$A$20000,$A440,데이터!$E$2:$E$20000,설정!$B$5)-1),"")</f>
        <v/>
      </c>
      <c r="G440" s="5">
        <f>IFERROR(IF(OR($B440="",COUNTIFS(데이터!$A$2:$A$20000,$A440,데이터!$E$2:$E$20000,설정!$B$6)=0),"",$B440/SUMIFS(데이터!$C$2:$C$20000,데이터!$A$2:$A$20000,$A440,데이터!$E$2:$E$20000,설정!$B$6)-1),"")</f>
        <v/>
      </c>
      <c r="H440" s="5">
        <f>IFERROR(IF(OR($B440="",COUNTIFS(데이터!$A$2:$A$20000,$A440,데이터!$E$2:$E$20000,설정!$B$7)=0),"",$B440/SUMIFS(데이터!$C$2:$C$20000,데이터!$A$2:$A$20000,$A440,데이터!$E$2:$E$20000,설정!$B$7)-1),"")</f>
        <v/>
      </c>
      <c r="J440">
        <f>IF(C440="","",C440+ROW()*0.000000001)</f>
        <v/>
      </c>
      <c r="K440">
        <f>IF(D440="","",D440+ROW()*0.000000001)</f>
        <v/>
      </c>
      <c r="L440">
        <f>IF(E440="","",E440+ROW()*0.000000001)</f>
        <v/>
      </c>
      <c r="M440">
        <f>IF(F440="","",F440+ROW()*0.000000001)</f>
        <v/>
      </c>
      <c r="N440">
        <f>IF(G440="","",G440+ROW()*0.000000001)</f>
        <v/>
      </c>
      <c r="O440">
        <f>IF(H440="","",H440+ROW()*0.000000001)</f>
        <v/>
      </c>
    </row>
    <row r="441">
      <c r="B441" s="4">
        <f>IF($A441="","",IF(COUNTIFS(데이터!$A$2:$A$20000,$A441,데이터!$E$2:$E$20000,1)=0,"",SUMIFS(데이터!$C$2:$C$20000,데이터!$A$2:$A$20000,$A441,데이터!$E$2:$E$20000,1)))</f>
        <v/>
      </c>
      <c r="C441" s="5">
        <f>IFERROR(IF(OR($B441="",COUNTIFS(데이터!$A$2:$A$20000,$A441,데이터!$E$2:$E$20000,설정!$B$2)=0),"",$B441/SUMIFS(데이터!$C$2:$C$20000,데이터!$A$2:$A$20000,$A441,데이터!$E$2:$E$20000,설정!$B$2)-1),"")</f>
        <v/>
      </c>
      <c r="D441" s="5">
        <f>IFERROR(IF(OR($B441="",COUNTIFS(데이터!$A$2:$A$20000,$A441,데이터!$E$2:$E$20000,설정!$B$3)=0),"",$B441/SUMIFS(데이터!$C$2:$C$20000,데이터!$A$2:$A$20000,$A441,데이터!$E$2:$E$20000,설정!$B$3)-1),"")</f>
        <v/>
      </c>
      <c r="E441" s="5">
        <f>IFERROR(IF(OR($B441="",COUNTIFS(데이터!$A$2:$A$20000,$A441,데이터!$E$2:$E$20000,설정!$B$4)=0),"",$B441/SUMIFS(데이터!$C$2:$C$20000,데이터!$A$2:$A$20000,$A441,데이터!$E$2:$E$20000,설정!$B$4)-1),"")</f>
        <v/>
      </c>
      <c r="F441" s="5">
        <f>IFERROR(IF(OR($B441="",COUNTIFS(데이터!$A$2:$A$20000,$A441,데이터!$E$2:$E$20000,설정!$B$5)=0),"",$B441/SUMIFS(데이터!$C$2:$C$20000,데이터!$A$2:$A$20000,$A441,데이터!$E$2:$E$20000,설정!$B$5)-1),"")</f>
        <v/>
      </c>
      <c r="G441" s="5">
        <f>IFERROR(IF(OR($B441="",COUNTIFS(데이터!$A$2:$A$20000,$A441,데이터!$E$2:$E$20000,설정!$B$6)=0),"",$B441/SUMIFS(데이터!$C$2:$C$20000,데이터!$A$2:$A$20000,$A441,데이터!$E$2:$E$20000,설정!$B$6)-1),"")</f>
        <v/>
      </c>
      <c r="H441" s="5">
        <f>IFERROR(IF(OR($B441="",COUNTIFS(데이터!$A$2:$A$20000,$A441,데이터!$E$2:$E$20000,설정!$B$7)=0),"",$B441/SUMIFS(데이터!$C$2:$C$20000,데이터!$A$2:$A$20000,$A441,데이터!$E$2:$E$20000,설정!$B$7)-1),"")</f>
        <v/>
      </c>
      <c r="J441">
        <f>IF(C441="","",C441+ROW()*0.000000001)</f>
        <v/>
      </c>
      <c r="K441">
        <f>IF(D441="","",D441+ROW()*0.000000001)</f>
        <v/>
      </c>
      <c r="L441">
        <f>IF(E441="","",E441+ROW()*0.000000001)</f>
        <v/>
      </c>
      <c r="M441">
        <f>IF(F441="","",F441+ROW()*0.000000001)</f>
        <v/>
      </c>
      <c r="N441">
        <f>IF(G441="","",G441+ROW()*0.000000001)</f>
        <v/>
      </c>
      <c r="O441">
        <f>IF(H441="","",H441+ROW()*0.000000001)</f>
        <v/>
      </c>
    </row>
    <row r="442">
      <c r="B442" s="4">
        <f>IF($A442="","",IF(COUNTIFS(데이터!$A$2:$A$20000,$A442,데이터!$E$2:$E$20000,1)=0,"",SUMIFS(데이터!$C$2:$C$20000,데이터!$A$2:$A$20000,$A442,데이터!$E$2:$E$20000,1)))</f>
        <v/>
      </c>
      <c r="C442" s="5">
        <f>IFERROR(IF(OR($B442="",COUNTIFS(데이터!$A$2:$A$20000,$A442,데이터!$E$2:$E$20000,설정!$B$2)=0),"",$B442/SUMIFS(데이터!$C$2:$C$20000,데이터!$A$2:$A$20000,$A442,데이터!$E$2:$E$20000,설정!$B$2)-1),"")</f>
        <v/>
      </c>
      <c r="D442" s="5">
        <f>IFERROR(IF(OR($B442="",COUNTIFS(데이터!$A$2:$A$20000,$A442,데이터!$E$2:$E$20000,설정!$B$3)=0),"",$B442/SUMIFS(데이터!$C$2:$C$20000,데이터!$A$2:$A$20000,$A442,데이터!$E$2:$E$20000,설정!$B$3)-1),"")</f>
        <v/>
      </c>
      <c r="E442" s="5">
        <f>IFERROR(IF(OR($B442="",COUNTIFS(데이터!$A$2:$A$20000,$A442,데이터!$E$2:$E$20000,설정!$B$4)=0),"",$B442/SUMIFS(데이터!$C$2:$C$20000,데이터!$A$2:$A$20000,$A442,데이터!$E$2:$E$20000,설정!$B$4)-1),"")</f>
        <v/>
      </c>
      <c r="F442" s="5">
        <f>IFERROR(IF(OR($B442="",COUNTIFS(데이터!$A$2:$A$20000,$A442,데이터!$E$2:$E$20000,설정!$B$5)=0),"",$B442/SUMIFS(데이터!$C$2:$C$20000,데이터!$A$2:$A$20000,$A442,데이터!$E$2:$E$20000,설정!$B$5)-1),"")</f>
        <v/>
      </c>
      <c r="G442" s="5">
        <f>IFERROR(IF(OR($B442="",COUNTIFS(데이터!$A$2:$A$20000,$A442,데이터!$E$2:$E$20000,설정!$B$6)=0),"",$B442/SUMIFS(데이터!$C$2:$C$20000,데이터!$A$2:$A$20000,$A442,데이터!$E$2:$E$20000,설정!$B$6)-1),"")</f>
        <v/>
      </c>
      <c r="H442" s="5">
        <f>IFERROR(IF(OR($B442="",COUNTIFS(데이터!$A$2:$A$20000,$A442,데이터!$E$2:$E$20000,설정!$B$7)=0),"",$B442/SUMIFS(데이터!$C$2:$C$20000,데이터!$A$2:$A$20000,$A442,데이터!$E$2:$E$20000,설정!$B$7)-1),"")</f>
        <v/>
      </c>
      <c r="J442">
        <f>IF(C442="","",C442+ROW()*0.000000001)</f>
        <v/>
      </c>
      <c r="K442">
        <f>IF(D442="","",D442+ROW()*0.000000001)</f>
        <v/>
      </c>
      <c r="L442">
        <f>IF(E442="","",E442+ROW()*0.000000001)</f>
        <v/>
      </c>
      <c r="M442">
        <f>IF(F442="","",F442+ROW()*0.000000001)</f>
        <v/>
      </c>
      <c r="N442">
        <f>IF(G442="","",G442+ROW()*0.000000001)</f>
        <v/>
      </c>
      <c r="O442">
        <f>IF(H442="","",H442+ROW()*0.000000001)</f>
        <v/>
      </c>
    </row>
    <row r="443">
      <c r="B443" s="4">
        <f>IF($A443="","",IF(COUNTIFS(데이터!$A$2:$A$20000,$A443,데이터!$E$2:$E$20000,1)=0,"",SUMIFS(데이터!$C$2:$C$20000,데이터!$A$2:$A$20000,$A443,데이터!$E$2:$E$20000,1)))</f>
        <v/>
      </c>
      <c r="C443" s="5">
        <f>IFERROR(IF(OR($B443="",COUNTIFS(데이터!$A$2:$A$20000,$A443,데이터!$E$2:$E$20000,설정!$B$2)=0),"",$B443/SUMIFS(데이터!$C$2:$C$20000,데이터!$A$2:$A$20000,$A443,데이터!$E$2:$E$20000,설정!$B$2)-1),"")</f>
        <v/>
      </c>
      <c r="D443" s="5">
        <f>IFERROR(IF(OR($B443="",COUNTIFS(데이터!$A$2:$A$20000,$A443,데이터!$E$2:$E$20000,설정!$B$3)=0),"",$B443/SUMIFS(데이터!$C$2:$C$20000,데이터!$A$2:$A$20000,$A443,데이터!$E$2:$E$20000,설정!$B$3)-1),"")</f>
        <v/>
      </c>
      <c r="E443" s="5">
        <f>IFERROR(IF(OR($B443="",COUNTIFS(데이터!$A$2:$A$20000,$A443,데이터!$E$2:$E$20000,설정!$B$4)=0),"",$B443/SUMIFS(데이터!$C$2:$C$20000,데이터!$A$2:$A$20000,$A443,데이터!$E$2:$E$20000,설정!$B$4)-1),"")</f>
        <v/>
      </c>
      <c r="F443" s="5">
        <f>IFERROR(IF(OR($B443="",COUNTIFS(데이터!$A$2:$A$20000,$A443,데이터!$E$2:$E$20000,설정!$B$5)=0),"",$B443/SUMIFS(데이터!$C$2:$C$20000,데이터!$A$2:$A$20000,$A443,데이터!$E$2:$E$20000,설정!$B$5)-1),"")</f>
        <v/>
      </c>
      <c r="G443" s="5">
        <f>IFERROR(IF(OR($B443="",COUNTIFS(데이터!$A$2:$A$20000,$A443,데이터!$E$2:$E$20000,설정!$B$6)=0),"",$B443/SUMIFS(데이터!$C$2:$C$20000,데이터!$A$2:$A$20000,$A443,데이터!$E$2:$E$20000,설정!$B$6)-1),"")</f>
        <v/>
      </c>
      <c r="H443" s="5">
        <f>IFERROR(IF(OR($B443="",COUNTIFS(데이터!$A$2:$A$20000,$A443,데이터!$E$2:$E$20000,설정!$B$7)=0),"",$B443/SUMIFS(데이터!$C$2:$C$20000,데이터!$A$2:$A$20000,$A443,데이터!$E$2:$E$20000,설정!$B$7)-1),"")</f>
        <v/>
      </c>
      <c r="J443">
        <f>IF(C443="","",C443+ROW()*0.000000001)</f>
        <v/>
      </c>
      <c r="K443">
        <f>IF(D443="","",D443+ROW()*0.000000001)</f>
        <v/>
      </c>
      <c r="L443">
        <f>IF(E443="","",E443+ROW()*0.000000001)</f>
        <v/>
      </c>
      <c r="M443">
        <f>IF(F443="","",F443+ROW()*0.000000001)</f>
        <v/>
      </c>
      <c r="N443">
        <f>IF(G443="","",G443+ROW()*0.000000001)</f>
        <v/>
      </c>
      <c r="O443">
        <f>IF(H443="","",H443+ROW()*0.000000001)</f>
        <v/>
      </c>
    </row>
    <row r="444">
      <c r="B444" s="4">
        <f>IF($A444="","",IF(COUNTIFS(데이터!$A$2:$A$20000,$A444,데이터!$E$2:$E$20000,1)=0,"",SUMIFS(데이터!$C$2:$C$20000,데이터!$A$2:$A$20000,$A444,데이터!$E$2:$E$20000,1)))</f>
        <v/>
      </c>
      <c r="C444" s="5">
        <f>IFERROR(IF(OR($B444="",COUNTIFS(데이터!$A$2:$A$20000,$A444,데이터!$E$2:$E$20000,설정!$B$2)=0),"",$B444/SUMIFS(데이터!$C$2:$C$20000,데이터!$A$2:$A$20000,$A444,데이터!$E$2:$E$20000,설정!$B$2)-1),"")</f>
        <v/>
      </c>
      <c r="D444" s="5">
        <f>IFERROR(IF(OR($B444="",COUNTIFS(데이터!$A$2:$A$20000,$A444,데이터!$E$2:$E$20000,설정!$B$3)=0),"",$B444/SUMIFS(데이터!$C$2:$C$20000,데이터!$A$2:$A$20000,$A444,데이터!$E$2:$E$20000,설정!$B$3)-1),"")</f>
        <v/>
      </c>
      <c r="E444" s="5">
        <f>IFERROR(IF(OR($B444="",COUNTIFS(데이터!$A$2:$A$20000,$A444,데이터!$E$2:$E$20000,설정!$B$4)=0),"",$B444/SUMIFS(데이터!$C$2:$C$20000,데이터!$A$2:$A$20000,$A444,데이터!$E$2:$E$20000,설정!$B$4)-1),"")</f>
        <v/>
      </c>
      <c r="F444" s="5">
        <f>IFERROR(IF(OR($B444="",COUNTIFS(데이터!$A$2:$A$20000,$A444,데이터!$E$2:$E$20000,설정!$B$5)=0),"",$B444/SUMIFS(데이터!$C$2:$C$20000,데이터!$A$2:$A$20000,$A444,데이터!$E$2:$E$20000,설정!$B$5)-1),"")</f>
        <v/>
      </c>
      <c r="G444" s="5">
        <f>IFERROR(IF(OR($B444="",COUNTIFS(데이터!$A$2:$A$20000,$A444,데이터!$E$2:$E$20000,설정!$B$6)=0),"",$B444/SUMIFS(데이터!$C$2:$C$20000,데이터!$A$2:$A$20000,$A444,데이터!$E$2:$E$20000,설정!$B$6)-1),"")</f>
        <v/>
      </c>
      <c r="H444" s="5">
        <f>IFERROR(IF(OR($B444="",COUNTIFS(데이터!$A$2:$A$20000,$A444,데이터!$E$2:$E$20000,설정!$B$7)=0),"",$B444/SUMIFS(데이터!$C$2:$C$20000,데이터!$A$2:$A$20000,$A444,데이터!$E$2:$E$20000,설정!$B$7)-1),"")</f>
        <v/>
      </c>
      <c r="J444">
        <f>IF(C444="","",C444+ROW()*0.000000001)</f>
        <v/>
      </c>
      <c r="K444">
        <f>IF(D444="","",D444+ROW()*0.000000001)</f>
        <v/>
      </c>
      <c r="L444">
        <f>IF(E444="","",E444+ROW()*0.000000001)</f>
        <v/>
      </c>
      <c r="M444">
        <f>IF(F444="","",F444+ROW()*0.000000001)</f>
        <v/>
      </c>
      <c r="N444">
        <f>IF(G444="","",G444+ROW()*0.000000001)</f>
        <v/>
      </c>
      <c r="O444">
        <f>IF(H444="","",H444+ROW()*0.000000001)</f>
        <v/>
      </c>
    </row>
    <row r="445">
      <c r="B445" s="4">
        <f>IF($A445="","",IF(COUNTIFS(데이터!$A$2:$A$20000,$A445,데이터!$E$2:$E$20000,1)=0,"",SUMIFS(데이터!$C$2:$C$20000,데이터!$A$2:$A$20000,$A445,데이터!$E$2:$E$20000,1)))</f>
        <v/>
      </c>
      <c r="C445" s="5">
        <f>IFERROR(IF(OR($B445="",COUNTIFS(데이터!$A$2:$A$20000,$A445,데이터!$E$2:$E$20000,설정!$B$2)=0),"",$B445/SUMIFS(데이터!$C$2:$C$20000,데이터!$A$2:$A$20000,$A445,데이터!$E$2:$E$20000,설정!$B$2)-1),"")</f>
        <v/>
      </c>
      <c r="D445" s="5">
        <f>IFERROR(IF(OR($B445="",COUNTIFS(데이터!$A$2:$A$20000,$A445,데이터!$E$2:$E$20000,설정!$B$3)=0),"",$B445/SUMIFS(데이터!$C$2:$C$20000,데이터!$A$2:$A$20000,$A445,데이터!$E$2:$E$20000,설정!$B$3)-1),"")</f>
        <v/>
      </c>
      <c r="E445" s="5">
        <f>IFERROR(IF(OR($B445="",COUNTIFS(데이터!$A$2:$A$20000,$A445,데이터!$E$2:$E$20000,설정!$B$4)=0),"",$B445/SUMIFS(데이터!$C$2:$C$20000,데이터!$A$2:$A$20000,$A445,데이터!$E$2:$E$20000,설정!$B$4)-1),"")</f>
        <v/>
      </c>
      <c r="F445" s="5">
        <f>IFERROR(IF(OR($B445="",COUNTIFS(데이터!$A$2:$A$20000,$A445,데이터!$E$2:$E$20000,설정!$B$5)=0),"",$B445/SUMIFS(데이터!$C$2:$C$20000,데이터!$A$2:$A$20000,$A445,데이터!$E$2:$E$20000,설정!$B$5)-1),"")</f>
        <v/>
      </c>
      <c r="G445" s="5">
        <f>IFERROR(IF(OR($B445="",COUNTIFS(데이터!$A$2:$A$20000,$A445,데이터!$E$2:$E$20000,설정!$B$6)=0),"",$B445/SUMIFS(데이터!$C$2:$C$20000,데이터!$A$2:$A$20000,$A445,데이터!$E$2:$E$20000,설정!$B$6)-1),"")</f>
        <v/>
      </c>
      <c r="H445" s="5">
        <f>IFERROR(IF(OR($B445="",COUNTIFS(데이터!$A$2:$A$20000,$A445,데이터!$E$2:$E$20000,설정!$B$7)=0),"",$B445/SUMIFS(데이터!$C$2:$C$20000,데이터!$A$2:$A$20000,$A445,데이터!$E$2:$E$20000,설정!$B$7)-1),"")</f>
        <v/>
      </c>
      <c r="J445">
        <f>IF(C445="","",C445+ROW()*0.000000001)</f>
        <v/>
      </c>
      <c r="K445">
        <f>IF(D445="","",D445+ROW()*0.000000001)</f>
        <v/>
      </c>
      <c r="L445">
        <f>IF(E445="","",E445+ROW()*0.000000001)</f>
        <v/>
      </c>
      <c r="M445">
        <f>IF(F445="","",F445+ROW()*0.000000001)</f>
        <v/>
      </c>
      <c r="N445">
        <f>IF(G445="","",G445+ROW()*0.000000001)</f>
        <v/>
      </c>
      <c r="O445">
        <f>IF(H445="","",H445+ROW()*0.000000001)</f>
        <v/>
      </c>
    </row>
    <row r="446">
      <c r="B446" s="4">
        <f>IF($A446="","",IF(COUNTIFS(데이터!$A$2:$A$20000,$A446,데이터!$E$2:$E$20000,1)=0,"",SUMIFS(데이터!$C$2:$C$20000,데이터!$A$2:$A$20000,$A446,데이터!$E$2:$E$20000,1)))</f>
        <v/>
      </c>
      <c r="C446" s="5">
        <f>IFERROR(IF(OR($B446="",COUNTIFS(데이터!$A$2:$A$20000,$A446,데이터!$E$2:$E$20000,설정!$B$2)=0),"",$B446/SUMIFS(데이터!$C$2:$C$20000,데이터!$A$2:$A$20000,$A446,데이터!$E$2:$E$20000,설정!$B$2)-1),"")</f>
        <v/>
      </c>
      <c r="D446" s="5">
        <f>IFERROR(IF(OR($B446="",COUNTIFS(데이터!$A$2:$A$20000,$A446,데이터!$E$2:$E$20000,설정!$B$3)=0),"",$B446/SUMIFS(데이터!$C$2:$C$20000,데이터!$A$2:$A$20000,$A446,데이터!$E$2:$E$20000,설정!$B$3)-1),"")</f>
        <v/>
      </c>
      <c r="E446" s="5">
        <f>IFERROR(IF(OR($B446="",COUNTIFS(데이터!$A$2:$A$20000,$A446,데이터!$E$2:$E$20000,설정!$B$4)=0),"",$B446/SUMIFS(데이터!$C$2:$C$20000,데이터!$A$2:$A$20000,$A446,데이터!$E$2:$E$20000,설정!$B$4)-1),"")</f>
        <v/>
      </c>
      <c r="F446" s="5">
        <f>IFERROR(IF(OR($B446="",COUNTIFS(데이터!$A$2:$A$20000,$A446,데이터!$E$2:$E$20000,설정!$B$5)=0),"",$B446/SUMIFS(데이터!$C$2:$C$20000,데이터!$A$2:$A$20000,$A446,데이터!$E$2:$E$20000,설정!$B$5)-1),"")</f>
        <v/>
      </c>
      <c r="G446" s="5">
        <f>IFERROR(IF(OR($B446="",COUNTIFS(데이터!$A$2:$A$20000,$A446,데이터!$E$2:$E$20000,설정!$B$6)=0),"",$B446/SUMIFS(데이터!$C$2:$C$20000,데이터!$A$2:$A$20000,$A446,데이터!$E$2:$E$20000,설정!$B$6)-1),"")</f>
        <v/>
      </c>
      <c r="H446" s="5">
        <f>IFERROR(IF(OR($B446="",COUNTIFS(데이터!$A$2:$A$20000,$A446,데이터!$E$2:$E$20000,설정!$B$7)=0),"",$B446/SUMIFS(데이터!$C$2:$C$20000,데이터!$A$2:$A$20000,$A446,데이터!$E$2:$E$20000,설정!$B$7)-1),"")</f>
        <v/>
      </c>
      <c r="J446">
        <f>IF(C446="","",C446+ROW()*0.000000001)</f>
        <v/>
      </c>
      <c r="K446">
        <f>IF(D446="","",D446+ROW()*0.000000001)</f>
        <v/>
      </c>
      <c r="L446">
        <f>IF(E446="","",E446+ROW()*0.000000001)</f>
        <v/>
      </c>
      <c r="M446">
        <f>IF(F446="","",F446+ROW()*0.000000001)</f>
        <v/>
      </c>
      <c r="N446">
        <f>IF(G446="","",G446+ROW()*0.000000001)</f>
        <v/>
      </c>
      <c r="O446">
        <f>IF(H446="","",H446+ROW()*0.000000001)</f>
        <v/>
      </c>
    </row>
    <row r="447">
      <c r="B447" s="4">
        <f>IF($A447="","",IF(COUNTIFS(데이터!$A$2:$A$20000,$A447,데이터!$E$2:$E$20000,1)=0,"",SUMIFS(데이터!$C$2:$C$20000,데이터!$A$2:$A$20000,$A447,데이터!$E$2:$E$20000,1)))</f>
        <v/>
      </c>
      <c r="C447" s="5">
        <f>IFERROR(IF(OR($B447="",COUNTIFS(데이터!$A$2:$A$20000,$A447,데이터!$E$2:$E$20000,설정!$B$2)=0),"",$B447/SUMIFS(데이터!$C$2:$C$20000,데이터!$A$2:$A$20000,$A447,데이터!$E$2:$E$20000,설정!$B$2)-1),"")</f>
        <v/>
      </c>
      <c r="D447" s="5">
        <f>IFERROR(IF(OR($B447="",COUNTIFS(데이터!$A$2:$A$20000,$A447,데이터!$E$2:$E$20000,설정!$B$3)=0),"",$B447/SUMIFS(데이터!$C$2:$C$20000,데이터!$A$2:$A$20000,$A447,데이터!$E$2:$E$20000,설정!$B$3)-1),"")</f>
        <v/>
      </c>
      <c r="E447" s="5">
        <f>IFERROR(IF(OR($B447="",COUNTIFS(데이터!$A$2:$A$20000,$A447,데이터!$E$2:$E$20000,설정!$B$4)=0),"",$B447/SUMIFS(데이터!$C$2:$C$20000,데이터!$A$2:$A$20000,$A447,데이터!$E$2:$E$20000,설정!$B$4)-1),"")</f>
        <v/>
      </c>
      <c r="F447" s="5">
        <f>IFERROR(IF(OR($B447="",COUNTIFS(데이터!$A$2:$A$20000,$A447,데이터!$E$2:$E$20000,설정!$B$5)=0),"",$B447/SUMIFS(데이터!$C$2:$C$20000,데이터!$A$2:$A$20000,$A447,데이터!$E$2:$E$20000,설정!$B$5)-1),"")</f>
        <v/>
      </c>
      <c r="G447" s="5">
        <f>IFERROR(IF(OR($B447="",COUNTIFS(데이터!$A$2:$A$20000,$A447,데이터!$E$2:$E$20000,설정!$B$6)=0),"",$B447/SUMIFS(데이터!$C$2:$C$20000,데이터!$A$2:$A$20000,$A447,데이터!$E$2:$E$20000,설정!$B$6)-1),"")</f>
        <v/>
      </c>
      <c r="H447" s="5">
        <f>IFERROR(IF(OR($B447="",COUNTIFS(데이터!$A$2:$A$20000,$A447,데이터!$E$2:$E$20000,설정!$B$7)=0),"",$B447/SUMIFS(데이터!$C$2:$C$20000,데이터!$A$2:$A$20000,$A447,데이터!$E$2:$E$20000,설정!$B$7)-1),"")</f>
        <v/>
      </c>
      <c r="J447">
        <f>IF(C447="","",C447+ROW()*0.000000001)</f>
        <v/>
      </c>
      <c r="K447">
        <f>IF(D447="","",D447+ROW()*0.000000001)</f>
        <v/>
      </c>
      <c r="L447">
        <f>IF(E447="","",E447+ROW()*0.000000001)</f>
        <v/>
      </c>
      <c r="M447">
        <f>IF(F447="","",F447+ROW()*0.000000001)</f>
        <v/>
      </c>
      <c r="N447">
        <f>IF(G447="","",G447+ROW()*0.000000001)</f>
        <v/>
      </c>
      <c r="O447">
        <f>IF(H447="","",H447+ROW()*0.000000001)</f>
        <v/>
      </c>
    </row>
    <row r="448">
      <c r="B448" s="4">
        <f>IF($A448="","",IF(COUNTIFS(데이터!$A$2:$A$20000,$A448,데이터!$E$2:$E$20000,1)=0,"",SUMIFS(데이터!$C$2:$C$20000,데이터!$A$2:$A$20000,$A448,데이터!$E$2:$E$20000,1)))</f>
        <v/>
      </c>
      <c r="C448" s="5">
        <f>IFERROR(IF(OR($B448="",COUNTIFS(데이터!$A$2:$A$20000,$A448,데이터!$E$2:$E$20000,설정!$B$2)=0),"",$B448/SUMIFS(데이터!$C$2:$C$20000,데이터!$A$2:$A$20000,$A448,데이터!$E$2:$E$20000,설정!$B$2)-1),"")</f>
        <v/>
      </c>
      <c r="D448" s="5">
        <f>IFERROR(IF(OR($B448="",COUNTIFS(데이터!$A$2:$A$20000,$A448,데이터!$E$2:$E$20000,설정!$B$3)=0),"",$B448/SUMIFS(데이터!$C$2:$C$20000,데이터!$A$2:$A$20000,$A448,데이터!$E$2:$E$20000,설정!$B$3)-1),"")</f>
        <v/>
      </c>
      <c r="E448" s="5">
        <f>IFERROR(IF(OR($B448="",COUNTIFS(데이터!$A$2:$A$20000,$A448,데이터!$E$2:$E$20000,설정!$B$4)=0),"",$B448/SUMIFS(데이터!$C$2:$C$20000,데이터!$A$2:$A$20000,$A448,데이터!$E$2:$E$20000,설정!$B$4)-1),"")</f>
        <v/>
      </c>
      <c r="F448" s="5">
        <f>IFERROR(IF(OR($B448="",COUNTIFS(데이터!$A$2:$A$20000,$A448,데이터!$E$2:$E$20000,설정!$B$5)=0),"",$B448/SUMIFS(데이터!$C$2:$C$20000,데이터!$A$2:$A$20000,$A448,데이터!$E$2:$E$20000,설정!$B$5)-1),"")</f>
        <v/>
      </c>
      <c r="G448" s="5">
        <f>IFERROR(IF(OR($B448="",COUNTIFS(데이터!$A$2:$A$20000,$A448,데이터!$E$2:$E$20000,설정!$B$6)=0),"",$B448/SUMIFS(데이터!$C$2:$C$20000,데이터!$A$2:$A$20000,$A448,데이터!$E$2:$E$20000,설정!$B$6)-1),"")</f>
        <v/>
      </c>
      <c r="H448" s="5">
        <f>IFERROR(IF(OR($B448="",COUNTIFS(데이터!$A$2:$A$20000,$A448,데이터!$E$2:$E$20000,설정!$B$7)=0),"",$B448/SUMIFS(데이터!$C$2:$C$20000,데이터!$A$2:$A$20000,$A448,데이터!$E$2:$E$20000,설정!$B$7)-1),"")</f>
        <v/>
      </c>
      <c r="J448">
        <f>IF(C448="","",C448+ROW()*0.000000001)</f>
        <v/>
      </c>
      <c r="K448">
        <f>IF(D448="","",D448+ROW()*0.000000001)</f>
        <v/>
      </c>
      <c r="L448">
        <f>IF(E448="","",E448+ROW()*0.000000001)</f>
        <v/>
      </c>
      <c r="M448">
        <f>IF(F448="","",F448+ROW()*0.000000001)</f>
        <v/>
      </c>
      <c r="N448">
        <f>IF(G448="","",G448+ROW()*0.000000001)</f>
        <v/>
      </c>
      <c r="O448">
        <f>IF(H448="","",H448+ROW()*0.000000001)</f>
        <v/>
      </c>
    </row>
    <row r="449">
      <c r="B449" s="4">
        <f>IF($A449="","",IF(COUNTIFS(데이터!$A$2:$A$20000,$A449,데이터!$E$2:$E$20000,1)=0,"",SUMIFS(데이터!$C$2:$C$20000,데이터!$A$2:$A$20000,$A449,데이터!$E$2:$E$20000,1)))</f>
        <v/>
      </c>
      <c r="C449" s="5">
        <f>IFERROR(IF(OR($B449="",COUNTIFS(데이터!$A$2:$A$20000,$A449,데이터!$E$2:$E$20000,설정!$B$2)=0),"",$B449/SUMIFS(데이터!$C$2:$C$20000,데이터!$A$2:$A$20000,$A449,데이터!$E$2:$E$20000,설정!$B$2)-1),"")</f>
        <v/>
      </c>
      <c r="D449" s="5">
        <f>IFERROR(IF(OR($B449="",COUNTIFS(데이터!$A$2:$A$20000,$A449,데이터!$E$2:$E$20000,설정!$B$3)=0),"",$B449/SUMIFS(데이터!$C$2:$C$20000,데이터!$A$2:$A$20000,$A449,데이터!$E$2:$E$20000,설정!$B$3)-1),"")</f>
        <v/>
      </c>
      <c r="E449" s="5">
        <f>IFERROR(IF(OR($B449="",COUNTIFS(데이터!$A$2:$A$20000,$A449,데이터!$E$2:$E$20000,설정!$B$4)=0),"",$B449/SUMIFS(데이터!$C$2:$C$20000,데이터!$A$2:$A$20000,$A449,데이터!$E$2:$E$20000,설정!$B$4)-1),"")</f>
        <v/>
      </c>
      <c r="F449" s="5">
        <f>IFERROR(IF(OR($B449="",COUNTIFS(데이터!$A$2:$A$20000,$A449,데이터!$E$2:$E$20000,설정!$B$5)=0),"",$B449/SUMIFS(데이터!$C$2:$C$20000,데이터!$A$2:$A$20000,$A449,데이터!$E$2:$E$20000,설정!$B$5)-1),"")</f>
        <v/>
      </c>
      <c r="G449" s="5">
        <f>IFERROR(IF(OR($B449="",COUNTIFS(데이터!$A$2:$A$20000,$A449,데이터!$E$2:$E$20000,설정!$B$6)=0),"",$B449/SUMIFS(데이터!$C$2:$C$20000,데이터!$A$2:$A$20000,$A449,데이터!$E$2:$E$20000,설정!$B$6)-1),"")</f>
        <v/>
      </c>
      <c r="H449" s="5">
        <f>IFERROR(IF(OR($B449="",COUNTIFS(데이터!$A$2:$A$20000,$A449,데이터!$E$2:$E$20000,설정!$B$7)=0),"",$B449/SUMIFS(데이터!$C$2:$C$20000,데이터!$A$2:$A$20000,$A449,데이터!$E$2:$E$20000,설정!$B$7)-1),"")</f>
        <v/>
      </c>
      <c r="J449">
        <f>IF(C449="","",C449+ROW()*0.000000001)</f>
        <v/>
      </c>
      <c r="K449">
        <f>IF(D449="","",D449+ROW()*0.000000001)</f>
        <v/>
      </c>
      <c r="L449">
        <f>IF(E449="","",E449+ROW()*0.000000001)</f>
        <v/>
      </c>
      <c r="M449">
        <f>IF(F449="","",F449+ROW()*0.000000001)</f>
        <v/>
      </c>
      <c r="N449">
        <f>IF(G449="","",G449+ROW()*0.000000001)</f>
        <v/>
      </c>
      <c r="O449">
        <f>IF(H449="","",H449+ROW()*0.000000001)</f>
        <v/>
      </c>
    </row>
    <row r="450">
      <c r="B450" s="4">
        <f>IF($A450="","",IF(COUNTIFS(데이터!$A$2:$A$20000,$A450,데이터!$E$2:$E$20000,1)=0,"",SUMIFS(데이터!$C$2:$C$20000,데이터!$A$2:$A$20000,$A450,데이터!$E$2:$E$20000,1)))</f>
        <v/>
      </c>
      <c r="C450" s="5">
        <f>IFERROR(IF(OR($B450="",COUNTIFS(데이터!$A$2:$A$20000,$A450,데이터!$E$2:$E$20000,설정!$B$2)=0),"",$B450/SUMIFS(데이터!$C$2:$C$20000,데이터!$A$2:$A$20000,$A450,데이터!$E$2:$E$20000,설정!$B$2)-1),"")</f>
        <v/>
      </c>
      <c r="D450" s="5">
        <f>IFERROR(IF(OR($B450="",COUNTIFS(데이터!$A$2:$A$20000,$A450,데이터!$E$2:$E$20000,설정!$B$3)=0),"",$B450/SUMIFS(데이터!$C$2:$C$20000,데이터!$A$2:$A$20000,$A450,데이터!$E$2:$E$20000,설정!$B$3)-1),"")</f>
        <v/>
      </c>
      <c r="E450" s="5">
        <f>IFERROR(IF(OR($B450="",COUNTIFS(데이터!$A$2:$A$20000,$A450,데이터!$E$2:$E$20000,설정!$B$4)=0),"",$B450/SUMIFS(데이터!$C$2:$C$20000,데이터!$A$2:$A$20000,$A450,데이터!$E$2:$E$20000,설정!$B$4)-1),"")</f>
        <v/>
      </c>
      <c r="F450" s="5">
        <f>IFERROR(IF(OR($B450="",COUNTIFS(데이터!$A$2:$A$20000,$A450,데이터!$E$2:$E$20000,설정!$B$5)=0),"",$B450/SUMIFS(데이터!$C$2:$C$20000,데이터!$A$2:$A$20000,$A450,데이터!$E$2:$E$20000,설정!$B$5)-1),"")</f>
        <v/>
      </c>
      <c r="G450" s="5">
        <f>IFERROR(IF(OR($B450="",COUNTIFS(데이터!$A$2:$A$20000,$A450,데이터!$E$2:$E$20000,설정!$B$6)=0),"",$B450/SUMIFS(데이터!$C$2:$C$20000,데이터!$A$2:$A$20000,$A450,데이터!$E$2:$E$20000,설정!$B$6)-1),"")</f>
        <v/>
      </c>
      <c r="H450" s="5">
        <f>IFERROR(IF(OR($B450="",COUNTIFS(데이터!$A$2:$A$20000,$A450,데이터!$E$2:$E$20000,설정!$B$7)=0),"",$B450/SUMIFS(데이터!$C$2:$C$20000,데이터!$A$2:$A$20000,$A450,데이터!$E$2:$E$20000,설정!$B$7)-1),"")</f>
        <v/>
      </c>
      <c r="J450">
        <f>IF(C450="","",C450+ROW()*0.000000001)</f>
        <v/>
      </c>
      <c r="K450">
        <f>IF(D450="","",D450+ROW()*0.000000001)</f>
        <v/>
      </c>
      <c r="L450">
        <f>IF(E450="","",E450+ROW()*0.000000001)</f>
        <v/>
      </c>
      <c r="M450">
        <f>IF(F450="","",F450+ROW()*0.000000001)</f>
        <v/>
      </c>
      <c r="N450">
        <f>IF(G450="","",G450+ROW()*0.000000001)</f>
        <v/>
      </c>
      <c r="O450">
        <f>IF(H450="","",H450+ROW()*0.000000001)</f>
        <v/>
      </c>
    </row>
    <row r="451">
      <c r="B451" s="4">
        <f>IF($A451="","",IF(COUNTIFS(데이터!$A$2:$A$20000,$A451,데이터!$E$2:$E$20000,1)=0,"",SUMIFS(데이터!$C$2:$C$20000,데이터!$A$2:$A$20000,$A451,데이터!$E$2:$E$20000,1)))</f>
        <v/>
      </c>
      <c r="C451" s="5">
        <f>IFERROR(IF(OR($B451="",COUNTIFS(데이터!$A$2:$A$20000,$A451,데이터!$E$2:$E$20000,설정!$B$2)=0),"",$B451/SUMIFS(데이터!$C$2:$C$20000,데이터!$A$2:$A$20000,$A451,데이터!$E$2:$E$20000,설정!$B$2)-1),"")</f>
        <v/>
      </c>
      <c r="D451" s="5">
        <f>IFERROR(IF(OR($B451="",COUNTIFS(데이터!$A$2:$A$20000,$A451,데이터!$E$2:$E$20000,설정!$B$3)=0),"",$B451/SUMIFS(데이터!$C$2:$C$20000,데이터!$A$2:$A$20000,$A451,데이터!$E$2:$E$20000,설정!$B$3)-1),"")</f>
        <v/>
      </c>
      <c r="E451" s="5">
        <f>IFERROR(IF(OR($B451="",COUNTIFS(데이터!$A$2:$A$20000,$A451,데이터!$E$2:$E$20000,설정!$B$4)=0),"",$B451/SUMIFS(데이터!$C$2:$C$20000,데이터!$A$2:$A$20000,$A451,데이터!$E$2:$E$20000,설정!$B$4)-1),"")</f>
        <v/>
      </c>
      <c r="F451" s="5">
        <f>IFERROR(IF(OR($B451="",COUNTIFS(데이터!$A$2:$A$20000,$A451,데이터!$E$2:$E$20000,설정!$B$5)=0),"",$B451/SUMIFS(데이터!$C$2:$C$20000,데이터!$A$2:$A$20000,$A451,데이터!$E$2:$E$20000,설정!$B$5)-1),"")</f>
        <v/>
      </c>
      <c r="G451" s="5">
        <f>IFERROR(IF(OR($B451="",COUNTIFS(데이터!$A$2:$A$20000,$A451,데이터!$E$2:$E$20000,설정!$B$6)=0),"",$B451/SUMIFS(데이터!$C$2:$C$20000,데이터!$A$2:$A$20000,$A451,데이터!$E$2:$E$20000,설정!$B$6)-1),"")</f>
        <v/>
      </c>
      <c r="H451" s="5">
        <f>IFERROR(IF(OR($B451="",COUNTIFS(데이터!$A$2:$A$20000,$A451,데이터!$E$2:$E$20000,설정!$B$7)=0),"",$B451/SUMIFS(데이터!$C$2:$C$20000,데이터!$A$2:$A$20000,$A451,데이터!$E$2:$E$20000,설정!$B$7)-1),"")</f>
        <v/>
      </c>
      <c r="J451">
        <f>IF(C451="","",C451+ROW()*0.000000001)</f>
        <v/>
      </c>
      <c r="K451">
        <f>IF(D451="","",D451+ROW()*0.000000001)</f>
        <v/>
      </c>
      <c r="L451">
        <f>IF(E451="","",E451+ROW()*0.000000001)</f>
        <v/>
      </c>
      <c r="M451">
        <f>IF(F451="","",F451+ROW()*0.000000001)</f>
        <v/>
      </c>
      <c r="N451">
        <f>IF(G451="","",G451+ROW()*0.000000001)</f>
        <v/>
      </c>
      <c r="O451">
        <f>IF(H451="","",H451+ROW()*0.000000001)</f>
        <v/>
      </c>
    </row>
    <row r="452">
      <c r="B452" s="4">
        <f>IF($A452="","",IF(COUNTIFS(데이터!$A$2:$A$20000,$A452,데이터!$E$2:$E$20000,1)=0,"",SUMIFS(데이터!$C$2:$C$20000,데이터!$A$2:$A$20000,$A452,데이터!$E$2:$E$20000,1)))</f>
        <v/>
      </c>
      <c r="C452" s="5">
        <f>IFERROR(IF(OR($B452="",COUNTIFS(데이터!$A$2:$A$20000,$A452,데이터!$E$2:$E$20000,설정!$B$2)=0),"",$B452/SUMIFS(데이터!$C$2:$C$20000,데이터!$A$2:$A$20000,$A452,데이터!$E$2:$E$20000,설정!$B$2)-1),"")</f>
        <v/>
      </c>
      <c r="D452" s="5">
        <f>IFERROR(IF(OR($B452="",COUNTIFS(데이터!$A$2:$A$20000,$A452,데이터!$E$2:$E$20000,설정!$B$3)=0),"",$B452/SUMIFS(데이터!$C$2:$C$20000,데이터!$A$2:$A$20000,$A452,데이터!$E$2:$E$20000,설정!$B$3)-1),"")</f>
        <v/>
      </c>
      <c r="E452" s="5">
        <f>IFERROR(IF(OR($B452="",COUNTIFS(데이터!$A$2:$A$20000,$A452,데이터!$E$2:$E$20000,설정!$B$4)=0),"",$B452/SUMIFS(데이터!$C$2:$C$20000,데이터!$A$2:$A$20000,$A452,데이터!$E$2:$E$20000,설정!$B$4)-1),"")</f>
        <v/>
      </c>
      <c r="F452" s="5">
        <f>IFERROR(IF(OR($B452="",COUNTIFS(데이터!$A$2:$A$20000,$A452,데이터!$E$2:$E$20000,설정!$B$5)=0),"",$B452/SUMIFS(데이터!$C$2:$C$20000,데이터!$A$2:$A$20000,$A452,데이터!$E$2:$E$20000,설정!$B$5)-1),"")</f>
        <v/>
      </c>
      <c r="G452" s="5">
        <f>IFERROR(IF(OR($B452="",COUNTIFS(데이터!$A$2:$A$20000,$A452,데이터!$E$2:$E$20000,설정!$B$6)=0),"",$B452/SUMIFS(데이터!$C$2:$C$20000,데이터!$A$2:$A$20000,$A452,데이터!$E$2:$E$20000,설정!$B$6)-1),"")</f>
        <v/>
      </c>
      <c r="H452" s="5">
        <f>IFERROR(IF(OR($B452="",COUNTIFS(데이터!$A$2:$A$20000,$A452,데이터!$E$2:$E$20000,설정!$B$7)=0),"",$B452/SUMIFS(데이터!$C$2:$C$20000,데이터!$A$2:$A$20000,$A452,데이터!$E$2:$E$20000,설정!$B$7)-1),"")</f>
        <v/>
      </c>
      <c r="J452">
        <f>IF(C452="","",C452+ROW()*0.000000001)</f>
        <v/>
      </c>
      <c r="K452">
        <f>IF(D452="","",D452+ROW()*0.000000001)</f>
        <v/>
      </c>
      <c r="L452">
        <f>IF(E452="","",E452+ROW()*0.000000001)</f>
        <v/>
      </c>
      <c r="M452">
        <f>IF(F452="","",F452+ROW()*0.000000001)</f>
        <v/>
      </c>
      <c r="N452">
        <f>IF(G452="","",G452+ROW()*0.000000001)</f>
        <v/>
      </c>
      <c r="O452">
        <f>IF(H452="","",H452+ROW()*0.000000001)</f>
        <v/>
      </c>
    </row>
    <row r="453">
      <c r="B453" s="4">
        <f>IF($A453="","",IF(COUNTIFS(데이터!$A$2:$A$20000,$A453,데이터!$E$2:$E$20000,1)=0,"",SUMIFS(데이터!$C$2:$C$20000,데이터!$A$2:$A$20000,$A453,데이터!$E$2:$E$20000,1)))</f>
        <v/>
      </c>
      <c r="C453" s="5">
        <f>IFERROR(IF(OR($B453="",COUNTIFS(데이터!$A$2:$A$20000,$A453,데이터!$E$2:$E$20000,설정!$B$2)=0),"",$B453/SUMIFS(데이터!$C$2:$C$20000,데이터!$A$2:$A$20000,$A453,데이터!$E$2:$E$20000,설정!$B$2)-1),"")</f>
        <v/>
      </c>
      <c r="D453" s="5">
        <f>IFERROR(IF(OR($B453="",COUNTIFS(데이터!$A$2:$A$20000,$A453,데이터!$E$2:$E$20000,설정!$B$3)=0),"",$B453/SUMIFS(데이터!$C$2:$C$20000,데이터!$A$2:$A$20000,$A453,데이터!$E$2:$E$20000,설정!$B$3)-1),"")</f>
        <v/>
      </c>
      <c r="E453" s="5">
        <f>IFERROR(IF(OR($B453="",COUNTIFS(데이터!$A$2:$A$20000,$A453,데이터!$E$2:$E$20000,설정!$B$4)=0),"",$B453/SUMIFS(데이터!$C$2:$C$20000,데이터!$A$2:$A$20000,$A453,데이터!$E$2:$E$20000,설정!$B$4)-1),"")</f>
        <v/>
      </c>
      <c r="F453" s="5">
        <f>IFERROR(IF(OR($B453="",COUNTIFS(데이터!$A$2:$A$20000,$A453,데이터!$E$2:$E$20000,설정!$B$5)=0),"",$B453/SUMIFS(데이터!$C$2:$C$20000,데이터!$A$2:$A$20000,$A453,데이터!$E$2:$E$20000,설정!$B$5)-1),"")</f>
        <v/>
      </c>
      <c r="G453" s="5">
        <f>IFERROR(IF(OR($B453="",COUNTIFS(데이터!$A$2:$A$20000,$A453,데이터!$E$2:$E$20000,설정!$B$6)=0),"",$B453/SUMIFS(데이터!$C$2:$C$20000,데이터!$A$2:$A$20000,$A453,데이터!$E$2:$E$20000,설정!$B$6)-1),"")</f>
        <v/>
      </c>
      <c r="H453" s="5">
        <f>IFERROR(IF(OR($B453="",COUNTIFS(데이터!$A$2:$A$20000,$A453,데이터!$E$2:$E$20000,설정!$B$7)=0),"",$B453/SUMIFS(데이터!$C$2:$C$20000,데이터!$A$2:$A$20000,$A453,데이터!$E$2:$E$20000,설정!$B$7)-1),"")</f>
        <v/>
      </c>
      <c r="J453">
        <f>IF(C453="","",C453+ROW()*0.000000001)</f>
        <v/>
      </c>
      <c r="K453">
        <f>IF(D453="","",D453+ROW()*0.000000001)</f>
        <v/>
      </c>
      <c r="L453">
        <f>IF(E453="","",E453+ROW()*0.000000001)</f>
        <v/>
      </c>
      <c r="M453">
        <f>IF(F453="","",F453+ROW()*0.000000001)</f>
        <v/>
      </c>
      <c r="N453">
        <f>IF(G453="","",G453+ROW()*0.000000001)</f>
        <v/>
      </c>
      <c r="O453">
        <f>IF(H453="","",H453+ROW()*0.000000001)</f>
        <v/>
      </c>
    </row>
    <row r="454">
      <c r="B454" s="4">
        <f>IF($A454="","",IF(COUNTIFS(데이터!$A$2:$A$20000,$A454,데이터!$E$2:$E$20000,1)=0,"",SUMIFS(데이터!$C$2:$C$20000,데이터!$A$2:$A$20000,$A454,데이터!$E$2:$E$20000,1)))</f>
        <v/>
      </c>
      <c r="C454" s="5">
        <f>IFERROR(IF(OR($B454="",COUNTIFS(데이터!$A$2:$A$20000,$A454,데이터!$E$2:$E$20000,설정!$B$2)=0),"",$B454/SUMIFS(데이터!$C$2:$C$20000,데이터!$A$2:$A$20000,$A454,데이터!$E$2:$E$20000,설정!$B$2)-1),"")</f>
        <v/>
      </c>
      <c r="D454" s="5">
        <f>IFERROR(IF(OR($B454="",COUNTIFS(데이터!$A$2:$A$20000,$A454,데이터!$E$2:$E$20000,설정!$B$3)=0),"",$B454/SUMIFS(데이터!$C$2:$C$20000,데이터!$A$2:$A$20000,$A454,데이터!$E$2:$E$20000,설정!$B$3)-1),"")</f>
        <v/>
      </c>
      <c r="E454" s="5">
        <f>IFERROR(IF(OR($B454="",COUNTIFS(데이터!$A$2:$A$20000,$A454,데이터!$E$2:$E$20000,설정!$B$4)=0),"",$B454/SUMIFS(데이터!$C$2:$C$20000,데이터!$A$2:$A$20000,$A454,데이터!$E$2:$E$20000,설정!$B$4)-1),"")</f>
        <v/>
      </c>
      <c r="F454" s="5">
        <f>IFERROR(IF(OR($B454="",COUNTIFS(데이터!$A$2:$A$20000,$A454,데이터!$E$2:$E$20000,설정!$B$5)=0),"",$B454/SUMIFS(데이터!$C$2:$C$20000,데이터!$A$2:$A$20000,$A454,데이터!$E$2:$E$20000,설정!$B$5)-1),"")</f>
        <v/>
      </c>
      <c r="G454" s="5">
        <f>IFERROR(IF(OR($B454="",COUNTIFS(데이터!$A$2:$A$20000,$A454,데이터!$E$2:$E$20000,설정!$B$6)=0),"",$B454/SUMIFS(데이터!$C$2:$C$20000,데이터!$A$2:$A$20000,$A454,데이터!$E$2:$E$20000,설정!$B$6)-1),"")</f>
        <v/>
      </c>
      <c r="H454" s="5">
        <f>IFERROR(IF(OR($B454="",COUNTIFS(데이터!$A$2:$A$20000,$A454,데이터!$E$2:$E$20000,설정!$B$7)=0),"",$B454/SUMIFS(데이터!$C$2:$C$20000,데이터!$A$2:$A$20000,$A454,데이터!$E$2:$E$20000,설정!$B$7)-1),"")</f>
        <v/>
      </c>
      <c r="J454">
        <f>IF(C454="","",C454+ROW()*0.000000001)</f>
        <v/>
      </c>
      <c r="K454">
        <f>IF(D454="","",D454+ROW()*0.000000001)</f>
        <v/>
      </c>
      <c r="L454">
        <f>IF(E454="","",E454+ROW()*0.000000001)</f>
        <v/>
      </c>
      <c r="M454">
        <f>IF(F454="","",F454+ROW()*0.000000001)</f>
        <v/>
      </c>
      <c r="N454">
        <f>IF(G454="","",G454+ROW()*0.000000001)</f>
        <v/>
      </c>
      <c r="O454">
        <f>IF(H454="","",H454+ROW()*0.000000001)</f>
        <v/>
      </c>
    </row>
    <row r="455">
      <c r="B455" s="4">
        <f>IF($A455="","",IF(COUNTIFS(데이터!$A$2:$A$20000,$A455,데이터!$E$2:$E$20000,1)=0,"",SUMIFS(데이터!$C$2:$C$20000,데이터!$A$2:$A$20000,$A455,데이터!$E$2:$E$20000,1)))</f>
        <v/>
      </c>
      <c r="C455" s="5">
        <f>IFERROR(IF(OR($B455="",COUNTIFS(데이터!$A$2:$A$20000,$A455,데이터!$E$2:$E$20000,설정!$B$2)=0),"",$B455/SUMIFS(데이터!$C$2:$C$20000,데이터!$A$2:$A$20000,$A455,데이터!$E$2:$E$20000,설정!$B$2)-1),"")</f>
        <v/>
      </c>
      <c r="D455" s="5">
        <f>IFERROR(IF(OR($B455="",COUNTIFS(데이터!$A$2:$A$20000,$A455,데이터!$E$2:$E$20000,설정!$B$3)=0),"",$B455/SUMIFS(데이터!$C$2:$C$20000,데이터!$A$2:$A$20000,$A455,데이터!$E$2:$E$20000,설정!$B$3)-1),"")</f>
        <v/>
      </c>
      <c r="E455" s="5">
        <f>IFERROR(IF(OR($B455="",COUNTIFS(데이터!$A$2:$A$20000,$A455,데이터!$E$2:$E$20000,설정!$B$4)=0),"",$B455/SUMIFS(데이터!$C$2:$C$20000,데이터!$A$2:$A$20000,$A455,데이터!$E$2:$E$20000,설정!$B$4)-1),"")</f>
        <v/>
      </c>
      <c r="F455" s="5">
        <f>IFERROR(IF(OR($B455="",COUNTIFS(데이터!$A$2:$A$20000,$A455,데이터!$E$2:$E$20000,설정!$B$5)=0),"",$B455/SUMIFS(데이터!$C$2:$C$20000,데이터!$A$2:$A$20000,$A455,데이터!$E$2:$E$20000,설정!$B$5)-1),"")</f>
        <v/>
      </c>
      <c r="G455" s="5">
        <f>IFERROR(IF(OR($B455="",COUNTIFS(데이터!$A$2:$A$20000,$A455,데이터!$E$2:$E$20000,설정!$B$6)=0),"",$B455/SUMIFS(데이터!$C$2:$C$20000,데이터!$A$2:$A$20000,$A455,데이터!$E$2:$E$20000,설정!$B$6)-1),"")</f>
        <v/>
      </c>
      <c r="H455" s="5">
        <f>IFERROR(IF(OR($B455="",COUNTIFS(데이터!$A$2:$A$20000,$A455,데이터!$E$2:$E$20000,설정!$B$7)=0),"",$B455/SUMIFS(데이터!$C$2:$C$20000,데이터!$A$2:$A$20000,$A455,데이터!$E$2:$E$20000,설정!$B$7)-1),"")</f>
        <v/>
      </c>
      <c r="J455">
        <f>IF(C455="","",C455+ROW()*0.000000001)</f>
        <v/>
      </c>
      <c r="K455">
        <f>IF(D455="","",D455+ROW()*0.000000001)</f>
        <v/>
      </c>
      <c r="L455">
        <f>IF(E455="","",E455+ROW()*0.000000001)</f>
        <v/>
      </c>
      <c r="M455">
        <f>IF(F455="","",F455+ROW()*0.000000001)</f>
        <v/>
      </c>
      <c r="N455">
        <f>IF(G455="","",G455+ROW()*0.000000001)</f>
        <v/>
      </c>
      <c r="O455">
        <f>IF(H455="","",H455+ROW()*0.000000001)</f>
        <v/>
      </c>
    </row>
    <row r="456">
      <c r="B456" s="4">
        <f>IF($A456="","",IF(COUNTIFS(데이터!$A$2:$A$20000,$A456,데이터!$E$2:$E$20000,1)=0,"",SUMIFS(데이터!$C$2:$C$20000,데이터!$A$2:$A$20000,$A456,데이터!$E$2:$E$20000,1)))</f>
        <v/>
      </c>
      <c r="C456" s="5">
        <f>IFERROR(IF(OR($B456="",COUNTIFS(데이터!$A$2:$A$20000,$A456,데이터!$E$2:$E$20000,설정!$B$2)=0),"",$B456/SUMIFS(데이터!$C$2:$C$20000,데이터!$A$2:$A$20000,$A456,데이터!$E$2:$E$20000,설정!$B$2)-1),"")</f>
        <v/>
      </c>
      <c r="D456" s="5">
        <f>IFERROR(IF(OR($B456="",COUNTIFS(데이터!$A$2:$A$20000,$A456,데이터!$E$2:$E$20000,설정!$B$3)=0),"",$B456/SUMIFS(데이터!$C$2:$C$20000,데이터!$A$2:$A$20000,$A456,데이터!$E$2:$E$20000,설정!$B$3)-1),"")</f>
        <v/>
      </c>
      <c r="E456" s="5">
        <f>IFERROR(IF(OR($B456="",COUNTIFS(데이터!$A$2:$A$20000,$A456,데이터!$E$2:$E$20000,설정!$B$4)=0),"",$B456/SUMIFS(데이터!$C$2:$C$20000,데이터!$A$2:$A$20000,$A456,데이터!$E$2:$E$20000,설정!$B$4)-1),"")</f>
        <v/>
      </c>
      <c r="F456" s="5">
        <f>IFERROR(IF(OR($B456="",COUNTIFS(데이터!$A$2:$A$20000,$A456,데이터!$E$2:$E$20000,설정!$B$5)=0),"",$B456/SUMIFS(데이터!$C$2:$C$20000,데이터!$A$2:$A$20000,$A456,데이터!$E$2:$E$20000,설정!$B$5)-1),"")</f>
        <v/>
      </c>
      <c r="G456" s="5">
        <f>IFERROR(IF(OR($B456="",COUNTIFS(데이터!$A$2:$A$20000,$A456,데이터!$E$2:$E$20000,설정!$B$6)=0),"",$B456/SUMIFS(데이터!$C$2:$C$20000,데이터!$A$2:$A$20000,$A456,데이터!$E$2:$E$20000,설정!$B$6)-1),"")</f>
        <v/>
      </c>
      <c r="H456" s="5">
        <f>IFERROR(IF(OR($B456="",COUNTIFS(데이터!$A$2:$A$20000,$A456,데이터!$E$2:$E$20000,설정!$B$7)=0),"",$B456/SUMIFS(데이터!$C$2:$C$20000,데이터!$A$2:$A$20000,$A456,데이터!$E$2:$E$20000,설정!$B$7)-1),"")</f>
        <v/>
      </c>
      <c r="J456">
        <f>IF(C456="","",C456+ROW()*0.000000001)</f>
        <v/>
      </c>
      <c r="K456">
        <f>IF(D456="","",D456+ROW()*0.000000001)</f>
        <v/>
      </c>
      <c r="L456">
        <f>IF(E456="","",E456+ROW()*0.000000001)</f>
        <v/>
      </c>
      <c r="M456">
        <f>IF(F456="","",F456+ROW()*0.000000001)</f>
        <v/>
      </c>
      <c r="N456">
        <f>IF(G456="","",G456+ROW()*0.000000001)</f>
        <v/>
      </c>
      <c r="O456">
        <f>IF(H456="","",H456+ROW()*0.000000001)</f>
        <v/>
      </c>
    </row>
    <row r="457">
      <c r="B457" s="4">
        <f>IF($A457="","",IF(COUNTIFS(데이터!$A$2:$A$20000,$A457,데이터!$E$2:$E$20000,1)=0,"",SUMIFS(데이터!$C$2:$C$20000,데이터!$A$2:$A$20000,$A457,데이터!$E$2:$E$20000,1)))</f>
        <v/>
      </c>
      <c r="C457" s="5">
        <f>IFERROR(IF(OR($B457="",COUNTIFS(데이터!$A$2:$A$20000,$A457,데이터!$E$2:$E$20000,설정!$B$2)=0),"",$B457/SUMIFS(데이터!$C$2:$C$20000,데이터!$A$2:$A$20000,$A457,데이터!$E$2:$E$20000,설정!$B$2)-1),"")</f>
        <v/>
      </c>
      <c r="D457" s="5">
        <f>IFERROR(IF(OR($B457="",COUNTIFS(데이터!$A$2:$A$20000,$A457,데이터!$E$2:$E$20000,설정!$B$3)=0),"",$B457/SUMIFS(데이터!$C$2:$C$20000,데이터!$A$2:$A$20000,$A457,데이터!$E$2:$E$20000,설정!$B$3)-1),"")</f>
        <v/>
      </c>
      <c r="E457" s="5">
        <f>IFERROR(IF(OR($B457="",COUNTIFS(데이터!$A$2:$A$20000,$A457,데이터!$E$2:$E$20000,설정!$B$4)=0),"",$B457/SUMIFS(데이터!$C$2:$C$20000,데이터!$A$2:$A$20000,$A457,데이터!$E$2:$E$20000,설정!$B$4)-1),"")</f>
        <v/>
      </c>
      <c r="F457" s="5">
        <f>IFERROR(IF(OR($B457="",COUNTIFS(데이터!$A$2:$A$20000,$A457,데이터!$E$2:$E$20000,설정!$B$5)=0),"",$B457/SUMIFS(데이터!$C$2:$C$20000,데이터!$A$2:$A$20000,$A457,데이터!$E$2:$E$20000,설정!$B$5)-1),"")</f>
        <v/>
      </c>
      <c r="G457" s="5">
        <f>IFERROR(IF(OR($B457="",COUNTIFS(데이터!$A$2:$A$20000,$A457,데이터!$E$2:$E$20000,설정!$B$6)=0),"",$B457/SUMIFS(데이터!$C$2:$C$20000,데이터!$A$2:$A$20000,$A457,데이터!$E$2:$E$20000,설정!$B$6)-1),"")</f>
        <v/>
      </c>
      <c r="H457" s="5">
        <f>IFERROR(IF(OR($B457="",COUNTIFS(데이터!$A$2:$A$20000,$A457,데이터!$E$2:$E$20000,설정!$B$7)=0),"",$B457/SUMIFS(데이터!$C$2:$C$20000,데이터!$A$2:$A$20000,$A457,데이터!$E$2:$E$20000,설정!$B$7)-1),"")</f>
        <v/>
      </c>
      <c r="J457">
        <f>IF(C457="","",C457+ROW()*0.000000001)</f>
        <v/>
      </c>
      <c r="K457">
        <f>IF(D457="","",D457+ROW()*0.000000001)</f>
        <v/>
      </c>
      <c r="L457">
        <f>IF(E457="","",E457+ROW()*0.000000001)</f>
        <v/>
      </c>
      <c r="M457">
        <f>IF(F457="","",F457+ROW()*0.000000001)</f>
        <v/>
      </c>
      <c r="N457">
        <f>IF(G457="","",G457+ROW()*0.000000001)</f>
        <v/>
      </c>
      <c r="O457">
        <f>IF(H457="","",H457+ROW()*0.000000001)</f>
        <v/>
      </c>
    </row>
    <row r="458">
      <c r="B458" s="4">
        <f>IF($A458="","",IF(COUNTIFS(데이터!$A$2:$A$20000,$A458,데이터!$E$2:$E$20000,1)=0,"",SUMIFS(데이터!$C$2:$C$20000,데이터!$A$2:$A$20000,$A458,데이터!$E$2:$E$20000,1)))</f>
        <v/>
      </c>
      <c r="C458" s="5">
        <f>IFERROR(IF(OR($B458="",COUNTIFS(데이터!$A$2:$A$20000,$A458,데이터!$E$2:$E$20000,설정!$B$2)=0),"",$B458/SUMIFS(데이터!$C$2:$C$20000,데이터!$A$2:$A$20000,$A458,데이터!$E$2:$E$20000,설정!$B$2)-1),"")</f>
        <v/>
      </c>
      <c r="D458" s="5">
        <f>IFERROR(IF(OR($B458="",COUNTIFS(데이터!$A$2:$A$20000,$A458,데이터!$E$2:$E$20000,설정!$B$3)=0),"",$B458/SUMIFS(데이터!$C$2:$C$20000,데이터!$A$2:$A$20000,$A458,데이터!$E$2:$E$20000,설정!$B$3)-1),"")</f>
        <v/>
      </c>
      <c r="E458" s="5">
        <f>IFERROR(IF(OR($B458="",COUNTIFS(데이터!$A$2:$A$20000,$A458,데이터!$E$2:$E$20000,설정!$B$4)=0),"",$B458/SUMIFS(데이터!$C$2:$C$20000,데이터!$A$2:$A$20000,$A458,데이터!$E$2:$E$20000,설정!$B$4)-1),"")</f>
        <v/>
      </c>
      <c r="F458" s="5">
        <f>IFERROR(IF(OR($B458="",COUNTIFS(데이터!$A$2:$A$20000,$A458,데이터!$E$2:$E$20000,설정!$B$5)=0),"",$B458/SUMIFS(데이터!$C$2:$C$20000,데이터!$A$2:$A$20000,$A458,데이터!$E$2:$E$20000,설정!$B$5)-1),"")</f>
        <v/>
      </c>
      <c r="G458" s="5">
        <f>IFERROR(IF(OR($B458="",COUNTIFS(데이터!$A$2:$A$20000,$A458,데이터!$E$2:$E$20000,설정!$B$6)=0),"",$B458/SUMIFS(데이터!$C$2:$C$20000,데이터!$A$2:$A$20000,$A458,데이터!$E$2:$E$20000,설정!$B$6)-1),"")</f>
        <v/>
      </c>
      <c r="H458" s="5">
        <f>IFERROR(IF(OR($B458="",COUNTIFS(데이터!$A$2:$A$20000,$A458,데이터!$E$2:$E$20000,설정!$B$7)=0),"",$B458/SUMIFS(데이터!$C$2:$C$20000,데이터!$A$2:$A$20000,$A458,데이터!$E$2:$E$20000,설정!$B$7)-1),"")</f>
        <v/>
      </c>
      <c r="J458">
        <f>IF(C458="","",C458+ROW()*0.000000001)</f>
        <v/>
      </c>
      <c r="K458">
        <f>IF(D458="","",D458+ROW()*0.000000001)</f>
        <v/>
      </c>
      <c r="L458">
        <f>IF(E458="","",E458+ROW()*0.000000001)</f>
        <v/>
      </c>
      <c r="M458">
        <f>IF(F458="","",F458+ROW()*0.000000001)</f>
        <v/>
      </c>
      <c r="N458">
        <f>IF(G458="","",G458+ROW()*0.000000001)</f>
        <v/>
      </c>
      <c r="O458">
        <f>IF(H458="","",H458+ROW()*0.000000001)</f>
        <v/>
      </c>
    </row>
    <row r="459">
      <c r="B459" s="4">
        <f>IF($A459="","",IF(COUNTIFS(데이터!$A$2:$A$20000,$A459,데이터!$E$2:$E$20000,1)=0,"",SUMIFS(데이터!$C$2:$C$20000,데이터!$A$2:$A$20000,$A459,데이터!$E$2:$E$20000,1)))</f>
        <v/>
      </c>
      <c r="C459" s="5">
        <f>IFERROR(IF(OR($B459="",COUNTIFS(데이터!$A$2:$A$20000,$A459,데이터!$E$2:$E$20000,설정!$B$2)=0),"",$B459/SUMIFS(데이터!$C$2:$C$20000,데이터!$A$2:$A$20000,$A459,데이터!$E$2:$E$20000,설정!$B$2)-1),"")</f>
        <v/>
      </c>
      <c r="D459" s="5">
        <f>IFERROR(IF(OR($B459="",COUNTIFS(데이터!$A$2:$A$20000,$A459,데이터!$E$2:$E$20000,설정!$B$3)=0),"",$B459/SUMIFS(데이터!$C$2:$C$20000,데이터!$A$2:$A$20000,$A459,데이터!$E$2:$E$20000,설정!$B$3)-1),"")</f>
        <v/>
      </c>
      <c r="E459" s="5">
        <f>IFERROR(IF(OR($B459="",COUNTIFS(데이터!$A$2:$A$20000,$A459,데이터!$E$2:$E$20000,설정!$B$4)=0),"",$B459/SUMIFS(데이터!$C$2:$C$20000,데이터!$A$2:$A$20000,$A459,데이터!$E$2:$E$20000,설정!$B$4)-1),"")</f>
        <v/>
      </c>
      <c r="F459" s="5">
        <f>IFERROR(IF(OR($B459="",COUNTIFS(데이터!$A$2:$A$20000,$A459,데이터!$E$2:$E$20000,설정!$B$5)=0),"",$B459/SUMIFS(데이터!$C$2:$C$20000,데이터!$A$2:$A$20000,$A459,데이터!$E$2:$E$20000,설정!$B$5)-1),"")</f>
        <v/>
      </c>
      <c r="G459" s="5">
        <f>IFERROR(IF(OR($B459="",COUNTIFS(데이터!$A$2:$A$20000,$A459,데이터!$E$2:$E$20000,설정!$B$6)=0),"",$B459/SUMIFS(데이터!$C$2:$C$20000,데이터!$A$2:$A$20000,$A459,데이터!$E$2:$E$20000,설정!$B$6)-1),"")</f>
        <v/>
      </c>
      <c r="H459" s="5">
        <f>IFERROR(IF(OR($B459="",COUNTIFS(데이터!$A$2:$A$20000,$A459,데이터!$E$2:$E$20000,설정!$B$7)=0),"",$B459/SUMIFS(데이터!$C$2:$C$20000,데이터!$A$2:$A$20000,$A459,데이터!$E$2:$E$20000,설정!$B$7)-1),"")</f>
        <v/>
      </c>
      <c r="J459">
        <f>IF(C459="","",C459+ROW()*0.000000001)</f>
        <v/>
      </c>
      <c r="K459">
        <f>IF(D459="","",D459+ROW()*0.000000001)</f>
        <v/>
      </c>
      <c r="L459">
        <f>IF(E459="","",E459+ROW()*0.000000001)</f>
        <v/>
      </c>
      <c r="M459">
        <f>IF(F459="","",F459+ROW()*0.000000001)</f>
        <v/>
      </c>
      <c r="N459">
        <f>IF(G459="","",G459+ROW()*0.000000001)</f>
        <v/>
      </c>
      <c r="O459">
        <f>IF(H459="","",H459+ROW()*0.000000001)</f>
        <v/>
      </c>
    </row>
    <row r="460">
      <c r="B460" s="4">
        <f>IF($A460="","",IF(COUNTIFS(데이터!$A$2:$A$20000,$A460,데이터!$E$2:$E$20000,1)=0,"",SUMIFS(데이터!$C$2:$C$20000,데이터!$A$2:$A$20000,$A460,데이터!$E$2:$E$20000,1)))</f>
        <v/>
      </c>
      <c r="C460" s="5">
        <f>IFERROR(IF(OR($B460="",COUNTIFS(데이터!$A$2:$A$20000,$A460,데이터!$E$2:$E$20000,설정!$B$2)=0),"",$B460/SUMIFS(데이터!$C$2:$C$20000,데이터!$A$2:$A$20000,$A460,데이터!$E$2:$E$20000,설정!$B$2)-1),"")</f>
        <v/>
      </c>
      <c r="D460" s="5">
        <f>IFERROR(IF(OR($B460="",COUNTIFS(데이터!$A$2:$A$20000,$A460,데이터!$E$2:$E$20000,설정!$B$3)=0),"",$B460/SUMIFS(데이터!$C$2:$C$20000,데이터!$A$2:$A$20000,$A460,데이터!$E$2:$E$20000,설정!$B$3)-1),"")</f>
        <v/>
      </c>
      <c r="E460" s="5">
        <f>IFERROR(IF(OR($B460="",COUNTIFS(데이터!$A$2:$A$20000,$A460,데이터!$E$2:$E$20000,설정!$B$4)=0),"",$B460/SUMIFS(데이터!$C$2:$C$20000,데이터!$A$2:$A$20000,$A460,데이터!$E$2:$E$20000,설정!$B$4)-1),"")</f>
        <v/>
      </c>
      <c r="F460" s="5">
        <f>IFERROR(IF(OR($B460="",COUNTIFS(데이터!$A$2:$A$20000,$A460,데이터!$E$2:$E$20000,설정!$B$5)=0),"",$B460/SUMIFS(데이터!$C$2:$C$20000,데이터!$A$2:$A$20000,$A460,데이터!$E$2:$E$20000,설정!$B$5)-1),"")</f>
        <v/>
      </c>
      <c r="G460" s="5">
        <f>IFERROR(IF(OR($B460="",COUNTIFS(데이터!$A$2:$A$20000,$A460,데이터!$E$2:$E$20000,설정!$B$6)=0),"",$B460/SUMIFS(데이터!$C$2:$C$20000,데이터!$A$2:$A$20000,$A460,데이터!$E$2:$E$20000,설정!$B$6)-1),"")</f>
        <v/>
      </c>
      <c r="H460" s="5">
        <f>IFERROR(IF(OR($B460="",COUNTIFS(데이터!$A$2:$A$20000,$A460,데이터!$E$2:$E$20000,설정!$B$7)=0),"",$B460/SUMIFS(데이터!$C$2:$C$20000,데이터!$A$2:$A$20000,$A460,데이터!$E$2:$E$20000,설정!$B$7)-1),"")</f>
        <v/>
      </c>
      <c r="J460">
        <f>IF(C460="","",C460+ROW()*0.000000001)</f>
        <v/>
      </c>
      <c r="K460">
        <f>IF(D460="","",D460+ROW()*0.000000001)</f>
        <v/>
      </c>
      <c r="L460">
        <f>IF(E460="","",E460+ROW()*0.000000001)</f>
        <v/>
      </c>
      <c r="M460">
        <f>IF(F460="","",F460+ROW()*0.000000001)</f>
        <v/>
      </c>
      <c r="N460">
        <f>IF(G460="","",G460+ROW()*0.000000001)</f>
        <v/>
      </c>
      <c r="O460">
        <f>IF(H460="","",H460+ROW()*0.000000001)</f>
        <v/>
      </c>
    </row>
    <row r="461">
      <c r="B461" s="4">
        <f>IF($A461="","",IF(COUNTIFS(데이터!$A$2:$A$20000,$A461,데이터!$E$2:$E$20000,1)=0,"",SUMIFS(데이터!$C$2:$C$20000,데이터!$A$2:$A$20000,$A461,데이터!$E$2:$E$20000,1)))</f>
        <v/>
      </c>
      <c r="C461" s="5">
        <f>IFERROR(IF(OR($B461="",COUNTIFS(데이터!$A$2:$A$20000,$A461,데이터!$E$2:$E$20000,설정!$B$2)=0),"",$B461/SUMIFS(데이터!$C$2:$C$20000,데이터!$A$2:$A$20000,$A461,데이터!$E$2:$E$20000,설정!$B$2)-1),"")</f>
        <v/>
      </c>
      <c r="D461" s="5">
        <f>IFERROR(IF(OR($B461="",COUNTIFS(데이터!$A$2:$A$20000,$A461,데이터!$E$2:$E$20000,설정!$B$3)=0),"",$B461/SUMIFS(데이터!$C$2:$C$20000,데이터!$A$2:$A$20000,$A461,데이터!$E$2:$E$20000,설정!$B$3)-1),"")</f>
        <v/>
      </c>
      <c r="E461" s="5">
        <f>IFERROR(IF(OR($B461="",COUNTIFS(데이터!$A$2:$A$20000,$A461,데이터!$E$2:$E$20000,설정!$B$4)=0),"",$B461/SUMIFS(데이터!$C$2:$C$20000,데이터!$A$2:$A$20000,$A461,데이터!$E$2:$E$20000,설정!$B$4)-1),"")</f>
        <v/>
      </c>
      <c r="F461" s="5">
        <f>IFERROR(IF(OR($B461="",COUNTIFS(데이터!$A$2:$A$20000,$A461,데이터!$E$2:$E$20000,설정!$B$5)=0),"",$B461/SUMIFS(데이터!$C$2:$C$20000,데이터!$A$2:$A$20000,$A461,데이터!$E$2:$E$20000,설정!$B$5)-1),"")</f>
        <v/>
      </c>
      <c r="G461" s="5">
        <f>IFERROR(IF(OR($B461="",COUNTIFS(데이터!$A$2:$A$20000,$A461,데이터!$E$2:$E$20000,설정!$B$6)=0),"",$B461/SUMIFS(데이터!$C$2:$C$20000,데이터!$A$2:$A$20000,$A461,데이터!$E$2:$E$20000,설정!$B$6)-1),"")</f>
        <v/>
      </c>
      <c r="H461" s="5">
        <f>IFERROR(IF(OR($B461="",COUNTIFS(데이터!$A$2:$A$20000,$A461,데이터!$E$2:$E$20000,설정!$B$7)=0),"",$B461/SUMIFS(데이터!$C$2:$C$20000,데이터!$A$2:$A$20000,$A461,데이터!$E$2:$E$20000,설정!$B$7)-1),"")</f>
        <v/>
      </c>
      <c r="J461">
        <f>IF(C461="","",C461+ROW()*0.000000001)</f>
        <v/>
      </c>
      <c r="K461">
        <f>IF(D461="","",D461+ROW()*0.000000001)</f>
        <v/>
      </c>
      <c r="L461">
        <f>IF(E461="","",E461+ROW()*0.000000001)</f>
        <v/>
      </c>
      <c r="M461">
        <f>IF(F461="","",F461+ROW()*0.000000001)</f>
        <v/>
      </c>
      <c r="N461">
        <f>IF(G461="","",G461+ROW()*0.000000001)</f>
        <v/>
      </c>
      <c r="O461">
        <f>IF(H461="","",H461+ROW()*0.000000001)</f>
        <v/>
      </c>
    </row>
    <row r="462">
      <c r="B462" s="4">
        <f>IF($A462="","",IF(COUNTIFS(데이터!$A$2:$A$20000,$A462,데이터!$E$2:$E$20000,1)=0,"",SUMIFS(데이터!$C$2:$C$20000,데이터!$A$2:$A$20000,$A462,데이터!$E$2:$E$20000,1)))</f>
        <v/>
      </c>
      <c r="C462" s="5">
        <f>IFERROR(IF(OR($B462="",COUNTIFS(데이터!$A$2:$A$20000,$A462,데이터!$E$2:$E$20000,설정!$B$2)=0),"",$B462/SUMIFS(데이터!$C$2:$C$20000,데이터!$A$2:$A$20000,$A462,데이터!$E$2:$E$20000,설정!$B$2)-1),"")</f>
        <v/>
      </c>
      <c r="D462" s="5">
        <f>IFERROR(IF(OR($B462="",COUNTIFS(데이터!$A$2:$A$20000,$A462,데이터!$E$2:$E$20000,설정!$B$3)=0),"",$B462/SUMIFS(데이터!$C$2:$C$20000,데이터!$A$2:$A$20000,$A462,데이터!$E$2:$E$20000,설정!$B$3)-1),"")</f>
        <v/>
      </c>
      <c r="E462" s="5">
        <f>IFERROR(IF(OR($B462="",COUNTIFS(데이터!$A$2:$A$20000,$A462,데이터!$E$2:$E$20000,설정!$B$4)=0),"",$B462/SUMIFS(데이터!$C$2:$C$20000,데이터!$A$2:$A$20000,$A462,데이터!$E$2:$E$20000,설정!$B$4)-1),"")</f>
        <v/>
      </c>
      <c r="F462" s="5">
        <f>IFERROR(IF(OR($B462="",COUNTIFS(데이터!$A$2:$A$20000,$A462,데이터!$E$2:$E$20000,설정!$B$5)=0),"",$B462/SUMIFS(데이터!$C$2:$C$20000,데이터!$A$2:$A$20000,$A462,데이터!$E$2:$E$20000,설정!$B$5)-1),"")</f>
        <v/>
      </c>
      <c r="G462" s="5">
        <f>IFERROR(IF(OR($B462="",COUNTIFS(데이터!$A$2:$A$20000,$A462,데이터!$E$2:$E$20000,설정!$B$6)=0),"",$B462/SUMIFS(데이터!$C$2:$C$20000,데이터!$A$2:$A$20000,$A462,데이터!$E$2:$E$20000,설정!$B$6)-1),"")</f>
        <v/>
      </c>
      <c r="H462" s="5">
        <f>IFERROR(IF(OR($B462="",COUNTIFS(데이터!$A$2:$A$20000,$A462,데이터!$E$2:$E$20000,설정!$B$7)=0),"",$B462/SUMIFS(데이터!$C$2:$C$20000,데이터!$A$2:$A$20000,$A462,데이터!$E$2:$E$20000,설정!$B$7)-1),"")</f>
        <v/>
      </c>
      <c r="J462">
        <f>IF(C462="","",C462+ROW()*0.000000001)</f>
        <v/>
      </c>
      <c r="K462">
        <f>IF(D462="","",D462+ROW()*0.000000001)</f>
        <v/>
      </c>
      <c r="L462">
        <f>IF(E462="","",E462+ROW()*0.000000001)</f>
        <v/>
      </c>
      <c r="M462">
        <f>IF(F462="","",F462+ROW()*0.000000001)</f>
        <v/>
      </c>
      <c r="N462">
        <f>IF(G462="","",G462+ROW()*0.000000001)</f>
        <v/>
      </c>
      <c r="O462">
        <f>IF(H462="","",H462+ROW()*0.000000001)</f>
        <v/>
      </c>
    </row>
    <row r="463">
      <c r="B463" s="4">
        <f>IF($A463="","",IF(COUNTIFS(데이터!$A$2:$A$20000,$A463,데이터!$E$2:$E$20000,1)=0,"",SUMIFS(데이터!$C$2:$C$20000,데이터!$A$2:$A$20000,$A463,데이터!$E$2:$E$20000,1)))</f>
        <v/>
      </c>
      <c r="C463" s="5">
        <f>IFERROR(IF(OR($B463="",COUNTIFS(데이터!$A$2:$A$20000,$A463,데이터!$E$2:$E$20000,설정!$B$2)=0),"",$B463/SUMIFS(데이터!$C$2:$C$20000,데이터!$A$2:$A$20000,$A463,데이터!$E$2:$E$20000,설정!$B$2)-1),"")</f>
        <v/>
      </c>
      <c r="D463" s="5">
        <f>IFERROR(IF(OR($B463="",COUNTIFS(데이터!$A$2:$A$20000,$A463,데이터!$E$2:$E$20000,설정!$B$3)=0),"",$B463/SUMIFS(데이터!$C$2:$C$20000,데이터!$A$2:$A$20000,$A463,데이터!$E$2:$E$20000,설정!$B$3)-1),"")</f>
        <v/>
      </c>
      <c r="E463" s="5">
        <f>IFERROR(IF(OR($B463="",COUNTIFS(데이터!$A$2:$A$20000,$A463,데이터!$E$2:$E$20000,설정!$B$4)=0),"",$B463/SUMIFS(데이터!$C$2:$C$20000,데이터!$A$2:$A$20000,$A463,데이터!$E$2:$E$20000,설정!$B$4)-1),"")</f>
        <v/>
      </c>
      <c r="F463" s="5">
        <f>IFERROR(IF(OR($B463="",COUNTIFS(데이터!$A$2:$A$20000,$A463,데이터!$E$2:$E$20000,설정!$B$5)=0),"",$B463/SUMIFS(데이터!$C$2:$C$20000,데이터!$A$2:$A$20000,$A463,데이터!$E$2:$E$20000,설정!$B$5)-1),"")</f>
        <v/>
      </c>
      <c r="G463" s="5">
        <f>IFERROR(IF(OR($B463="",COUNTIFS(데이터!$A$2:$A$20000,$A463,데이터!$E$2:$E$20000,설정!$B$6)=0),"",$B463/SUMIFS(데이터!$C$2:$C$20000,데이터!$A$2:$A$20000,$A463,데이터!$E$2:$E$20000,설정!$B$6)-1),"")</f>
        <v/>
      </c>
      <c r="H463" s="5">
        <f>IFERROR(IF(OR($B463="",COUNTIFS(데이터!$A$2:$A$20000,$A463,데이터!$E$2:$E$20000,설정!$B$7)=0),"",$B463/SUMIFS(데이터!$C$2:$C$20000,데이터!$A$2:$A$20000,$A463,데이터!$E$2:$E$20000,설정!$B$7)-1),"")</f>
        <v/>
      </c>
      <c r="J463">
        <f>IF(C463="","",C463+ROW()*0.000000001)</f>
        <v/>
      </c>
      <c r="K463">
        <f>IF(D463="","",D463+ROW()*0.000000001)</f>
        <v/>
      </c>
      <c r="L463">
        <f>IF(E463="","",E463+ROW()*0.000000001)</f>
        <v/>
      </c>
      <c r="M463">
        <f>IF(F463="","",F463+ROW()*0.000000001)</f>
        <v/>
      </c>
      <c r="N463">
        <f>IF(G463="","",G463+ROW()*0.000000001)</f>
        <v/>
      </c>
      <c r="O463">
        <f>IF(H463="","",H463+ROW()*0.000000001)</f>
        <v/>
      </c>
    </row>
    <row r="464">
      <c r="B464" s="4">
        <f>IF($A464="","",IF(COUNTIFS(데이터!$A$2:$A$20000,$A464,데이터!$E$2:$E$20000,1)=0,"",SUMIFS(데이터!$C$2:$C$20000,데이터!$A$2:$A$20000,$A464,데이터!$E$2:$E$20000,1)))</f>
        <v/>
      </c>
      <c r="C464" s="5">
        <f>IFERROR(IF(OR($B464="",COUNTIFS(데이터!$A$2:$A$20000,$A464,데이터!$E$2:$E$20000,설정!$B$2)=0),"",$B464/SUMIFS(데이터!$C$2:$C$20000,데이터!$A$2:$A$20000,$A464,데이터!$E$2:$E$20000,설정!$B$2)-1),"")</f>
        <v/>
      </c>
      <c r="D464" s="5">
        <f>IFERROR(IF(OR($B464="",COUNTIFS(데이터!$A$2:$A$20000,$A464,데이터!$E$2:$E$20000,설정!$B$3)=0),"",$B464/SUMIFS(데이터!$C$2:$C$20000,데이터!$A$2:$A$20000,$A464,데이터!$E$2:$E$20000,설정!$B$3)-1),"")</f>
        <v/>
      </c>
      <c r="E464" s="5">
        <f>IFERROR(IF(OR($B464="",COUNTIFS(데이터!$A$2:$A$20000,$A464,데이터!$E$2:$E$20000,설정!$B$4)=0),"",$B464/SUMIFS(데이터!$C$2:$C$20000,데이터!$A$2:$A$20000,$A464,데이터!$E$2:$E$20000,설정!$B$4)-1),"")</f>
        <v/>
      </c>
      <c r="F464" s="5">
        <f>IFERROR(IF(OR($B464="",COUNTIFS(데이터!$A$2:$A$20000,$A464,데이터!$E$2:$E$20000,설정!$B$5)=0),"",$B464/SUMIFS(데이터!$C$2:$C$20000,데이터!$A$2:$A$20000,$A464,데이터!$E$2:$E$20000,설정!$B$5)-1),"")</f>
        <v/>
      </c>
      <c r="G464" s="5">
        <f>IFERROR(IF(OR($B464="",COUNTIFS(데이터!$A$2:$A$20000,$A464,데이터!$E$2:$E$20000,설정!$B$6)=0),"",$B464/SUMIFS(데이터!$C$2:$C$20000,데이터!$A$2:$A$20000,$A464,데이터!$E$2:$E$20000,설정!$B$6)-1),"")</f>
        <v/>
      </c>
      <c r="H464" s="5">
        <f>IFERROR(IF(OR($B464="",COUNTIFS(데이터!$A$2:$A$20000,$A464,데이터!$E$2:$E$20000,설정!$B$7)=0),"",$B464/SUMIFS(데이터!$C$2:$C$20000,데이터!$A$2:$A$20000,$A464,데이터!$E$2:$E$20000,설정!$B$7)-1),"")</f>
        <v/>
      </c>
      <c r="J464">
        <f>IF(C464="","",C464+ROW()*0.000000001)</f>
        <v/>
      </c>
      <c r="K464">
        <f>IF(D464="","",D464+ROW()*0.000000001)</f>
        <v/>
      </c>
      <c r="L464">
        <f>IF(E464="","",E464+ROW()*0.000000001)</f>
        <v/>
      </c>
      <c r="M464">
        <f>IF(F464="","",F464+ROW()*0.000000001)</f>
        <v/>
      </c>
      <c r="N464">
        <f>IF(G464="","",G464+ROW()*0.000000001)</f>
        <v/>
      </c>
      <c r="O464">
        <f>IF(H464="","",H464+ROW()*0.000000001)</f>
        <v/>
      </c>
    </row>
    <row r="465">
      <c r="B465" s="4">
        <f>IF($A465="","",IF(COUNTIFS(데이터!$A$2:$A$20000,$A465,데이터!$E$2:$E$20000,1)=0,"",SUMIFS(데이터!$C$2:$C$20000,데이터!$A$2:$A$20000,$A465,데이터!$E$2:$E$20000,1)))</f>
        <v/>
      </c>
      <c r="C465" s="5">
        <f>IFERROR(IF(OR($B465="",COUNTIFS(데이터!$A$2:$A$20000,$A465,데이터!$E$2:$E$20000,설정!$B$2)=0),"",$B465/SUMIFS(데이터!$C$2:$C$20000,데이터!$A$2:$A$20000,$A465,데이터!$E$2:$E$20000,설정!$B$2)-1),"")</f>
        <v/>
      </c>
      <c r="D465" s="5">
        <f>IFERROR(IF(OR($B465="",COUNTIFS(데이터!$A$2:$A$20000,$A465,데이터!$E$2:$E$20000,설정!$B$3)=0),"",$B465/SUMIFS(데이터!$C$2:$C$20000,데이터!$A$2:$A$20000,$A465,데이터!$E$2:$E$20000,설정!$B$3)-1),"")</f>
        <v/>
      </c>
      <c r="E465" s="5">
        <f>IFERROR(IF(OR($B465="",COUNTIFS(데이터!$A$2:$A$20000,$A465,데이터!$E$2:$E$20000,설정!$B$4)=0),"",$B465/SUMIFS(데이터!$C$2:$C$20000,데이터!$A$2:$A$20000,$A465,데이터!$E$2:$E$20000,설정!$B$4)-1),"")</f>
        <v/>
      </c>
      <c r="F465" s="5">
        <f>IFERROR(IF(OR($B465="",COUNTIFS(데이터!$A$2:$A$20000,$A465,데이터!$E$2:$E$20000,설정!$B$5)=0),"",$B465/SUMIFS(데이터!$C$2:$C$20000,데이터!$A$2:$A$20000,$A465,데이터!$E$2:$E$20000,설정!$B$5)-1),"")</f>
        <v/>
      </c>
      <c r="G465" s="5">
        <f>IFERROR(IF(OR($B465="",COUNTIFS(데이터!$A$2:$A$20000,$A465,데이터!$E$2:$E$20000,설정!$B$6)=0),"",$B465/SUMIFS(데이터!$C$2:$C$20000,데이터!$A$2:$A$20000,$A465,데이터!$E$2:$E$20000,설정!$B$6)-1),"")</f>
        <v/>
      </c>
      <c r="H465" s="5">
        <f>IFERROR(IF(OR($B465="",COUNTIFS(데이터!$A$2:$A$20000,$A465,데이터!$E$2:$E$20000,설정!$B$7)=0),"",$B465/SUMIFS(데이터!$C$2:$C$20000,데이터!$A$2:$A$20000,$A465,데이터!$E$2:$E$20000,설정!$B$7)-1),"")</f>
        <v/>
      </c>
      <c r="J465">
        <f>IF(C465="","",C465+ROW()*0.000000001)</f>
        <v/>
      </c>
      <c r="K465">
        <f>IF(D465="","",D465+ROW()*0.000000001)</f>
        <v/>
      </c>
      <c r="L465">
        <f>IF(E465="","",E465+ROW()*0.000000001)</f>
        <v/>
      </c>
      <c r="M465">
        <f>IF(F465="","",F465+ROW()*0.000000001)</f>
        <v/>
      </c>
      <c r="N465">
        <f>IF(G465="","",G465+ROW()*0.000000001)</f>
        <v/>
      </c>
      <c r="O465">
        <f>IF(H465="","",H465+ROW()*0.000000001)</f>
        <v/>
      </c>
    </row>
    <row r="466">
      <c r="B466" s="4">
        <f>IF($A466="","",IF(COUNTIFS(데이터!$A$2:$A$20000,$A466,데이터!$E$2:$E$20000,1)=0,"",SUMIFS(데이터!$C$2:$C$20000,데이터!$A$2:$A$20000,$A466,데이터!$E$2:$E$20000,1)))</f>
        <v/>
      </c>
      <c r="C466" s="5">
        <f>IFERROR(IF(OR($B466="",COUNTIFS(데이터!$A$2:$A$20000,$A466,데이터!$E$2:$E$20000,설정!$B$2)=0),"",$B466/SUMIFS(데이터!$C$2:$C$20000,데이터!$A$2:$A$20000,$A466,데이터!$E$2:$E$20000,설정!$B$2)-1),"")</f>
        <v/>
      </c>
      <c r="D466" s="5">
        <f>IFERROR(IF(OR($B466="",COUNTIFS(데이터!$A$2:$A$20000,$A466,데이터!$E$2:$E$20000,설정!$B$3)=0),"",$B466/SUMIFS(데이터!$C$2:$C$20000,데이터!$A$2:$A$20000,$A466,데이터!$E$2:$E$20000,설정!$B$3)-1),"")</f>
        <v/>
      </c>
      <c r="E466" s="5">
        <f>IFERROR(IF(OR($B466="",COUNTIFS(데이터!$A$2:$A$20000,$A466,데이터!$E$2:$E$20000,설정!$B$4)=0),"",$B466/SUMIFS(데이터!$C$2:$C$20000,데이터!$A$2:$A$20000,$A466,데이터!$E$2:$E$20000,설정!$B$4)-1),"")</f>
        <v/>
      </c>
      <c r="F466" s="5">
        <f>IFERROR(IF(OR($B466="",COUNTIFS(데이터!$A$2:$A$20000,$A466,데이터!$E$2:$E$20000,설정!$B$5)=0),"",$B466/SUMIFS(데이터!$C$2:$C$20000,데이터!$A$2:$A$20000,$A466,데이터!$E$2:$E$20000,설정!$B$5)-1),"")</f>
        <v/>
      </c>
      <c r="G466" s="5">
        <f>IFERROR(IF(OR($B466="",COUNTIFS(데이터!$A$2:$A$20000,$A466,데이터!$E$2:$E$20000,설정!$B$6)=0),"",$B466/SUMIFS(데이터!$C$2:$C$20000,데이터!$A$2:$A$20000,$A466,데이터!$E$2:$E$20000,설정!$B$6)-1),"")</f>
        <v/>
      </c>
      <c r="H466" s="5">
        <f>IFERROR(IF(OR($B466="",COUNTIFS(데이터!$A$2:$A$20000,$A466,데이터!$E$2:$E$20000,설정!$B$7)=0),"",$B466/SUMIFS(데이터!$C$2:$C$20000,데이터!$A$2:$A$20000,$A466,데이터!$E$2:$E$20000,설정!$B$7)-1),"")</f>
        <v/>
      </c>
      <c r="J466">
        <f>IF(C466="","",C466+ROW()*0.000000001)</f>
        <v/>
      </c>
      <c r="K466">
        <f>IF(D466="","",D466+ROW()*0.000000001)</f>
        <v/>
      </c>
      <c r="L466">
        <f>IF(E466="","",E466+ROW()*0.000000001)</f>
        <v/>
      </c>
      <c r="M466">
        <f>IF(F466="","",F466+ROW()*0.000000001)</f>
        <v/>
      </c>
      <c r="N466">
        <f>IF(G466="","",G466+ROW()*0.000000001)</f>
        <v/>
      </c>
      <c r="O466">
        <f>IF(H466="","",H466+ROW()*0.000000001)</f>
        <v/>
      </c>
    </row>
    <row r="467">
      <c r="B467" s="4">
        <f>IF($A467="","",IF(COUNTIFS(데이터!$A$2:$A$20000,$A467,데이터!$E$2:$E$20000,1)=0,"",SUMIFS(데이터!$C$2:$C$20000,데이터!$A$2:$A$20000,$A467,데이터!$E$2:$E$20000,1)))</f>
        <v/>
      </c>
      <c r="C467" s="5">
        <f>IFERROR(IF(OR($B467="",COUNTIFS(데이터!$A$2:$A$20000,$A467,데이터!$E$2:$E$20000,설정!$B$2)=0),"",$B467/SUMIFS(데이터!$C$2:$C$20000,데이터!$A$2:$A$20000,$A467,데이터!$E$2:$E$20000,설정!$B$2)-1),"")</f>
        <v/>
      </c>
      <c r="D467" s="5">
        <f>IFERROR(IF(OR($B467="",COUNTIFS(데이터!$A$2:$A$20000,$A467,데이터!$E$2:$E$20000,설정!$B$3)=0),"",$B467/SUMIFS(데이터!$C$2:$C$20000,데이터!$A$2:$A$20000,$A467,데이터!$E$2:$E$20000,설정!$B$3)-1),"")</f>
        <v/>
      </c>
      <c r="E467" s="5">
        <f>IFERROR(IF(OR($B467="",COUNTIFS(데이터!$A$2:$A$20000,$A467,데이터!$E$2:$E$20000,설정!$B$4)=0),"",$B467/SUMIFS(데이터!$C$2:$C$20000,데이터!$A$2:$A$20000,$A467,데이터!$E$2:$E$20000,설정!$B$4)-1),"")</f>
        <v/>
      </c>
      <c r="F467" s="5">
        <f>IFERROR(IF(OR($B467="",COUNTIFS(데이터!$A$2:$A$20000,$A467,데이터!$E$2:$E$20000,설정!$B$5)=0),"",$B467/SUMIFS(데이터!$C$2:$C$20000,데이터!$A$2:$A$20000,$A467,데이터!$E$2:$E$20000,설정!$B$5)-1),"")</f>
        <v/>
      </c>
      <c r="G467" s="5">
        <f>IFERROR(IF(OR($B467="",COUNTIFS(데이터!$A$2:$A$20000,$A467,데이터!$E$2:$E$20000,설정!$B$6)=0),"",$B467/SUMIFS(데이터!$C$2:$C$20000,데이터!$A$2:$A$20000,$A467,데이터!$E$2:$E$20000,설정!$B$6)-1),"")</f>
        <v/>
      </c>
      <c r="H467" s="5">
        <f>IFERROR(IF(OR($B467="",COUNTIFS(데이터!$A$2:$A$20000,$A467,데이터!$E$2:$E$20000,설정!$B$7)=0),"",$B467/SUMIFS(데이터!$C$2:$C$20000,데이터!$A$2:$A$20000,$A467,데이터!$E$2:$E$20000,설정!$B$7)-1),"")</f>
        <v/>
      </c>
      <c r="J467">
        <f>IF(C467="","",C467+ROW()*0.000000001)</f>
        <v/>
      </c>
      <c r="K467">
        <f>IF(D467="","",D467+ROW()*0.000000001)</f>
        <v/>
      </c>
      <c r="L467">
        <f>IF(E467="","",E467+ROW()*0.000000001)</f>
        <v/>
      </c>
      <c r="M467">
        <f>IF(F467="","",F467+ROW()*0.000000001)</f>
        <v/>
      </c>
      <c r="N467">
        <f>IF(G467="","",G467+ROW()*0.000000001)</f>
        <v/>
      </c>
      <c r="O467">
        <f>IF(H467="","",H467+ROW()*0.000000001)</f>
        <v/>
      </c>
    </row>
    <row r="468">
      <c r="B468" s="4">
        <f>IF($A468="","",IF(COUNTIFS(데이터!$A$2:$A$20000,$A468,데이터!$E$2:$E$20000,1)=0,"",SUMIFS(데이터!$C$2:$C$20000,데이터!$A$2:$A$20000,$A468,데이터!$E$2:$E$20000,1)))</f>
        <v/>
      </c>
      <c r="C468" s="5">
        <f>IFERROR(IF(OR($B468="",COUNTIFS(데이터!$A$2:$A$20000,$A468,데이터!$E$2:$E$20000,설정!$B$2)=0),"",$B468/SUMIFS(데이터!$C$2:$C$20000,데이터!$A$2:$A$20000,$A468,데이터!$E$2:$E$20000,설정!$B$2)-1),"")</f>
        <v/>
      </c>
      <c r="D468" s="5">
        <f>IFERROR(IF(OR($B468="",COUNTIFS(데이터!$A$2:$A$20000,$A468,데이터!$E$2:$E$20000,설정!$B$3)=0),"",$B468/SUMIFS(데이터!$C$2:$C$20000,데이터!$A$2:$A$20000,$A468,데이터!$E$2:$E$20000,설정!$B$3)-1),"")</f>
        <v/>
      </c>
      <c r="E468" s="5">
        <f>IFERROR(IF(OR($B468="",COUNTIFS(데이터!$A$2:$A$20000,$A468,데이터!$E$2:$E$20000,설정!$B$4)=0),"",$B468/SUMIFS(데이터!$C$2:$C$20000,데이터!$A$2:$A$20000,$A468,데이터!$E$2:$E$20000,설정!$B$4)-1),"")</f>
        <v/>
      </c>
      <c r="F468" s="5">
        <f>IFERROR(IF(OR($B468="",COUNTIFS(데이터!$A$2:$A$20000,$A468,데이터!$E$2:$E$20000,설정!$B$5)=0),"",$B468/SUMIFS(데이터!$C$2:$C$20000,데이터!$A$2:$A$20000,$A468,데이터!$E$2:$E$20000,설정!$B$5)-1),"")</f>
        <v/>
      </c>
      <c r="G468" s="5">
        <f>IFERROR(IF(OR($B468="",COUNTIFS(데이터!$A$2:$A$20000,$A468,데이터!$E$2:$E$20000,설정!$B$6)=0),"",$B468/SUMIFS(데이터!$C$2:$C$20000,데이터!$A$2:$A$20000,$A468,데이터!$E$2:$E$20000,설정!$B$6)-1),"")</f>
        <v/>
      </c>
      <c r="H468" s="5">
        <f>IFERROR(IF(OR($B468="",COUNTIFS(데이터!$A$2:$A$20000,$A468,데이터!$E$2:$E$20000,설정!$B$7)=0),"",$B468/SUMIFS(데이터!$C$2:$C$20000,데이터!$A$2:$A$20000,$A468,데이터!$E$2:$E$20000,설정!$B$7)-1),"")</f>
        <v/>
      </c>
      <c r="J468">
        <f>IF(C468="","",C468+ROW()*0.000000001)</f>
        <v/>
      </c>
      <c r="K468">
        <f>IF(D468="","",D468+ROW()*0.000000001)</f>
        <v/>
      </c>
      <c r="L468">
        <f>IF(E468="","",E468+ROW()*0.000000001)</f>
        <v/>
      </c>
      <c r="M468">
        <f>IF(F468="","",F468+ROW()*0.000000001)</f>
        <v/>
      </c>
      <c r="N468">
        <f>IF(G468="","",G468+ROW()*0.000000001)</f>
        <v/>
      </c>
      <c r="O468">
        <f>IF(H468="","",H468+ROW()*0.000000001)</f>
        <v/>
      </c>
    </row>
    <row r="469">
      <c r="B469" s="4">
        <f>IF($A469="","",IF(COUNTIFS(데이터!$A$2:$A$20000,$A469,데이터!$E$2:$E$20000,1)=0,"",SUMIFS(데이터!$C$2:$C$20000,데이터!$A$2:$A$20000,$A469,데이터!$E$2:$E$20000,1)))</f>
        <v/>
      </c>
      <c r="C469" s="5">
        <f>IFERROR(IF(OR($B469="",COUNTIFS(데이터!$A$2:$A$20000,$A469,데이터!$E$2:$E$20000,설정!$B$2)=0),"",$B469/SUMIFS(데이터!$C$2:$C$20000,데이터!$A$2:$A$20000,$A469,데이터!$E$2:$E$20000,설정!$B$2)-1),"")</f>
        <v/>
      </c>
      <c r="D469" s="5">
        <f>IFERROR(IF(OR($B469="",COUNTIFS(데이터!$A$2:$A$20000,$A469,데이터!$E$2:$E$20000,설정!$B$3)=0),"",$B469/SUMIFS(데이터!$C$2:$C$20000,데이터!$A$2:$A$20000,$A469,데이터!$E$2:$E$20000,설정!$B$3)-1),"")</f>
        <v/>
      </c>
      <c r="E469" s="5">
        <f>IFERROR(IF(OR($B469="",COUNTIFS(데이터!$A$2:$A$20000,$A469,데이터!$E$2:$E$20000,설정!$B$4)=0),"",$B469/SUMIFS(데이터!$C$2:$C$20000,데이터!$A$2:$A$20000,$A469,데이터!$E$2:$E$20000,설정!$B$4)-1),"")</f>
        <v/>
      </c>
      <c r="F469" s="5">
        <f>IFERROR(IF(OR($B469="",COUNTIFS(데이터!$A$2:$A$20000,$A469,데이터!$E$2:$E$20000,설정!$B$5)=0),"",$B469/SUMIFS(데이터!$C$2:$C$20000,데이터!$A$2:$A$20000,$A469,데이터!$E$2:$E$20000,설정!$B$5)-1),"")</f>
        <v/>
      </c>
      <c r="G469" s="5">
        <f>IFERROR(IF(OR($B469="",COUNTIFS(데이터!$A$2:$A$20000,$A469,데이터!$E$2:$E$20000,설정!$B$6)=0),"",$B469/SUMIFS(데이터!$C$2:$C$20000,데이터!$A$2:$A$20000,$A469,데이터!$E$2:$E$20000,설정!$B$6)-1),"")</f>
        <v/>
      </c>
      <c r="H469" s="5">
        <f>IFERROR(IF(OR($B469="",COUNTIFS(데이터!$A$2:$A$20000,$A469,데이터!$E$2:$E$20000,설정!$B$7)=0),"",$B469/SUMIFS(데이터!$C$2:$C$20000,데이터!$A$2:$A$20000,$A469,데이터!$E$2:$E$20000,설정!$B$7)-1),"")</f>
        <v/>
      </c>
      <c r="J469">
        <f>IF(C469="","",C469+ROW()*0.000000001)</f>
        <v/>
      </c>
      <c r="K469">
        <f>IF(D469="","",D469+ROW()*0.000000001)</f>
        <v/>
      </c>
      <c r="L469">
        <f>IF(E469="","",E469+ROW()*0.000000001)</f>
        <v/>
      </c>
      <c r="M469">
        <f>IF(F469="","",F469+ROW()*0.000000001)</f>
        <v/>
      </c>
      <c r="N469">
        <f>IF(G469="","",G469+ROW()*0.000000001)</f>
        <v/>
      </c>
      <c r="O469">
        <f>IF(H469="","",H469+ROW()*0.000000001)</f>
        <v/>
      </c>
    </row>
    <row r="470">
      <c r="B470" s="4">
        <f>IF($A470="","",IF(COUNTIFS(데이터!$A$2:$A$20000,$A470,데이터!$E$2:$E$20000,1)=0,"",SUMIFS(데이터!$C$2:$C$20000,데이터!$A$2:$A$20000,$A470,데이터!$E$2:$E$20000,1)))</f>
        <v/>
      </c>
      <c r="C470" s="5">
        <f>IFERROR(IF(OR($B470="",COUNTIFS(데이터!$A$2:$A$20000,$A470,데이터!$E$2:$E$20000,설정!$B$2)=0),"",$B470/SUMIFS(데이터!$C$2:$C$20000,데이터!$A$2:$A$20000,$A470,데이터!$E$2:$E$20000,설정!$B$2)-1),"")</f>
        <v/>
      </c>
      <c r="D470" s="5">
        <f>IFERROR(IF(OR($B470="",COUNTIFS(데이터!$A$2:$A$20000,$A470,데이터!$E$2:$E$20000,설정!$B$3)=0),"",$B470/SUMIFS(데이터!$C$2:$C$20000,데이터!$A$2:$A$20000,$A470,데이터!$E$2:$E$20000,설정!$B$3)-1),"")</f>
        <v/>
      </c>
      <c r="E470" s="5">
        <f>IFERROR(IF(OR($B470="",COUNTIFS(데이터!$A$2:$A$20000,$A470,데이터!$E$2:$E$20000,설정!$B$4)=0),"",$B470/SUMIFS(데이터!$C$2:$C$20000,데이터!$A$2:$A$20000,$A470,데이터!$E$2:$E$20000,설정!$B$4)-1),"")</f>
        <v/>
      </c>
      <c r="F470" s="5">
        <f>IFERROR(IF(OR($B470="",COUNTIFS(데이터!$A$2:$A$20000,$A470,데이터!$E$2:$E$20000,설정!$B$5)=0),"",$B470/SUMIFS(데이터!$C$2:$C$20000,데이터!$A$2:$A$20000,$A470,데이터!$E$2:$E$20000,설정!$B$5)-1),"")</f>
        <v/>
      </c>
      <c r="G470" s="5">
        <f>IFERROR(IF(OR($B470="",COUNTIFS(데이터!$A$2:$A$20000,$A470,데이터!$E$2:$E$20000,설정!$B$6)=0),"",$B470/SUMIFS(데이터!$C$2:$C$20000,데이터!$A$2:$A$20000,$A470,데이터!$E$2:$E$20000,설정!$B$6)-1),"")</f>
        <v/>
      </c>
      <c r="H470" s="5">
        <f>IFERROR(IF(OR($B470="",COUNTIFS(데이터!$A$2:$A$20000,$A470,데이터!$E$2:$E$20000,설정!$B$7)=0),"",$B470/SUMIFS(데이터!$C$2:$C$20000,데이터!$A$2:$A$20000,$A470,데이터!$E$2:$E$20000,설정!$B$7)-1),"")</f>
        <v/>
      </c>
      <c r="J470">
        <f>IF(C470="","",C470+ROW()*0.000000001)</f>
        <v/>
      </c>
      <c r="K470">
        <f>IF(D470="","",D470+ROW()*0.000000001)</f>
        <v/>
      </c>
      <c r="L470">
        <f>IF(E470="","",E470+ROW()*0.000000001)</f>
        <v/>
      </c>
      <c r="M470">
        <f>IF(F470="","",F470+ROW()*0.000000001)</f>
        <v/>
      </c>
      <c r="N470">
        <f>IF(G470="","",G470+ROW()*0.000000001)</f>
        <v/>
      </c>
      <c r="O470">
        <f>IF(H470="","",H470+ROW()*0.000000001)</f>
        <v/>
      </c>
    </row>
    <row r="471">
      <c r="B471" s="4">
        <f>IF($A471="","",IF(COUNTIFS(데이터!$A$2:$A$20000,$A471,데이터!$E$2:$E$20000,1)=0,"",SUMIFS(데이터!$C$2:$C$20000,데이터!$A$2:$A$20000,$A471,데이터!$E$2:$E$20000,1)))</f>
        <v/>
      </c>
      <c r="C471" s="5">
        <f>IFERROR(IF(OR($B471="",COUNTIFS(데이터!$A$2:$A$20000,$A471,데이터!$E$2:$E$20000,설정!$B$2)=0),"",$B471/SUMIFS(데이터!$C$2:$C$20000,데이터!$A$2:$A$20000,$A471,데이터!$E$2:$E$20000,설정!$B$2)-1),"")</f>
        <v/>
      </c>
      <c r="D471" s="5">
        <f>IFERROR(IF(OR($B471="",COUNTIFS(데이터!$A$2:$A$20000,$A471,데이터!$E$2:$E$20000,설정!$B$3)=0),"",$B471/SUMIFS(데이터!$C$2:$C$20000,데이터!$A$2:$A$20000,$A471,데이터!$E$2:$E$20000,설정!$B$3)-1),"")</f>
        <v/>
      </c>
      <c r="E471" s="5">
        <f>IFERROR(IF(OR($B471="",COUNTIFS(데이터!$A$2:$A$20000,$A471,데이터!$E$2:$E$20000,설정!$B$4)=0),"",$B471/SUMIFS(데이터!$C$2:$C$20000,데이터!$A$2:$A$20000,$A471,데이터!$E$2:$E$20000,설정!$B$4)-1),"")</f>
        <v/>
      </c>
      <c r="F471" s="5">
        <f>IFERROR(IF(OR($B471="",COUNTIFS(데이터!$A$2:$A$20000,$A471,데이터!$E$2:$E$20000,설정!$B$5)=0),"",$B471/SUMIFS(데이터!$C$2:$C$20000,데이터!$A$2:$A$20000,$A471,데이터!$E$2:$E$20000,설정!$B$5)-1),"")</f>
        <v/>
      </c>
      <c r="G471" s="5">
        <f>IFERROR(IF(OR($B471="",COUNTIFS(데이터!$A$2:$A$20000,$A471,데이터!$E$2:$E$20000,설정!$B$6)=0),"",$B471/SUMIFS(데이터!$C$2:$C$20000,데이터!$A$2:$A$20000,$A471,데이터!$E$2:$E$20000,설정!$B$6)-1),"")</f>
        <v/>
      </c>
      <c r="H471" s="5">
        <f>IFERROR(IF(OR($B471="",COUNTIFS(데이터!$A$2:$A$20000,$A471,데이터!$E$2:$E$20000,설정!$B$7)=0),"",$B471/SUMIFS(데이터!$C$2:$C$20000,데이터!$A$2:$A$20000,$A471,데이터!$E$2:$E$20000,설정!$B$7)-1),"")</f>
        <v/>
      </c>
      <c r="J471">
        <f>IF(C471="","",C471+ROW()*0.000000001)</f>
        <v/>
      </c>
      <c r="K471">
        <f>IF(D471="","",D471+ROW()*0.000000001)</f>
        <v/>
      </c>
      <c r="L471">
        <f>IF(E471="","",E471+ROW()*0.000000001)</f>
        <v/>
      </c>
      <c r="M471">
        <f>IF(F471="","",F471+ROW()*0.000000001)</f>
        <v/>
      </c>
      <c r="N471">
        <f>IF(G471="","",G471+ROW()*0.000000001)</f>
        <v/>
      </c>
      <c r="O471">
        <f>IF(H471="","",H471+ROW()*0.000000001)</f>
        <v/>
      </c>
    </row>
    <row r="472">
      <c r="B472" s="4">
        <f>IF($A472="","",IF(COUNTIFS(데이터!$A$2:$A$20000,$A472,데이터!$E$2:$E$20000,1)=0,"",SUMIFS(데이터!$C$2:$C$20000,데이터!$A$2:$A$20000,$A472,데이터!$E$2:$E$20000,1)))</f>
        <v/>
      </c>
      <c r="C472" s="5">
        <f>IFERROR(IF(OR($B472="",COUNTIFS(데이터!$A$2:$A$20000,$A472,데이터!$E$2:$E$20000,설정!$B$2)=0),"",$B472/SUMIFS(데이터!$C$2:$C$20000,데이터!$A$2:$A$20000,$A472,데이터!$E$2:$E$20000,설정!$B$2)-1),"")</f>
        <v/>
      </c>
      <c r="D472" s="5">
        <f>IFERROR(IF(OR($B472="",COUNTIFS(데이터!$A$2:$A$20000,$A472,데이터!$E$2:$E$20000,설정!$B$3)=0),"",$B472/SUMIFS(데이터!$C$2:$C$20000,데이터!$A$2:$A$20000,$A472,데이터!$E$2:$E$20000,설정!$B$3)-1),"")</f>
        <v/>
      </c>
      <c r="E472" s="5">
        <f>IFERROR(IF(OR($B472="",COUNTIFS(데이터!$A$2:$A$20000,$A472,데이터!$E$2:$E$20000,설정!$B$4)=0),"",$B472/SUMIFS(데이터!$C$2:$C$20000,데이터!$A$2:$A$20000,$A472,데이터!$E$2:$E$20000,설정!$B$4)-1),"")</f>
        <v/>
      </c>
      <c r="F472" s="5">
        <f>IFERROR(IF(OR($B472="",COUNTIFS(데이터!$A$2:$A$20000,$A472,데이터!$E$2:$E$20000,설정!$B$5)=0),"",$B472/SUMIFS(데이터!$C$2:$C$20000,데이터!$A$2:$A$20000,$A472,데이터!$E$2:$E$20000,설정!$B$5)-1),"")</f>
        <v/>
      </c>
      <c r="G472" s="5">
        <f>IFERROR(IF(OR($B472="",COUNTIFS(데이터!$A$2:$A$20000,$A472,데이터!$E$2:$E$20000,설정!$B$6)=0),"",$B472/SUMIFS(데이터!$C$2:$C$20000,데이터!$A$2:$A$20000,$A472,데이터!$E$2:$E$20000,설정!$B$6)-1),"")</f>
        <v/>
      </c>
      <c r="H472" s="5">
        <f>IFERROR(IF(OR($B472="",COUNTIFS(데이터!$A$2:$A$20000,$A472,데이터!$E$2:$E$20000,설정!$B$7)=0),"",$B472/SUMIFS(데이터!$C$2:$C$20000,데이터!$A$2:$A$20000,$A472,데이터!$E$2:$E$20000,설정!$B$7)-1),"")</f>
        <v/>
      </c>
      <c r="J472">
        <f>IF(C472="","",C472+ROW()*0.000000001)</f>
        <v/>
      </c>
      <c r="K472">
        <f>IF(D472="","",D472+ROW()*0.000000001)</f>
        <v/>
      </c>
      <c r="L472">
        <f>IF(E472="","",E472+ROW()*0.000000001)</f>
        <v/>
      </c>
      <c r="M472">
        <f>IF(F472="","",F472+ROW()*0.000000001)</f>
        <v/>
      </c>
      <c r="N472">
        <f>IF(G472="","",G472+ROW()*0.000000001)</f>
        <v/>
      </c>
      <c r="O472">
        <f>IF(H472="","",H472+ROW()*0.000000001)</f>
        <v/>
      </c>
    </row>
    <row r="473">
      <c r="B473" s="4">
        <f>IF($A473="","",IF(COUNTIFS(데이터!$A$2:$A$20000,$A473,데이터!$E$2:$E$20000,1)=0,"",SUMIFS(데이터!$C$2:$C$20000,데이터!$A$2:$A$20000,$A473,데이터!$E$2:$E$20000,1)))</f>
        <v/>
      </c>
      <c r="C473" s="5">
        <f>IFERROR(IF(OR($B473="",COUNTIFS(데이터!$A$2:$A$20000,$A473,데이터!$E$2:$E$20000,설정!$B$2)=0),"",$B473/SUMIFS(데이터!$C$2:$C$20000,데이터!$A$2:$A$20000,$A473,데이터!$E$2:$E$20000,설정!$B$2)-1),"")</f>
        <v/>
      </c>
      <c r="D473" s="5">
        <f>IFERROR(IF(OR($B473="",COUNTIFS(데이터!$A$2:$A$20000,$A473,데이터!$E$2:$E$20000,설정!$B$3)=0),"",$B473/SUMIFS(데이터!$C$2:$C$20000,데이터!$A$2:$A$20000,$A473,데이터!$E$2:$E$20000,설정!$B$3)-1),"")</f>
        <v/>
      </c>
      <c r="E473" s="5">
        <f>IFERROR(IF(OR($B473="",COUNTIFS(데이터!$A$2:$A$20000,$A473,데이터!$E$2:$E$20000,설정!$B$4)=0),"",$B473/SUMIFS(데이터!$C$2:$C$20000,데이터!$A$2:$A$20000,$A473,데이터!$E$2:$E$20000,설정!$B$4)-1),"")</f>
        <v/>
      </c>
      <c r="F473" s="5">
        <f>IFERROR(IF(OR($B473="",COUNTIFS(데이터!$A$2:$A$20000,$A473,데이터!$E$2:$E$20000,설정!$B$5)=0),"",$B473/SUMIFS(데이터!$C$2:$C$20000,데이터!$A$2:$A$20000,$A473,데이터!$E$2:$E$20000,설정!$B$5)-1),"")</f>
        <v/>
      </c>
      <c r="G473" s="5">
        <f>IFERROR(IF(OR($B473="",COUNTIFS(데이터!$A$2:$A$20000,$A473,데이터!$E$2:$E$20000,설정!$B$6)=0),"",$B473/SUMIFS(데이터!$C$2:$C$20000,데이터!$A$2:$A$20000,$A473,데이터!$E$2:$E$20000,설정!$B$6)-1),"")</f>
        <v/>
      </c>
      <c r="H473" s="5">
        <f>IFERROR(IF(OR($B473="",COUNTIFS(데이터!$A$2:$A$20000,$A473,데이터!$E$2:$E$20000,설정!$B$7)=0),"",$B473/SUMIFS(데이터!$C$2:$C$20000,데이터!$A$2:$A$20000,$A473,데이터!$E$2:$E$20000,설정!$B$7)-1),"")</f>
        <v/>
      </c>
      <c r="J473">
        <f>IF(C473="","",C473+ROW()*0.000000001)</f>
        <v/>
      </c>
      <c r="K473">
        <f>IF(D473="","",D473+ROW()*0.000000001)</f>
        <v/>
      </c>
      <c r="L473">
        <f>IF(E473="","",E473+ROW()*0.000000001)</f>
        <v/>
      </c>
      <c r="M473">
        <f>IF(F473="","",F473+ROW()*0.000000001)</f>
        <v/>
      </c>
      <c r="N473">
        <f>IF(G473="","",G473+ROW()*0.000000001)</f>
        <v/>
      </c>
      <c r="O473">
        <f>IF(H473="","",H473+ROW()*0.000000001)</f>
        <v/>
      </c>
    </row>
    <row r="474">
      <c r="B474" s="4">
        <f>IF($A474="","",IF(COUNTIFS(데이터!$A$2:$A$20000,$A474,데이터!$E$2:$E$20000,1)=0,"",SUMIFS(데이터!$C$2:$C$20000,데이터!$A$2:$A$20000,$A474,데이터!$E$2:$E$20000,1)))</f>
        <v/>
      </c>
      <c r="C474" s="5">
        <f>IFERROR(IF(OR($B474="",COUNTIFS(데이터!$A$2:$A$20000,$A474,데이터!$E$2:$E$20000,설정!$B$2)=0),"",$B474/SUMIFS(데이터!$C$2:$C$20000,데이터!$A$2:$A$20000,$A474,데이터!$E$2:$E$20000,설정!$B$2)-1),"")</f>
        <v/>
      </c>
      <c r="D474" s="5">
        <f>IFERROR(IF(OR($B474="",COUNTIFS(데이터!$A$2:$A$20000,$A474,데이터!$E$2:$E$20000,설정!$B$3)=0),"",$B474/SUMIFS(데이터!$C$2:$C$20000,데이터!$A$2:$A$20000,$A474,데이터!$E$2:$E$20000,설정!$B$3)-1),"")</f>
        <v/>
      </c>
      <c r="E474" s="5">
        <f>IFERROR(IF(OR($B474="",COUNTIFS(데이터!$A$2:$A$20000,$A474,데이터!$E$2:$E$20000,설정!$B$4)=0),"",$B474/SUMIFS(데이터!$C$2:$C$20000,데이터!$A$2:$A$20000,$A474,데이터!$E$2:$E$20000,설정!$B$4)-1),"")</f>
        <v/>
      </c>
      <c r="F474" s="5">
        <f>IFERROR(IF(OR($B474="",COUNTIFS(데이터!$A$2:$A$20000,$A474,데이터!$E$2:$E$20000,설정!$B$5)=0),"",$B474/SUMIFS(데이터!$C$2:$C$20000,데이터!$A$2:$A$20000,$A474,데이터!$E$2:$E$20000,설정!$B$5)-1),"")</f>
        <v/>
      </c>
      <c r="G474" s="5">
        <f>IFERROR(IF(OR($B474="",COUNTIFS(데이터!$A$2:$A$20000,$A474,데이터!$E$2:$E$20000,설정!$B$6)=0),"",$B474/SUMIFS(데이터!$C$2:$C$20000,데이터!$A$2:$A$20000,$A474,데이터!$E$2:$E$20000,설정!$B$6)-1),"")</f>
        <v/>
      </c>
      <c r="H474" s="5">
        <f>IFERROR(IF(OR($B474="",COUNTIFS(데이터!$A$2:$A$20000,$A474,데이터!$E$2:$E$20000,설정!$B$7)=0),"",$B474/SUMIFS(데이터!$C$2:$C$20000,데이터!$A$2:$A$20000,$A474,데이터!$E$2:$E$20000,설정!$B$7)-1),"")</f>
        <v/>
      </c>
      <c r="J474">
        <f>IF(C474="","",C474+ROW()*0.000000001)</f>
        <v/>
      </c>
      <c r="K474">
        <f>IF(D474="","",D474+ROW()*0.000000001)</f>
        <v/>
      </c>
      <c r="L474">
        <f>IF(E474="","",E474+ROW()*0.000000001)</f>
        <v/>
      </c>
      <c r="M474">
        <f>IF(F474="","",F474+ROW()*0.000000001)</f>
        <v/>
      </c>
      <c r="N474">
        <f>IF(G474="","",G474+ROW()*0.000000001)</f>
        <v/>
      </c>
      <c r="O474">
        <f>IF(H474="","",H474+ROW()*0.000000001)</f>
        <v/>
      </c>
    </row>
    <row r="475">
      <c r="B475" s="4">
        <f>IF($A475="","",IF(COUNTIFS(데이터!$A$2:$A$20000,$A475,데이터!$E$2:$E$20000,1)=0,"",SUMIFS(데이터!$C$2:$C$20000,데이터!$A$2:$A$20000,$A475,데이터!$E$2:$E$20000,1)))</f>
        <v/>
      </c>
      <c r="C475" s="5">
        <f>IFERROR(IF(OR($B475="",COUNTIFS(데이터!$A$2:$A$20000,$A475,데이터!$E$2:$E$20000,설정!$B$2)=0),"",$B475/SUMIFS(데이터!$C$2:$C$20000,데이터!$A$2:$A$20000,$A475,데이터!$E$2:$E$20000,설정!$B$2)-1),"")</f>
        <v/>
      </c>
      <c r="D475" s="5">
        <f>IFERROR(IF(OR($B475="",COUNTIFS(데이터!$A$2:$A$20000,$A475,데이터!$E$2:$E$20000,설정!$B$3)=0),"",$B475/SUMIFS(데이터!$C$2:$C$20000,데이터!$A$2:$A$20000,$A475,데이터!$E$2:$E$20000,설정!$B$3)-1),"")</f>
        <v/>
      </c>
      <c r="E475" s="5">
        <f>IFERROR(IF(OR($B475="",COUNTIFS(데이터!$A$2:$A$20000,$A475,데이터!$E$2:$E$20000,설정!$B$4)=0),"",$B475/SUMIFS(데이터!$C$2:$C$20000,데이터!$A$2:$A$20000,$A475,데이터!$E$2:$E$20000,설정!$B$4)-1),"")</f>
        <v/>
      </c>
      <c r="F475" s="5">
        <f>IFERROR(IF(OR($B475="",COUNTIFS(데이터!$A$2:$A$20000,$A475,데이터!$E$2:$E$20000,설정!$B$5)=0),"",$B475/SUMIFS(데이터!$C$2:$C$20000,데이터!$A$2:$A$20000,$A475,데이터!$E$2:$E$20000,설정!$B$5)-1),"")</f>
        <v/>
      </c>
      <c r="G475" s="5">
        <f>IFERROR(IF(OR($B475="",COUNTIFS(데이터!$A$2:$A$20000,$A475,데이터!$E$2:$E$20000,설정!$B$6)=0),"",$B475/SUMIFS(데이터!$C$2:$C$20000,데이터!$A$2:$A$20000,$A475,데이터!$E$2:$E$20000,설정!$B$6)-1),"")</f>
        <v/>
      </c>
      <c r="H475" s="5">
        <f>IFERROR(IF(OR($B475="",COUNTIFS(데이터!$A$2:$A$20000,$A475,데이터!$E$2:$E$20000,설정!$B$7)=0),"",$B475/SUMIFS(데이터!$C$2:$C$20000,데이터!$A$2:$A$20000,$A475,데이터!$E$2:$E$20000,설정!$B$7)-1),"")</f>
        <v/>
      </c>
      <c r="J475">
        <f>IF(C475="","",C475+ROW()*0.000000001)</f>
        <v/>
      </c>
      <c r="K475">
        <f>IF(D475="","",D475+ROW()*0.000000001)</f>
        <v/>
      </c>
      <c r="L475">
        <f>IF(E475="","",E475+ROW()*0.000000001)</f>
        <v/>
      </c>
      <c r="M475">
        <f>IF(F475="","",F475+ROW()*0.000000001)</f>
        <v/>
      </c>
      <c r="N475">
        <f>IF(G475="","",G475+ROW()*0.000000001)</f>
        <v/>
      </c>
      <c r="O475">
        <f>IF(H475="","",H475+ROW()*0.000000001)</f>
        <v/>
      </c>
    </row>
    <row r="476">
      <c r="B476" s="4">
        <f>IF($A476="","",IF(COUNTIFS(데이터!$A$2:$A$20000,$A476,데이터!$E$2:$E$20000,1)=0,"",SUMIFS(데이터!$C$2:$C$20000,데이터!$A$2:$A$20000,$A476,데이터!$E$2:$E$20000,1)))</f>
        <v/>
      </c>
      <c r="C476" s="5">
        <f>IFERROR(IF(OR($B476="",COUNTIFS(데이터!$A$2:$A$20000,$A476,데이터!$E$2:$E$20000,설정!$B$2)=0),"",$B476/SUMIFS(데이터!$C$2:$C$20000,데이터!$A$2:$A$20000,$A476,데이터!$E$2:$E$20000,설정!$B$2)-1),"")</f>
        <v/>
      </c>
      <c r="D476" s="5">
        <f>IFERROR(IF(OR($B476="",COUNTIFS(데이터!$A$2:$A$20000,$A476,데이터!$E$2:$E$20000,설정!$B$3)=0),"",$B476/SUMIFS(데이터!$C$2:$C$20000,데이터!$A$2:$A$20000,$A476,데이터!$E$2:$E$20000,설정!$B$3)-1),"")</f>
        <v/>
      </c>
      <c r="E476" s="5">
        <f>IFERROR(IF(OR($B476="",COUNTIFS(데이터!$A$2:$A$20000,$A476,데이터!$E$2:$E$20000,설정!$B$4)=0),"",$B476/SUMIFS(데이터!$C$2:$C$20000,데이터!$A$2:$A$20000,$A476,데이터!$E$2:$E$20000,설정!$B$4)-1),"")</f>
        <v/>
      </c>
      <c r="F476" s="5">
        <f>IFERROR(IF(OR($B476="",COUNTIFS(데이터!$A$2:$A$20000,$A476,데이터!$E$2:$E$20000,설정!$B$5)=0),"",$B476/SUMIFS(데이터!$C$2:$C$20000,데이터!$A$2:$A$20000,$A476,데이터!$E$2:$E$20000,설정!$B$5)-1),"")</f>
        <v/>
      </c>
      <c r="G476" s="5">
        <f>IFERROR(IF(OR($B476="",COUNTIFS(데이터!$A$2:$A$20000,$A476,데이터!$E$2:$E$20000,설정!$B$6)=0),"",$B476/SUMIFS(데이터!$C$2:$C$20000,데이터!$A$2:$A$20000,$A476,데이터!$E$2:$E$20000,설정!$B$6)-1),"")</f>
        <v/>
      </c>
      <c r="H476" s="5">
        <f>IFERROR(IF(OR($B476="",COUNTIFS(데이터!$A$2:$A$20000,$A476,데이터!$E$2:$E$20000,설정!$B$7)=0),"",$B476/SUMIFS(데이터!$C$2:$C$20000,데이터!$A$2:$A$20000,$A476,데이터!$E$2:$E$20000,설정!$B$7)-1),"")</f>
        <v/>
      </c>
      <c r="J476">
        <f>IF(C476="","",C476+ROW()*0.000000001)</f>
        <v/>
      </c>
      <c r="K476">
        <f>IF(D476="","",D476+ROW()*0.000000001)</f>
        <v/>
      </c>
      <c r="L476">
        <f>IF(E476="","",E476+ROW()*0.000000001)</f>
        <v/>
      </c>
      <c r="M476">
        <f>IF(F476="","",F476+ROW()*0.000000001)</f>
        <v/>
      </c>
      <c r="N476">
        <f>IF(G476="","",G476+ROW()*0.000000001)</f>
        <v/>
      </c>
      <c r="O476">
        <f>IF(H476="","",H476+ROW()*0.000000001)</f>
        <v/>
      </c>
    </row>
    <row r="477">
      <c r="B477" s="4">
        <f>IF($A477="","",IF(COUNTIFS(데이터!$A$2:$A$20000,$A477,데이터!$E$2:$E$20000,1)=0,"",SUMIFS(데이터!$C$2:$C$20000,데이터!$A$2:$A$20000,$A477,데이터!$E$2:$E$20000,1)))</f>
        <v/>
      </c>
      <c r="C477" s="5">
        <f>IFERROR(IF(OR($B477="",COUNTIFS(데이터!$A$2:$A$20000,$A477,데이터!$E$2:$E$20000,설정!$B$2)=0),"",$B477/SUMIFS(데이터!$C$2:$C$20000,데이터!$A$2:$A$20000,$A477,데이터!$E$2:$E$20000,설정!$B$2)-1),"")</f>
        <v/>
      </c>
      <c r="D477" s="5">
        <f>IFERROR(IF(OR($B477="",COUNTIFS(데이터!$A$2:$A$20000,$A477,데이터!$E$2:$E$20000,설정!$B$3)=0),"",$B477/SUMIFS(데이터!$C$2:$C$20000,데이터!$A$2:$A$20000,$A477,데이터!$E$2:$E$20000,설정!$B$3)-1),"")</f>
        <v/>
      </c>
      <c r="E477" s="5">
        <f>IFERROR(IF(OR($B477="",COUNTIFS(데이터!$A$2:$A$20000,$A477,데이터!$E$2:$E$20000,설정!$B$4)=0),"",$B477/SUMIFS(데이터!$C$2:$C$20000,데이터!$A$2:$A$20000,$A477,데이터!$E$2:$E$20000,설정!$B$4)-1),"")</f>
        <v/>
      </c>
      <c r="F477" s="5">
        <f>IFERROR(IF(OR($B477="",COUNTIFS(데이터!$A$2:$A$20000,$A477,데이터!$E$2:$E$20000,설정!$B$5)=0),"",$B477/SUMIFS(데이터!$C$2:$C$20000,데이터!$A$2:$A$20000,$A477,데이터!$E$2:$E$20000,설정!$B$5)-1),"")</f>
        <v/>
      </c>
      <c r="G477" s="5">
        <f>IFERROR(IF(OR($B477="",COUNTIFS(데이터!$A$2:$A$20000,$A477,데이터!$E$2:$E$20000,설정!$B$6)=0),"",$B477/SUMIFS(데이터!$C$2:$C$20000,데이터!$A$2:$A$20000,$A477,데이터!$E$2:$E$20000,설정!$B$6)-1),"")</f>
        <v/>
      </c>
      <c r="H477" s="5">
        <f>IFERROR(IF(OR($B477="",COUNTIFS(데이터!$A$2:$A$20000,$A477,데이터!$E$2:$E$20000,설정!$B$7)=0),"",$B477/SUMIFS(데이터!$C$2:$C$20000,데이터!$A$2:$A$20000,$A477,데이터!$E$2:$E$20000,설정!$B$7)-1),"")</f>
        <v/>
      </c>
      <c r="J477">
        <f>IF(C477="","",C477+ROW()*0.000000001)</f>
        <v/>
      </c>
      <c r="K477">
        <f>IF(D477="","",D477+ROW()*0.000000001)</f>
        <v/>
      </c>
      <c r="L477">
        <f>IF(E477="","",E477+ROW()*0.000000001)</f>
        <v/>
      </c>
      <c r="M477">
        <f>IF(F477="","",F477+ROW()*0.000000001)</f>
        <v/>
      </c>
      <c r="N477">
        <f>IF(G477="","",G477+ROW()*0.000000001)</f>
        <v/>
      </c>
      <c r="O477">
        <f>IF(H477="","",H477+ROW()*0.000000001)</f>
        <v/>
      </c>
    </row>
    <row r="478">
      <c r="B478" s="4">
        <f>IF($A478="","",IF(COUNTIFS(데이터!$A$2:$A$20000,$A478,데이터!$E$2:$E$20000,1)=0,"",SUMIFS(데이터!$C$2:$C$20000,데이터!$A$2:$A$20000,$A478,데이터!$E$2:$E$20000,1)))</f>
        <v/>
      </c>
      <c r="C478" s="5">
        <f>IFERROR(IF(OR($B478="",COUNTIFS(데이터!$A$2:$A$20000,$A478,데이터!$E$2:$E$20000,설정!$B$2)=0),"",$B478/SUMIFS(데이터!$C$2:$C$20000,데이터!$A$2:$A$20000,$A478,데이터!$E$2:$E$20000,설정!$B$2)-1),"")</f>
        <v/>
      </c>
      <c r="D478" s="5">
        <f>IFERROR(IF(OR($B478="",COUNTIFS(데이터!$A$2:$A$20000,$A478,데이터!$E$2:$E$20000,설정!$B$3)=0),"",$B478/SUMIFS(데이터!$C$2:$C$20000,데이터!$A$2:$A$20000,$A478,데이터!$E$2:$E$20000,설정!$B$3)-1),"")</f>
        <v/>
      </c>
      <c r="E478" s="5">
        <f>IFERROR(IF(OR($B478="",COUNTIFS(데이터!$A$2:$A$20000,$A478,데이터!$E$2:$E$20000,설정!$B$4)=0),"",$B478/SUMIFS(데이터!$C$2:$C$20000,데이터!$A$2:$A$20000,$A478,데이터!$E$2:$E$20000,설정!$B$4)-1),"")</f>
        <v/>
      </c>
      <c r="F478" s="5">
        <f>IFERROR(IF(OR($B478="",COUNTIFS(데이터!$A$2:$A$20000,$A478,데이터!$E$2:$E$20000,설정!$B$5)=0),"",$B478/SUMIFS(데이터!$C$2:$C$20000,데이터!$A$2:$A$20000,$A478,데이터!$E$2:$E$20000,설정!$B$5)-1),"")</f>
        <v/>
      </c>
      <c r="G478" s="5">
        <f>IFERROR(IF(OR($B478="",COUNTIFS(데이터!$A$2:$A$20000,$A478,데이터!$E$2:$E$20000,설정!$B$6)=0),"",$B478/SUMIFS(데이터!$C$2:$C$20000,데이터!$A$2:$A$20000,$A478,데이터!$E$2:$E$20000,설정!$B$6)-1),"")</f>
        <v/>
      </c>
      <c r="H478" s="5">
        <f>IFERROR(IF(OR($B478="",COUNTIFS(데이터!$A$2:$A$20000,$A478,데이터!$E$2:$E$20000,설정!$B$7)=0),"",$B478/SUMIFS(데이터!$C$2:$C$20000,데이터!$A$2:$A$20000,$A478,데이터!$E$2:$E$20000,설정!$B$7)-1),"")</f>
        <v/>
      </c>
      <c r="J478">
        <f>IF(C478="","",C478+ROW()*0.000000001)</f>
        <v/>
      </c>
      <c r="K478">
        <f>IF(D478="","",D478+ROW()*0.000000001)</f>
        <v/>
      </c>
      <c r="L478">
        <f>IF(E478="","",E478+ROW()*0.000000001)</f>
        <v/>
      </c>
      <c r="M478">
        <f>IF(F478="","",F478+ROW()*0.000000001)</f>
        <v/>
      </c>
      <c r="N478">
        <f>IF(G478="","",G478+ROW()*0.000000001)</f>
        <v/>
      </c>
      <c r="O478">
        <f>IF(H478="","",H478+ROW()*0.000000001)</f>
        <v/>
      </c>
    </row>
    <row r="479">
      <c r="B479" s="4">
        <f>IF($A479="","",IF(COUNTIFS(데이터!$A$2:$A$20000,$A479,데이터!$E$2:$E$20000,1)=0,"",SUMIFS(데이터!$C$2:$C$20000,데이터!$A$2:$A$20000,$A479,데이터!$E$2:$E$20000,1)))</f>
        <v/>
      </c>
      <c r="C479" s="5">
        <f>IFERROR(IF(OR($B479="",COUNTIFS(데이터!$A$2:$A$20000,$A479,데이터!$E$2:$E$20000,설정!$B$2)=0),"",$B479/SUMIFS(데이터!$C$2:$C$20000,데이터!$A$2:$A$20000,$A479,데이터!$E$2:$E$20000,설정!$B$2)-1),"")</f>
        <v/>
      </c>
      <c r="D479" s="5">
        <f>IFERROR(IF(OR($B479="",COUNTIFS(데이터!$A$2:$A$20000,$A479,데이터!$E$2:$E$20000,설정!$B$3)=0),"",$B479/SUMIFS(데이터!$C$2:$C$20000,데이터!$A$2:$A$20000,$A479,데이터!$E$2:$E$20000,설정!$B$3)-1),"")</f>
        <v/>
      </c>
      <c r="E479" s="5">
        <f>IFERROR(IF(OR($B479="",COUNTIFS(데이터!$A$2:$A$20000,$A479,데이터!$E$2:$E$20000,설정!$B$4)=0),"",$B479/SUMIFS(데이터!$C$2:$C$20000,데이터!$A$2:$A$20000,$A479,데이터!$E$2:$E$20000,설정!$B$4)-1),"")</f>
        <v/>
      </c>
      <c r="F479" s="5">
        <f>IFERROR(IF(OR($B479="",COUNTIFS(데이터!$A$2:$A$20000,$A479,데이터!$E$2:$E$20000,설정!$B$5)=0),"",$B479/SUMIFS(데이터!$C$2:$C$20000,데이터!$A$2:$A$20000,$A479,데이터!$E$2:$E$20000,설정!$B$5)-1),"")</f>
        <v/>
      </c>
      <c r="G479" s="5">
        <f>IFERROR(IF(OR($B479="",COUNTIFS(데이터!$A$2:$A$20000,$A479,데이터!$E$2:$E$20000,설정!$B$6)=0),"",$B479/SUMIFS(데이터!$C$2:$C$20000,데이터!$A$2:$A$20000,$A479,데이터!$E$2:$E$20000,설정!$B$6)-1),"")</f>
        <v/>
      </c>
      <c r="H479" s="5">
        <f>IFERROR(IF(OR($B479="",COUNTIFS(데이터!$A$2:$A$20000,$A479,데이터!$E$2:$E$20000,설정!$B$7)=0),"",$B479/SUMIFS(데이터!$C$2:$C$20000,데이터!$A$2:$A$20000,$A479,데이터!$E$2:$E$20000,설정!$B$7)-1),"")</f>
        <v/>
      </c>
      <c r="J479">
        <f>IF(C479="","",C479+ROW()*0.000000001)</f>
        <v/>
      </c>
      <c r="K479">
        <f>IF(D479="","",D479+ROW()*0.000000001)</f>
        <v/>
      </c>
      <c r="L479">
        <f>IF(E479="","",E479+ROW()*0.000000001)</f>
        <v/>
      </c>
      <c r="M479">
        <f>IF(F479="","",F479+ROW()*0.000000001)</f>
        <v/>
      </c>
      <c r="N479">
        <f>IF(G479="","",G479+ROW()*0.000000001)</f>
        <v/>
      </c>
      <c r="O479">
        <f>IF(H479="","",H479+ROW()*0.000000001)</f>
        <v/>
      </c>
    </row>
    <row r="480">
      <c r="B480" s="4">
        <f>IF($A480="","",IF(COUNTIFS(데이터!$A$2:$A$20000,$A480,데이터!$E$2:$E$20000,1)=0,"",SUMIFS(데이터!$C$2:$C$20000,데이터!$A$2:$A$20000,$A480,데이터!$E$2:$E$20000,1)))</f>
        <v/>
      </c>
      <c r="C480" s="5">
        <f>IFERROR(IF(OR($B480="",COUNTIFS(데이터!$A$2:$A$20000,$A480,데이터!$E$2:$E$20000,설정!$B$2)=0),"",$B480/SUMIFS(데이터!$C$2:$C$20000,데이터!$A$2:$A$20000,$A480,데이터!$E$2:$E$20000,설정!$B$2)-1),"")</f>
        <v/>
      </c>
      <c r="D480" s="5">
        <f>IFERROR(IF(OR($B480="",COUNTIFS(데이터!$A$2:$A$20000,$A480,데이터!$E$2:$E$20000,설정!$B$3)=0),"",$B480/SUMIFS(데이터!$C$2:$C$20000,데이터!$A$2:$A$20000,$A480,데이터!$E$2:$E$20000,설정!$B$3)-1),"")</f>
        <v/>
      </c>
      <c r="E480" s="5">
        <f>IFERROR(IF(OR($B480="",COUNTIFS(데이터!$A$2:$A$20000,$A480,데이터!$E$2:$E$20000,설정!$B$4)=0),"",$B480/SUMIFS(데이터!$C$2:$C$20000,데이터!$A$2:$A$20000,$A480,데이터!$E$2:$E$20000,설정!$B$4)-1),"")</f>
        <v/>
      </c>
      <c r="F480" s="5">
        <f>IFERROR(IF(OR($B480="",COUNTIFS(데이터!$A$2:$A$20000,$A480,데이터!$E$2:$E$20000,설정!$B$5)=0),"",$B480/SUMIFS(데이터!$C$2:$C$20000,데이터!$A$2:$A$20000,$A480,데이터!$E$2:$E$20000,설정!$B$5)-1),"")</f>
        <v/>
      </c>
      <c r="G480" s="5">
        <f>IFERROR(IF(OR($B480="",COUNTIFS(데이터!$A$2:$A$20000,$A480,데이터!$E$2:$E$20000,설정!$B$6)=0),"",$B480/SUMIFS(데이터!$C$2:$C$20000,데이터!$A$2:$A$20000,$A480,데이터!$E$2:$E$20000,설정!$B$6)-1),"")</f>
        <v/>
      </c>
      <c r="H480" s="5">
        <f>IFERROR(IF(OR($B480="",COUNTIFS(데이터!$A$2:$A$20000,$A480,데이터!$E$2:$E$20000,설정!$B$7)=0),"",$B480/SUMIFS(데이터!$C$2:$C$20000,데이터!$A$2:$A$20000,$A480,데이터!$E$2:$E$20000,설정!$B$7)-1),"")</f>
        <v/>
      </c>
      <c r="J480">
        <f>IF(C480="","",C480+ROW()*0.000000001)</f>
        <v/>
      </c>
      <c r="K480">
        <f>IF(D480="","",D480+ROW()*0.000000001)</f>
        <v/>
      </c>
      <c r="L480">
        <f>IF(E480="","",E480+ROW()*0.000000001)</f>
        <v/>
      </c>
      <c r="M480">
        <f>IF(F480="","",F480+ROW()*0.000000001)</f>
        <v/>
      </c>
      <c r="N480">
        <f>IF(G480="","",G480+ROW()*0.000000001)</f>
        <v/>
      </c>
      <c r="O480">
        <f>IF(H480="","",H480+ROW()*0.000000001)</f>
        <v/>
      </c>
    </row>
    <row r="481">
      <c r="B481" s="4">
        <f>IF($A481="","",IF(COUNTIFS(데이터!$A$2:$A$20000,$A481,데이터!$E$2:$E$20000,1)=0,"",SUMIFS(데이터!$C$2:$C$20000,데이터!$A$2:$A$20000,$A481,데이터!$E$2:$E$20000,1)))</f>
        <v/>
      </c>
      <c r="C481" s="5">
        <f>IFERROR(IF(OR($B481="",COUNTIFS(데이터!$A$2:$A$20000,$A481,데이터!$E$2:$E$20000,설정!$B$2)=0),"",$B481/SUMIFS(데이터!$C$2:$C$20000,데이터!$A$2:$A$20000,$A481,데이터!$E$2:$E$20000,설정!$B$2)-1),"")</f>
        <v/>
      </c>
      <c r="D481" s="5">
        <f>IFERROR(IF(OR($B481="",COUNTIFS(데이터!$A$2:$A$20000,$A481,데이터!$E$2:$E$20000,설정!$B$3)=0),"",$B481/SUMIFS(데이터!$C$2:$C$20000,데이터!$A$2:$A$20000,$A481,데이터!$E$2:$E$20000,설정!$B$3)-1),"")</f>
        <v/>
      </c>
      <c r="E481" s="5">
        <f>IFERROR(IF(OR($B481="",COUNTIFS(데이터!$A$2:$A$20000,$A481,데이터!$E$2:$E$20000,설정!$B$4)=0),"",$B481/SUMIFS(데이터!$C$2:$C$20000,데이터!$A$2:$A$20000,$A481,데이터!$E$2:$E$20000,설정!$B$4)-1),"")</f>
        <v/>
      </c>
      <c r="F481" s="5">
        <f>IFERROR(IF(OR($B481="",COUNTIFS(데이터!$A$2:$A$20000,$A481,데이터!$E$2:$E$20000,설정!$B$5)=0),"",$B481/SUMIFS(데이터!$C$2:$C$20000,데이터!$A$2:$A$20000,$A481,데이터!$E$2:$E$20000,설정!$B$5)-1),"")</f>
        <v/>
      </c>
      <c r="G481" s="5">
        <f>IFERROR(IF(OR($B481="",COUNTIFS(데이터!$A$2:$A$20000,$A481,데이터!$E$2:$E$20000,설정!$B$6)=0),"",$B481/SUMIFS(데이터!$C$2:$C$20000,데이터!$A$2:$A$20000,$A481,데이터!$E$2:$E$20000,설정!$B$6)-1),"")</f>
        <v/>
      </c>
      <c r="H481" s="5">
        <f>IFERROR(IF(OR($B481="",COUNTIFS(데이터!$A$2:$A$20000,$A481,데이터!$E$2:$E$20000,설정!$B$7)=0),"",$B481/SUMIFS(데이터!$C$2:$C$20000,데이터!$A$2:$A$20000,$A481,데이터!$E$2:$E$20000,설정!$B$7)-1),"")</f>
        <v/>
      </c>
      <c r="J481">
        <f>IF(C481="","",C481+ROW()*0.000000001)</f>
        <v/>
      </c>
      <c r="K481">
        <f>IF(D481="","",D481+ROW()*0.000000001)</f>
        <v/>
      </c>
      <c r="L481">
        <f>IF(E481="","",E481+ROW()*0.000000001)</f>
        <v/>
      </c>
      <c r="M481">
        <f>IF(F481="","",F481+ROW()*0.000000001)</f>
        <v/>
      </c>
      <c r="N481">
        <f>IF(G481="","",G481+ROW()*0.000000001)</f>
        <v/>
      </c>
      <c r="O481">
        <f>IF(H481="","",H481+ROW()*0.000000001)</f>
        <v/>
      </c>
    </row>
    <row r="482">
      <c r="B482" s="4">
        <f>IF($A482="","",IF(COUNTIFS(데이터!$A$2:$A$20000,$A482,데이터!$E$2:$E$20000,1)=0,"",SUMIFS(데이터!$C$2:$C$20000,데이터!$A$2:$A$20000,$A482,데이터!$E$2:$E$20000,1)))</f>
        <v/>
      </c>
      <c r="C482" s="5">
        <f>IFERROR(IF(OR($B482="",COUNTIFS(데이터!$A$2:$A$20000,$A482,데이터!$E$2:$E$20000,설정!$B$2)=0),"",$B482/SUMIFS(데이터!$C$2:$C$20000,데이터!$A$2:$A$20000,$A482,데이터!$E$2:$E$20000,설정!$B$2)-1),"")</f>
        <v/>
      </c>
      <c r="D482" s="5">
        <f>IFERROR(IF(OR($B482="",COUNTIFS(데이터!$A$2:$A$20000,$A482,데이터!$E$2:$E$20000,설정!$B$3)=0),"",$B482/SUMIFS(데이터!$C$2:$C$20000,데이터!$A$2:$A$20000,$A482,데이터!$E$2:$E$20000,설정!$B$3)-1),"")</f>
        <v/>
      </c>
      <c r="E482" s="5">
        <f>IFERROR(IF(OR($B482="",COUNTIFS(데이터!$A$2:$A$20000,$A482,데이터!$E$2:$E$20000,설정!$B$4)=0),"",$B482/SUMIFS(데이터!$C$2:$C$20000,데이터!$A$2:$A$20000,$A482,데이터!$E$2:$E$20000,설정!$B$4)-1),"")</f>
        <v/>
      </c>
      <c r="F482" s="5">
        <f>IFERROR(IF(OR($B482="",COUNTIFS(데이터!$A$2:$A$20000,$A482,데이터!$E$2:$E$20000,설정!$B$5)=0),"",$B482/SUMIFS(데이터!$C$2:$C$20000,데이터!$A$2:$A$20000,$A482,데이터!$E$2:$E$20000,설정!$B$5)-1),"")</f>
        <v/>
      </c>
      <c r="G482" s="5">
        <f>IFERROR(IF(OR($B482="",COUNTIFS(데이터!$A$2:$A$20000,$A482,데이터!$E$2:$E$20000,설정!$B$6)=0),"",$B482/SUMIFS(데이터!$C$2:$C$20000,데이터!$A$2:$A$20000,$A482,데이터!$E$2:$E$20000,설정!$B$6)-1),"")</f>
        <v/>
      </c>
      <c r="H482" s="5">
        <f>IFERROR(IF(OR($B482="",COUNTIFS(데이터!$A$2:$A$20000,$A482,데이터!$E$2:$E$20000,설정!$B$7)=0),"",$B482/SUMIFS(데이터!$C$2:$C$20000,데이터!$A$2:$A$20000,$A482,데이터!$E$2:$E$20000,설정!$B$7)-1),"")</f>
        <v/>
      </c>
      <c r="J482">
        <f>IF(C482="","",C482+ROW()*0.000000001)</f>
        <v/>
      </c>
      <c r="K482">
        <f>IF(D482="","",D482+ROW()*0.000000001)</f>
        <v/>
      </c>
      <c r="L482">
        <f>IF(E482="","",E482+ROW()*0.000000001)</f>
        <v/>
      </c>
      <c r="M482">
        <f>IF(F482="","",F482+ROW()*0.000000001)</f>
        <v/>
      </c>
      <c r="N482">
        <f>IF(G482="","",G482+ROW()*0.000000001)</f>
        <v/>
      </c>
      <c r="O482">
        <f>IF(H482="","",H482+ROW()*0.000000001)</f>
        <v/>
      </c>
    </row>
    <row r="483">
      <c r="B483" s="4">
        <f>IF($A483="","",IF(COUNTIFS(데이터!$A$2:$A$20000,$A483,데이터!$E$2:$E$20000,1)=0,"",SUMIFS(데이터!$C$2:$C$20000,데이터!$A$2:$A$20000,$A483,데이터!$E$2:$E$20000,1)))</f>
        <v/>
      </c>
      <c r="C483" s="5">
        <f>IFERROR(IF(OR($B483="",COUNTIFS(데이터!$A$2:$A$20000,$A483,데이터!$E$2:$E$20000,설정!$B$2)=0),"",$B483/SUMIFS(데이터!$C$2:$C$20000,데이터!$A$2:$A$20000,$A483,데이터!$E$2:$E$20000,설정!$B$2)-1),"")</f>
        <v/>
      </c>
      <c r="D483" s="5">
        <f>IFERROR(IF(OR($B483="",COUNTIFS(데이터!$A$2:$A$20000,$A483,데이터!$E$2:$E$20000,설정!$B$3)=0),"",$B483/SUMIFS(데이터!$C$2:$C$20000,데이터!$A$2:$A$20000,$A483,데이터!$E$2:$E$20000,설정!$B$3)-1),"")</f>
        <v/>
      </c>
      <c r="E483" s="5">
        <f>IFERROR(IF(OR($B483="",COUNTIFS(데이터!$A$2:$A$20000,$A483,데이터!$E$2:$E$20000,설정!$B$4)=0),"",$B483/SUMIFS(데이터!$C$2:$C$20000,데이터!$A$2:$A$20000,$A483,데이터!$E$2:$E$20000,설정!$B$4)-1),"")</f>
        <v/>
      </c>
      <c r="F483" s="5">
        <f>IFERROR(IF(OR($B483="",COUNTIFS(데이터!$A$2:$A$20000,$A483,데이터!$E$2:$E$20000,설정!$B$5)=0),"",$B483/SUMIFS(데이터!$C$2:$C$20000,데이터!$A$2:$A$20000,$A483,데이터!$E$2:$E$20000,설정!$B$5)-1),"")</f>
        <v/>
      </c>
      <c r="G483" s="5">
        <f>IFERROR(IF(OR($B483="",COUNTIFS(데이터!$A$2:$A$20000,$A483,데이터!$E$2:$E$20000,설정!$B$6)=0),"",$B483/SUMIFS(데이터!$C$2:$C$20000,데이터!$A$2:$A$20000,$A483,데이터!$E$2:$E$20000,설정!$B$6)-1),"")</f>
        <v/>
      </c>
      <c r="H483" s="5">
        <f>IFERROR(IF(OR($B483="",COUNTIFS(데이터!$A$2:$A$20000,$A483,데이터!$E$2:$E$20000,설정!$B$7)=0),"",$B483/SUMIFS(데이터!$C$2:$C$20000,데이터!$A$2:$A$20000,$A483,데이터!$E$2:$E$20000,설정!$B$7)-1),"")</f>
        <v/>
      </c>
      <c r="J483">
        <f>IF(C483="","",C483+ROW()*0.000000001)</f>
        <v/>
      </c>
      <c r="K483">
        <f>IF(D483="","",D483+ROW()*0.000000001)</f>
        <v/>
      </c>
      <c r="L483">
        <f>IF(E483="","",E483+ROW()*0.000000001)</f>
        <v/>
      </c>
      <c r="M483">
        <f>IF(F483="","",F483+ROW()*0.000000001)</f>
        <v/>
      </c>
      <c r="N483">
        <f>IF(G483="","",G483+ROW()*0.000000001)</f>
        <v/>
      </c>
      <c r="O483">
        <f>IF(H483="","",H483+ROW()*0.000000001)</f>
        <v/>
      </c>
    </row>
    <row r="484">
      <c r="B484" s="4">
        <f>IF($A484="","",IF(COUNTIFS(데이터!$A$2:$A$20000,$A484,데이터!$E$2:$E$20000,1)=0,"",SUMIFS(데이터!$C$2:$C$20000,데이터!$A$2:$A$20000,$A484,데이터!$E$2:$E$20000,1)))</f>
        <v/>
      </c>
      <c r="C484" s="5">
        <f>IFERROR(IF(OR($B484="",COUNTIFS(데이터!$A$2:$A$20000,$A484,데이터!$E$2:$E$20000,설정!$B$2)=0),"",$B484/SUMIFS(데이터!$C$2:$C$20000,데이터!$A$2:$A$20000,$A484,데이터!$E$2:$E$20000,설정!$B$2)-1),"")</f>
        <v/>
      </c>
      <c r="D484" s="5">
        <f>IFERROR(IF(OR($B484="",COUNTIFS(데이터!$A$2:$A$20000,$A484,데이터!$E$2:$E$20000,설정!$B$3)=0),"",$B484/SUMIFS(데이터!$C$2:$C$20000,데이터!$A$2:$A$20000,$A484,데이터!$E$2:$E$20000,설정!$B$3)-1),"")</f>
        <v/>
      </c>
      <c r="E484" s="5">
        <f>IFERROR(IF(OR($B484="",COUNTIFS(데이터!$A$2:$A$20000,$A484,데이터!$E$2:$E$20000,설정!$B$4)=0),"",$B484/SUMIFS(데이터!$C$2:$C$20000,데이터!$A$2:$A$20000,$A484,데이터!$E$2:$E$20000,설정!$B$4)-1),"")</f>
        <v/>
      </c>
      <c r="F484" s="5">
        <f>IFERROR(IF(OR($B484="",COUNTIFS(데이터!$A$2:$A$20000,$A484,데이터!$E$2:$E$20000,설정!$B$5)=0),"",$B484/SUMIFS(데이터!$C$2:$C$20000,데이터!$A$2:$A$20000,$A484,데이터!$E$2:$E$20000,설정!$B$5)-1),"")</f>
        <v/>
      </c>
      <c r="G484" s="5">
        <f>IFERROR(IF(OR($B484="",COUNTIFS(데이터!$A$2:$A$20000,$A484,데이터!$E$2:$E$20000,설정!$B$6)=0),"",$B484/SUMIFS(데이터!$C$2:$C$20000,데이터!$A$2:$A$20000,$A484,데이터!$E$2:$E$20000,설정!$B$6)-1),"")</f>
        <v/>
      </c>
      <c r="H484" s="5">
        <f>IFERROR(IF(OR($B484="",COUNTIFS(데이터!$A$2:$A$20000,$A484,데이터!$E$2:$E$20000,설정!$B$7)=0),"",$B484/SUMIFS(데이터!$C$2:$C$20000,데이터!$A$2:$A$20000,$A484,데이터!$E$2:$E$20000,설정!$B$7)-1),"")</f>
        <v/>
      </c>
      <c r="J484">
        <f>IF(C484="","",C484+ROW()*0.000000001)</f>
        <v/>
      </c>
      <c r="K484">
        <f>IF(D484="","",D484+ROW()*0.000000001)</f>
        <v/>
      </c>
      <c r="L484">
        <f>IF(E484="","",E484+ROW()*0.000000001)</f>
        <v/>
      </c>
      <c r="M484">
        <f>IF(F484="","",F484+ROW()*0.000000001)</f>
        <v/>
      </c>
      <c r="N484">
        <f>IF(G484="","",G484+ROW()*0.000000001)</f>
        <v/>
      </c>
      <c r="O484">
        <f>IF(H484="","",H484+ROW()*0.000000001)</f>
        <v/>
      </c>
    </row>
    <row r="485">
      <c r="B485" s="4">
        <f>IF($A485="","",IF(COUNTIFS(데이터!$A$2:$A$20000,$A485,데이터!$E$2:$E$20000,1)=0,"",SUMIFS(데이터!$C$2:$C$20000,데이터!$A$2:$A$20000,$A485,데이터!$E$2:$E$20000,1)))</f>
        <v/>
      </c>
      <c r="C485" s="5">
        <f>IFERROR(IF(OR($B485="",COUNTIFS(데이터!$A$2:$A$20000,$A485,데이터!$E$2:$E$20000,설정!$B$2)=0),"",$B485/SUMIFS(데이터!$C$2:$C$20000,데이터!$A$2:$A$20000,$A485,데이터!$E$2:$E$20000,설정!$B$2)-1),"")</f>
        <v/>
      </c>
      <c r="D485" s="5">
        <f>IFERROR(IF(OR($B485="",COUNTIFS(데이터!$A$2:$A$20000,$A485,데이터!$E$2:$E$20000,설정!$B$3)=0),"",$B485/SUMIFS(데이터!$C$2:$C$20000,데이터!$A$2:$A$20000,$A485,데이터!$E$2:$E$20000,설정!$B$3)-1),"")</f>
        <v/>
      </c>
      <c r="E485" s="5">
        <f>IFERROR(IF(OR($B485="",COUNTIFS(데이터!$A$2:$A$20000,$A485,데이터!$E$2:$E$20000,설정!$B$4)=0),"",$B485/SUMIFS(데이터!$C$2:$C$20000,데이터!$A$2:$A$20000,$A485,데이터!$E$2:$E$20000,설정!$B$4)-1),"")</f>
        <v/>
      </c>
      <c r="F485" s="5">
        <f>IFERROR(IF(OR($B485="",COUNTIFS(데이터!$A$2:$A$20000,$A485,데이터!$E$2:$E$20000,설정!$B$5)=0),"",$B485/SUMIFS(데이터!$C$2:$C$20000,데이터!$A$2:$A$20000,$A485,데이터!$E$2:$E$20000,설정!$B$5)-1),"")</f>
        <v/>
      </c>
      <c r="G485" s="5">
        <f>IFERROR(IF(OR($B485="",COUNTIFS(데이터!$A$2:$A$20000,$A485,데이터!$E$2:$E$20000,설정!$B$6)=0),"",$B485/SUMIFS(데이터!$C$2:$C$20000,데이터!$A$2:$A$20000,$A485,데이터!$E$2:$E$20000,설정!$B$6)-1),"")</f>
        <v/>
      </c>
      <c r="H485" s="5">
        <f>IFERROR(IF(OR($B485="",COUNTIFS(데이터!$A$2:$A$20000,$A485,데이터!$E$2:$E$20000,설정!$B$7)=0),"",$B485/SUMIFS(데이터!$C$2:$C$20000,데이터!$A$2:$A$20000,$A485,데이터!$E$2:$E$20000,설정!$B$7)-1),"")</f>
        <v/>
      </c>
      <c r="J485">
        <f>IF(C485="","",C485+ROW()*0.000000001)</f>
        <v/>
      </c>
      <c r="K485">
        <f>IF(D485="","",D485+ROW()*0.000000001)</f>
        <v/>
      </c>
      <c r="L485">
        <f>IF(E485="","",E485+ROW()*0.000000001)</f>
        <v/>
      </c>
      <c r="M485">
        <f>IF(F485="","",F485+ROW()*0.000000001)</f>
        <v/>
      </c>
      <c r="N485">
        <f>IF(G485="","",G485+ROW()*0.000000001)</f>
        <v/>
      </c>
      <c r="O485">
        <f>IF(H485="","",H485+ROW()*0.000000001)</f>
        <v/>
      </c>
    </row>
    <row r="486">
      <c r="B486" s="4">
        <f>IF($A486="","",IF(COUNTIFS(데이터!$A$2:$A$20000,$A486,데이터!$E$2:$E$20000,1)=0,"",SUMIFS(데이터!$C$2:$C$20000,데이터!$A$2:$A$20000,$A486,데이터!$E$2:$E$20000,1)))</f>
        <v/>
      </c>
      <c r="C486" s="5">
        <f>IFERROR(IF(OR($B486="",COUNTIFS(데이터!$A$2:$A$20000,$A486,데이터!$E$2:$E$20000,설정!$B$2)=0),"",$B486/SUMIFS(데이터!$C$2:$C$20000,데이터!$A$2:$A$20000,$A486,데이터!$E$2:$E$20000,설정!$B$2)-1),"")</f>
        <v/>
      </c>
      <c r="D486" s="5">
        <f>IFERROR(IF(OR($B486="",COUNTIFS(데이터!$A$2:$A$20000,$A486,데이터!$E$2:$E$20000,설정!$B$3)=0),"",$B486/SUMIFS(데이터!$C$2:$C$20000,데이터!$A$2:$A$20000,$A486,데이터!$E$2:$E$20000,설정!$B$3)-1),"")</f>
        <v/>
      </c>
      <c r="E486" s="5">
        <f>IFERROR(IF(OR($B486="",COUNTIFS(데이터!$A$2:$A$20000,$A486,데이터!$E$2:$E$20000,설정!$B$4)=0),"",$B486/SUMIFS(데이터!$C$2:$C$20000,데이터!$A$2:$A$20000,$A486,데이터!$E$2:$E$20000,설정!$B$4)-1),"")</f>
        <v/>
      </c>
      <c r="F486" s="5">
        <f>IFERROR(IF(OR($B486="",COUNTIFS(데이터!$A$2:$A$20000,$A486,데이터!$E$2:$E$20000,설정!$B$5)=0),"",$B486/SUMIFS(데이터!$C$2:$C$20000,데이터!$A$2:$A$20000,$A486,데이터!$E$2:$E$20000,설정!$B$5)-1),"")</f>
        <v/>
      </c>
      <c r="G486" s="5">
        <f>IFERROR(IF(OR($B486="",COUNTIFS(데이터!$A$2:$A$20000,$A486,데이터!$E$2:$E$20000,설정!$B$6)=0),"",$B486/SUMIFS(데이터!$C$2:$C$20000,데이터!$A$2:$A$20000,$A486,데이터!$E$2:$E$20000,설정!$B$6)-1),"")</f>
        <v/>
      </c>
      <c r="H486" s="5">
        <f>IFERROR(IF(OR($B486="",COUNTIFS(데이터!$A$2:$A$20000,$A486,데이터!$E$2:$E$20000,설정!$B$7)=0),"",$B486/SUMIFS(데이터!$C$2:$C$20000,데이터!$A$2:$A$20000,$A486,데이터!$E$2:$E$20000,설정!$B$7)-1),"")</f>
        <v/>
      </c>
      <c r="J486">
        <f>IF(C486="","",C486+ROW()*0.000000001)</f>
        <v/>
      </c>
      <c r="K486">
        <f>IF(D486="","",D486+ROW()*0.000000001)</f>
        <v/>
      </c>
      <c r="L486">
        <f>IF(E486="","",E486+ROW()*0.000000001)</f>
        <v/>
      </c>
      <c r="M486">
        <f>IF(F486="","",F486+ROW()*0.000000001)</f>
        <v/>
      </c>
      <c r="N486">
        <f>IF(G486="","",G486+ROW()*0.000000001)</f>
        <v/>
      </c>
      <c r="O486">
        <f>IF(H486="","",H486+ROW()*0.000000001)</f>
        <v/>
      </c>
    </row>
    <row r="487">
      <c r="B487" s="4">
        <f>IF($A487="","",IF(COUNTIFS(데이터!$A$2:$A$20000,$A487,데이터!$E$2:$E$20000,1)=0,"",SUMIFS(데이터!$C$2:$C$20000,데이터!$A$2:$A$20000,$A487,데이터!$E$2:$E$20000,1)))</f>
        <v/>
      </c>
      <c r="C487" s="5">
        <f>IFERROR(IF(OR($B487="",COUNTIFS(데이터!$A$2:$A$20000,$A487,데이터!$E$2:$E$20000,설정!$B$2)=0),"",$B487/SUMIFS(데이터!$C$2:$C$20000,데이터!$A$2:$A$20000,$A487,데이터!$E$2:$E$20000,설정!$B$2)-1),"")</f>
        <v/>
      </c>
      <c r="D487" s="5">
        <f>IFERROR(IF(OR($B487="",COUNTIFS(데이터!$A$2:$A$20000,$A487,데이터!$E$2:$E$20000,설정!$B$3)=0),"",$B487/SUMIFS(데이터!$C$2:$C$20000,데이터!$A$2:$A$20000,$A487,데이터!$E$2:$E$20000,설정!$B$3)-1),"")</f>
        <v/>
      </c>
      <c r="E487" s="5">
        <f>IFERROR(IF(OR($B487="",COUNTIFS(데이터!$A$2:$A$20000,$A487,데이터!$E$2:$E$20000,설정!$B$4)=0),"",$B487/SUMIFS(데이터!$C$2:$C$20000,데이터!$A$2:$A$20000,$A487,데이터!$E$2:$E$20000,설정!$B$4)-1),"")</f>
        <v/>
      </c>
      <c r="F487" s="5">
        <f>IFERROR(IF(OR($B487="",COUNTIFS(데이터!$A$2:$A$20000,$A487,데이터!$E$2:$E$20000,설정!$B$5)=0),"",$B487/SUMIFS(데이터!$C$2:$C$20000,데이터!$A$2:$A$20000,$A487,데이터!$E$2:$E$20000,설정!$B$5)-1),"")</f>
        <v/>
      </c>
      <c r="G487" s="5">
        <f>IFERROR(IF(OR($B487="",COUNTIFS(데이터!$A$2:$A$20000,$A487,데이터!$E$2:$E$20000,설정!$B$6)=0),"",$B487/SUMIFS(데이터!$C$2:$C$20000,데이터!$A$2:$A$20000,$A487,데이터!$E$2:$E$20000,설정!$B$6)-1),"")</f>
        <v/>
      </c>
      <c r="H487" s="5">
        <f>IFERROR(IF(OR($B487="",COUNTIFS(데이터!$A$2:$A$20000,$A487,데이터!$E$2:$E$20000,설정!$B$7)=0),"",$B487/SUMIFS(데이터!$C$2:$C$20000,데이터!$A$2:$A$20000,$A487,데이터!$E$2:$E$20000,설정!$B$7)-1),"")</f>
        <v/>
      </c>
      <c r="J487">
        <f>IF(C487="","",C487+ROW()*0.000000001)</f>
        <v/>
      </c>
      <c r="K487">
        <f>IF(D487="","",D487+ROW()*0.000000001)</f>
        <v/>
      </c>
      <c r="L487">
        <f>IF(E487="","",E487+ROW()*0.000000001)</f>
        <v/>
      </c>
      <c r="M487">
        <f>IF(F487="","",F487+ROW()*0.000000001)</f>
        <v/>
      </c>
      <c r="N487">
        <f>IF(G487="","",G487+ROW()*0.000000001)</f>
        <v/>
      </c>
      <c r="O487">
        <f>IF(H487="","",H487+ROW()*0.000000001)</f>
        <v/>
      </c>
    </row>
    <row r="488">
      <c r="B488" s="4">
        <f>IF($A488="","",IF(COUNTIFS(데이터!$A$2:$A$20000,$A488,데이터!$E$2:$E$20000,1)=0,"",SUMIFS(데이터!$C$2:$C$20000,데이터!$A$2:$A$20000,$A488,데이터!$E$2:$E$20000,1)))</f>
        <v/>
      </c>
      <c r="C488" s="5">
        <f>IFERROR(IF(OR($B488="",COUNTIFS(데이터!$A$2:$A$20000,$A488,데이터!$E$2:$E$20000,설정!$B$2)=0),"",$B488/SUMIFS(데이터!$C$2:$C$20000,데이터!$A$2:$A$20000,$A488,데이터!$E$2:$E$20000,설정!$B$2)-1),"")</f>
        <v/>
      </c>
      <c r="D488" s="5">
        <f>IFERROR(IF(OR($B488="",COUNTIFS(데이터!$A$2:$A$20000,$A488,데이터!$E$2:$E$20000,설정!$B$3)=0),"",$B488/SUMIFS(데이터!$C$2:$C$20000,데이터!$A$2:$A$20000,$A488,데이터!$E$2:$E$20000,설정!$B$3)-1),"")</f>
        <v/>
      </c>
      <c r="E488" s="5">
        <f>IFERROR(IF(OR($B488="",COUNTIFS(데이터!$A$2:$A$20000,$A488,데이터!$E$2:$E$20000,설정!$B$4)=0),"",$B488/SUMIFS(데이터!$C$2:$C$20000,데이터!$A$2:$A$20000,$A488,데이터!$E$2:$E$20000,설정!$B$4)-1),"")</f>
        <v/>
      </c>
      <c r="F488" s="5">
        <f>IFERROR(IF(OR($B488="",COUNTIFS(데이터!$A$2:$A$20000,$A488,데이터!$E$2:$E$20000,설정!$B$5)=0),"",$B488/SUMIFS(데이터!$C$2:$C$20000,데이터!$A$2:$A$20000,$A488,데이터!$E$2:$E$20000,설정!$B$5)-1),"")</f>
        <v/>
      </c>
      <c r="G488" s="5">
        <f>IFERROR(IF(OR($B488="",COUNTIFS(데이터!$A$2:$A$20000,$A488,데이터!$E$2:$E$20000,설정!$B$6)=0),"",$B488/SUMIFS(데이터!$C$2:$C$20000,데이터!$A$2:$A$20000,$A488,데이터!$E$2:$E$20000,설정!$B$6)-1),"")</f>
        <v/>
      </c>
      <c r="H488" s="5">
        <f>IFERROR(IF(OR($B488="",COUNTIFS(데이터!$A$2:$A$20000,$A488,데이터!$E$2:$E$20000,설정!$B$7)=0),"",$B488/SUMIFS(데이터!$C$2:$C$20000,데이터!$A$2:$A$20000,$A488,데이터!$E$2:$E$20000,설정!$B$7)-1),"")</f>
        <v/>
      </c>
      <c r="J488">
        <f>IF(C488="","",C488+ROW()*0.000000001)</f>
        <v/>
      </c>
      <c r="K488">
        <f>IF(D488="","",D488+ROW()*0.000000001)</f>
        <v/>
      </c>
      <c r="L488">
        <f>IF(E488="","",E488+ROW()*0.000000001)</f>
        <v/>
      </c>
      <c r="M488">
        <f>IF(F488="","",F488+ROW()*0.000000001)</f>
        <v/>
      </c>
      <c r="N488">
        <f>IF(G488="","",G488+ROW()*0.000000001)</f>
        <v/>
      </c>
      <c r="O488">
        <f>IF(H488="","",H488+ROW()*0.000000001)</f>
        <v/>
      </c>
    </row>
    <row r="489">
      <c r="B489" s="4">
        <f>IF($A489="","",IF(COUNTIFS(데이터!$A$2:$A$20000,$A489,데이터!$E$2:$E$20000,1)=0,"",SUMIFS(데이터!$C$2:$C$20000,데이터!$A$2:$A$20000,$A489,데이터!$E$2:$E$20000,1)))</f>
        <v/>
      </c>
      <c r="C489" s="5">
        <f>IFERROR(IF(OR($B489="",COUNTIFS(데이터!$A$2:$A$20000,$A489,데이터!$E$2:$E$20000,설정!$B$2)=0),"",$B489/SUMIFS(데이터!$C$2:$C$20000,데이터!$A$2:$A$20000,$A489,데이터!$E$2:$E$20000,설정!$B$2)-1),"")</f>
        <v/>
      </c>
      <c r="D489" s="5">
        <f>IFERROR(IF(OR($B489="",COUNTIFS(데이터!$A$2:$A$20000,$A489,데이터!$E$2:$E$20000,설정!$B$3)=0),"",$B489/SUMIFS(데이터!$C$2:$C$20000,데이터!$A$2:$A$20000,$A489,데이터!$E$2:$E$20000,설정!$B$3)-1),"")</f>
        <v/>
      </c>
      <c r="E489" s="5">
        <f>IFERROR(IF(OR($B489="",COUNTIFS(데이터!$A$2:$A$20000,$A489,데이터!$E$2:$E$20000,설정!$B$4)=0),"",$B489/SUMIFS(데이터!$C$2:$C$20000,데이터!$A$2:$A$20000,$A489,데이터!$E$2:$E$20000,설정!$B$4)-1),"")</f>
        <v/>
      </c>
      <c r="F489" s="5">
        <f>IFERROR(IF(OR($B489="",COUNTIFS(데이터!$A$2:$A$20000,$A489,데이터!$E$2:$E$20000,설정!$B$5)=0),"",$B489/SUMIFS(데이터!$C$2:$C$20000,데이터!$A$2:$A$20000,$A489,데이터!$E$2:$E$20000,설정!$B$5)-1),"")</f>
        <v/>
      </c>
      <c r="G489" s="5">
        <f>IFERROR(IF(OR($B489="",COUNTIFS(데이터!$A$2:$A$20000,$A489,데이터!$E$2:$E$20000,설정!$B$6)=0),"",$B489/SUMIFS(데이터!$C$2:$C$20000,데이터!$A$2:$A$20000,$A489,데이터!$E$2:$E$20000,설정!$B$6)-1),"")</f>
        <v/>
      </c>
      <c r="H489" s="5">
        <f>IFERROR(IF(OR($B489="",COUNTIFS(데이터!$A$2:$A$20000,$A489,데이터!$E$2:$E$20000,설정!$B$7)=0),"",$B489/SUMIFS(데이터!$C$2:$C$20000,데이터!$A$2:$A$20000,$A489,데이터!$E$2:$E$20000,설정!$B$7)-1),"")</f>
        <v/>
      </c>
      <c r="J489">
        <f>IF(C489="","",C489+ROW()*0.000000001)</f>
        <v/>
      </c>
      <c r="K489">
        <f>IF(D489="","",D489+ROW()*0.000000001)</f>
        <v/>
      </c>
      <c r="L489">
        <f>IF(E489="","",E489+ROW()*0.000000001)</f>
        <v/>
      </c>
      <c r="M489">
        <f>IF(F489="","",F489+ROW()*0.000000001)</f>
        <v/>
      </c>
      <c r="N489">
        <f>IF(G489="","",G489+ROW()*0.000000001)</f>
        <v/>
      </c>
      <c r="O489">
        <f>IF(H489="","",H489+ROW()*0.000000001)</f>
        <v/>
      </c>
    </row>
    <row r="490">
      <c r="B490" s="4">
        <f>IF($A490="","",IF(COUNTIFS(데이터!$A$2:$A$20000,$A490,데이터!$E$2:$E$20000,1)=0,"",SUMIFS(데이터!$C$2:$C$20000,데이터!$A$2:$A$20000,$A490,데이터!$E$2:$E$20000,1)))</f>
        <v/>
      </c>
      <c r="C490" s="5">
        <f>IFERROR(IF(OR($B490="",COUNTIFS(데이터!$A$2:$A$20000,$A490,데이터!$E$2:$E$20000,설정!$B$2)=0),"",$B490/SUMIFS(데이터!$C$2:$C$20000,데이터!$A$2:$A$20000,$A490,데이터!$E$2:$E$20000,설정!$B$2)-1),"")</f>
        <v/>
      </c>
      <c r="D490" s="5">
        <f>IFERROR(IF(OR($B490="",COUNTIFS(데이터!$A$2:$A$20000,$A490,데이터!$E$2:$E$20000,설정!$B$3)=0),"",$B490/SUMIFS(데이터!$C$2:$C$20000,데이터!$A$2:$A$20000,$A490,데이터!$E$2:$E$20000,설정!$B$3)-1),"")</f>
        <v/>
      </c>
      <c r="E490" s="5">
        <f>IFERROR(IF(OR($B490="",COUNTIFS(데이터!$A$2:$A$20000,$A490,데이터!$E$2:$E$20000,설정!$B$4)=0),"",$B490/SUMIFS(데이터!$C$2:$C$20000,데이터!$A$2:$A$20000,$A490,데이터!$E$2:$E$20000,설정!$B$4)-1),"")</f>
        <v/>
      </c>
      <c r="F490" s="5">
        <f>IFERROR(IF(OR($B490="",COUNTIFS(데이터!$A$2:$A$20000,$A490,데이터!$E$2:$E$20000,설정!$B$5)=0),"",$B490/SUMIFS(데이터!$C$2:$C$20000,데이터!$A$2:$A$20000,$A490,데이터!$E$2:$E$20000,설정!$B$5)-1),"")</f>
        <v/>
      </c>
      <c r="G490" s="5">
        <f>IFERROR(IF(OR($B490="",COUNTIFS(데이터!$A$2:$A$20000,$A490,데이터!$E$2:$E$20000,설정!$B$6)=0),"",$B490/SUMIFS(데이터!$C$2:$C$20000,데이터!$A$2:$A$20000,$A490,데이터!$E$2:$E$20000,설정!$B$6)-1),"")</f>
        <v/>
      </c>
      <c r="H490" s="5">
        <f>IFERROR(IF(OR($B490="",COUNTIFS(데이터!$A$2:$A$20000,$A490,데이터!$E$2:$E$20000,설정!$B$7)=0),"",$B490/SUMIFS(데이터!$C$2:$C$20000,데이터!$A$2:$A$20000,$A490,데이터!$E$2:$E$20000,설정!$B$7)-1),"")</f>
        <v/>
      </c>
      <c r="J490">
        <f>IF(C490="","",C490+ROW()*0.000000001)</f>
        <v/>
      </c>
      <c r="K490">
        <f>IF(D490="","",D490+ROW()*0.000000001)</f>
        <v/>
      </c>
      <c r="L490">
        <f>IF(E490="","",E490+ROW()*0.000000001)</f>
        <v/>
      </c>
      <c r="M490">
        <f>IF(F490="","",F490+ROW()*0.000000001)</f>
        <v/>
      </c>
      <c r="N490">
        <f>IF(G490="","",G490+ROW()*0.000000001)</f>
        <v/>
      </c>
      <c r="O490">
        <f>IF(H490="","",H490+ROW()*0.000000001)</f>
        <v/>
      </c>
    </row>
    <row r="491">
      <c r="B491" s="4">
        <f>IF($A491="","",IF(COUNTIFS(데이터!$A$2:$A$20000,$A491,데이터!$E$2:$E$20000,1)=0,"",SUMIFS(데이터!$C$2:$C$20000,데이터!$A$2:$A$20000,$A491,데이터!$E$2:$E$20000,1)))</f>
        <v/>
      </c>
      <c r="C491" s="5">
        <f>IFERROR(IF(OR($B491="",COUNTIFS(데이터!$A$2:$A$20000,$A491,데이터!$E$2:$E$20000,설정!$B$2)=0),"",$B491/SUMIFS(데이터!$C$2:$C$20000,데이터!$A$2:$A$20000,$A491,데이터!$E$2:$E$20000,설정!$B$2)-1),"")</f>
        <v/>
      </c>
      <c r="D491" s="5">
        <f>IFERROR(IF(OR($B491="",COUNTIFS(데이터!$A$2:$A$20000,$A491,데이터!$E$2:$E$20000,설정!$B$3)=0),"",$B491/SUMIFS(데이터!$C$2:$C$20000,데이터!$A$2:$A$20000,$A491,데이터!$E$2:$E$20000,설정!$B$3)-1),"")</f>
        <v/>
      </c>
      <c r="E491" s="5">
        <f>IFERROR(IF(OR($B491="",COUNTIFS(데이터!$A$2:$A$20000,$A491,데이터!$E$2:$E$20000,설정!$B$4)=0),"",$B491/SUMIFS(데이터!$C$2:$C$20000,데이터!$A$2:$A$20000,$A491,데이터!$E$2:$E$20000,설정!$B$4)-1),"")</f>
        <v/>
      </c>
      <c r="F491" s="5">
        <f>IFERROR(IF(OR($B491="",COUNTIFS(데이터!$A$2:$A$20000,$A491,데이터!$E$2:$E$20000,설정!$B$5)=0),"",$B491/SUMIFS(데이터!$C$2:$C$20000,데이터!$A$2:$A$20000,$A491,데이터!$E$2:$E$20000,설정!$B$5)-1),"")</f>
        <v/>
      </c>
      <c r="G491" s="5">
        <f>IFERROR(IF(OR($B491="",COUNTIFS(데이터!$A$2:$A$20000,$A491,데이터!$E$2:$E$20000,설정!$B$6)=0),"",$B491/SUMIFS(데이터!$C$2:$C$20000,데이터!$A$2:$A$20000,$A491,데이터!$E$2:$E$20000,설정!$B$6)-1),"")</f>
        <v/>
      </c>
      <c r="H491" s="5">
        <f>IFERROR(IF(OR($B491="",COUNTIFS(데이터!$A$2:$A$20000,$A491,데이터!$E$2:$E$20000,설정!$B$7)=0),"",$B491/SUMIFS(데이터!$C$2:$C$20000,데이터!$A$2:$A$20000,$A491,데이터!$E$2:$E$20000,설정!$B$7)-1),"")</f>
        <v/>
      </c>
      <c r="J491">
        <f>IF(C491="","",C491+ROW()*0.000000001)</f>
        <v/>
      </c>
      <c r="K491">
        <f>IF(D491="","",D491+ROW()*0.000000001)</f>
        <v/>
      </c>
      <c r="L491">
        <f>IF(E491="","",E491+ROW()*0.000000001)</f>
        <v/>
      </c>
      <c r="M491">
        <f>IF(F491="","",F491+ROW()*0.000000001)</f>
        <v/>
      </c>
      <c r="N491">
        <f>IF(G491="","",G491+ROW()*0.000000001)</f>
        <v/>
      </c>
      <c r="O491">
        <f>IF(H491="","",H491+ROW()*0.000000001)</f>
        <v/>
      </c>
    </row>
    <row r="492">
      <c r="B492" s="4">
        <f>IF($A492="","",IF(COUNTIFS(데이터!$A$2:$A$20000,$A492,데이터!$E$2:$E$20000,1)=0,"",SUMIFS(데이터!$C$2:$C$20000,데이터!$A$2:$A$20000,$A492,데이터!$E$2:$E$20000,1)))</f>
        <v/>
      </c>
      <c r="C492" s="5">
        <f>IFERROR(IF(OR($B492="",COUNTIFS(데이터!$A$2:$A$20000,$A492,데이터!$E$2:$E$20000,설정!$B$2)=0),"",$B492/SUMIFS(데이터!$C$2:$C$20000,데이터!$A$2:$A$20000,$A492,데이터!$E$2:$E$20000,설정!$B$2)-1),"")</f>
        <v/>
      </c>
      <c r="D492" s="5">
        <f>IFERROR(IF(OR($B492="",COUNTIFS(데이터!$A$2:$A$20000,$A492,데이터!$E$2:$E$20000,설정!$B$3)=0),"",$B492/SUMIFS(데이터!$C$2:$C$20000,데이터!$A$2:$A$20000,$A492,데이터!$E$2:$E$20000,설정!$B$3)-1),"")</f>
        <v/>
      </c>
      <c r="E492" s="5">
        <f>IFERROR(IF(OR($B492="",COUNTIFS(데이터!$A$2:$A$20000,$A492,데이터!$E$2:$E$20000,설정!$B$4)=0),"",$B492/SUMIFS(데이터!$C$2:$C$20000,데이터!$A$2:$A$20000,$A492,데이터!$E$2:$E$20000,설정!$B$4)-1),"")</f>
        <v/>
      </c>
      <c r="F492" s="5">
        <f>IFERROR(IF(OR($B492="",COUNTIFS(데이터!$A$2:$A$20000,$A492,데이터!$E$2:$E$20000,설정!$B$5)=0),"",$B492/SUMIFS(데이터!$C$2:$C$20000,데이터!$A$2:$A$20000,$A492,데이터!$E$2:$E$20000,설정!$B$5)-1),"")</f>
        <v/>
      </c>
      <c r="G492" s="5">
        <f>IFERROR(IF(OR($B492="",COUNTIFS(데이터!$A$2:$A$20000,$A492,데이터!$E$2:$E$20000,설정!$B$6)=0),"",$B492/SUMIFS(데이터!$C$2:$C$20000,데이터!$A$2:$A$20000,$A492,데이터!$E$2:$E$20000,설정!$B$6)-1),"")</f>
        <v/>
      </c>
      <c r="H492" s="5">
        <f>IFERROR(IF(OR($B492="",COUNTIFS(데이터!$A$2:$A$20000,$A492,데이터!$E$2:$E$20000,설정!$B$7)=0),"",$B492/SUMIFS(데이터!$C$2:$C$20000,데이터!$A$2:$A$20000,$A492,데이터!$E$2:$E$20000,설정!$B$7)-1),"")</f>
        <v/>
      </c>
      <c r="J492">
        <f>IF(C492="","",C492+ROW()*0.000000001)</f>
        <v/>
      </c>
      <c r="K492">
        <f>IF(D492="","",D492+ROW()*0.000000001)</f>
        <v/>
      </c>
      <c r="L492">
        <f>IF(E492="","",E492+ROW()*0.000000001)</f>
        <v/>
      </c>
      <c r="M492">
        <f>IF(F492="","",F492+ROW()*0.000000001)</f>
        <v/>
      </c>
      <c r="N492">
        <f>IF(G492="","",G492+ROW()*0.000000001)</f>
        <v/>
      </c>
      <c r="O492">
        <f>IF(H492="","",H492+ROW()*0.000000001)</f>
        <v/>
      </c>
    </row>
    <row r="493">
      <c r="B493" s="4">
        <f>IF($A493="","",IF(COUNTIFS(데이터!$A$2:$A$20000,$A493,데이터!$E$2:$E$20000,1)=0,"",SUMIFS(데이터!$C$2:$C$20000,데이터!$A$2:$A$20000,$A493,데이터!$E$2:$E$20000,1)))</f>
        <v/>
      </c>
      <c r="C493" s="5">
        <f>IFERROR(IF(OR($B493="",COUNTIFS(데이터!$A$2:$A$20000,$A493,데이터!$E$2:$E$20000,설정!$B$2)=0),"",$B493/SUMIFS(데이터!$C$2:$C$20000,데이터!$A$2:$A$20000,$A493,데이터!$E$2:$E$20000,설정!$B$2)-1),"")</f>
        <v/>
      </c>
      <c r="D493" s="5">
        <f>IFERROR(IF(OR($B493="",COUNTIFS(데이터!$A$2:$A$20000,$A493,데이터!$E$2:$E$20000,설정!$B$3)=0),"",$B493/SUMIFS(데이터!$C$2:$C$20000,데이터!$A$2:$A$20000,$A493,데이터!$E$2:$E$20000,설정!$B$3)-1),"")</f>
        <v/>
      </c>
      <c r="E493" s="5">
        <f>IFERROR(IF(OR($B493="",COUNTIFS(데이터!$A$2:$A$20000,$A493,데이터!$E$2:$E$20000,설정!$B$4)=0),"",$B493/SUMIFS(데이터!$C$2:$C$20000,데이터!$A$2:$A$20000,$A493,데이터!$E$2:$E$20000,설정!$B$4)-1),"")</f>
        <v/>
      </c>
      <c r="F493" s="5">
        <f>IFERROR(IF(OR($B493="",COUNTIFS(데이터!$A$2:$A$20000,$A493,데이터!$E$2:$E$20000,설정!$B$5)=0),"",$B493/SUMIFS(데이터!$C$2:$C$20000,데이터!$A$2:$A$20000,$A493,데이터!$E$2:$E$20000,설정!$B$5)-1),"")</f>
        <v/>
      </c>
      <c r="G493" s="5">
        <f>IFERROR(IF(OR($B493="",COUNTIFS(데이터!$A$2:$A$20000,$A493,데이터!$E$2:$E$20000,설정!$B$6)=0),"",$B493/SUMIFS(데이터!$C$2:$C$20000,데이터!$A$2:$A$20000,$A493,데이터!$E$2:$E$20000,설정!$B$6)-1),"")</f>
        <v/>
      </c>
      <c r="H493" s="5">
        <f>IFERROR(IF(OR($B493="",COUNTIFS(데이터!$A$2:$A$20000,$A493,데이터!$E$2:$E$20000,설정!$B$7)=0),"",$B493/SUMIFS(데이터!$C$2:$C$20000,데이터!$A$2:$A$20000,$A493,데이터!$E$2:$E$20000,설정!$B$7)-1),"")</f>
        <v/>
      </c>
      <c r="J493">
        <f>IF(C493="","",C493+ROW()*0.000000001)</f>
        <v/>
      </c>
      <c r="K493">
        <f>IF(D493="","",D493+ROW()*0.000000001)</f>
        <v/>
      </c>
      <c r="L493">
        <f>IF(E493="","",E493+ROW()*0.000000001)</f>
        <v/>
      </c>
      <c r="M493">
        <f>IF(F493="","",F493+ROW()*0.000000001)</f>
        <v/>
      </c>
      <c r="N493">
        <f>IF(G493="","",G493+ROW()*0.000000001)</f>
        <v/>
      </c>
      <c r="O493">
        <f>IF(H493="","",H493+ROW()*0.000000001)</f>
        <v/>
      </c>
    </row>
    <row r="494">
      <c r="B494" s="4">
        <f>IF($A494="","",IF(COUNTIFS(데이터!$A$2:$A$20000,$A494,데이터!$E$2:$E$20000,1)=0,"",SUMIFS(데이터!$C$2:$C$20000,데이터!$A$2:$A$20000,$A494,데이터!$E$2:$E$20000,1)))</f>
        <v/>
      </c>
      <c r="C494" s="5">
        <f>IFERROR(IF(OR($B494="",COUNTIFS(데이터!$A$2:$A$20000,$A494,데이터!$E$2:$E$20000,설정!$B$2)=0),"",$B494/SUMIFS(데이터!$C$2:$C$20000,데이터!$A$2:$A$20000,$A494,데이터!$E$2:$E$20000,설정!$B$2)-1),"")</f>
        <v/>
      </c>
      <c r="D494" s="5">
        <f>IFERROR(IF(OR($B494="",COUNTIFS(데이터!$A$2:$A$20000,$A494,데이터!$E$2:$E$20000,설정!$B$3)=0),"",$B494/SUMIFS(데이터!$C$2:$C$20000,데이터!$A$2:$A$20000,$A494,데이터!$E$2:$E$20000,설정!$B$3)-1),"")</f>
        <v/>
      </c>
      <c r="E494" s="5">
        <f>IFERROR(IF(OR($B494="",COUNTIFS(데이터!$A$2:$A$20000,$A494,데이터!$E$2:$E$20000,설정!$B$4)=0),"",$B494/SUMIFS(데이터!$C$2:$C$20000,데이터!$A$2:$A$20000,$A494,데이터!$E$2:$E$20000,설정!$B$4)-1),"")</f>
        <v/>
      </c>
      <c r="F494" s="5">
        <f>IFERROR(IF(OR($B494="",COUNTIFS(데이터!$A$2:$A$20000,$A494,데이터!$E$2:$E$20000,설정!$B$5)=0),"",$B494/SUMIFS(데이터!$C$2:$C$20000,데이터!$A$2:$A$20000,$A494,데이터!$E$2:$E$20000,설정!$B$5)-1),"")</f>
        <v/>
      </c>
      <c r="G494" s="5">
        <f>IFERROR(IF(OR($B494="",COUNTIFS(데이터!$A$2:$A$20000,$A494,데이터!$E$2:$E$20000,설정!$B$6)=0),"",$B494/SUMIFS(데이터!$C$2:$C$20000,데이터!$A$2:$A$20000,$A494,데이터!$E$2:$E$20000,설정!$B$6)-1),"")</f>
        <v/>
      </c>
      <c r="H494" s="5">
        <f>IFERROR(IF(OR($B494="",COUNTIFS(데이터!$A$2:$A$20000,$A494,데이터!$E$2:$E$20000,설정!$B$7)=0),"",$B494/SUMIFS(데이터!$C$2:$C$20000,데이터!$A$2:$A$20000,$A494,데이터!$E$2:$E$20000,설정!$B$7)-1),"")</f>
        <v/>
      </c>
      <c r="J494">
        <f>IF(C494="","",C494+ROW()*0.000000001)</f>
        <v/>
      </c>
      <c r="K494">
        <f>IF(D494="","",D494+ROW()*0.000000001)</f>
        <v/>
      </c>
      <c r="L494">
        <f>IF(E494="","",E494+ROW()*0.000000001)</f>
        <v/>
      </c>
      <c r="M494">
        <f>IF(F494="","",F494+ROW()*0.000000001)</f>
        <v/>
      </c>
      <c r="N494">
        <f>IF(G494="","",G494+ROW()*0.000000001)</f>
        <v/>
      </c>
      <c r="O494">
        <f>IF(H494="","",H494+ROW()*0.000000001)</f>
        <v/>
      </c>
    </row>
    <row r="495">
      <c r="B495" s="4">
        <f>IF($A495="","",IF(COUNTIFS(데이터!$A$2:$A$20000,$A495,데이터!$E$2:$E$20000,1)=0,"",SUMIFS(데이터!$C$2:$C$20000,데이터!$A$2:$A$20000,$A495,데이터!$E$2:$E$20000,1)))</f>
        <v/>
      </c>
      <c r="C495" s="5">
        <f>IFERROR(IF(OR($B495="",COUNTIFS(데이터!$A$2:$A$20000,$A495,데이터!$E$2:$E$20000,설정!$B$2)=0),"",$B495/SUMIFS(데이터!$C$2:$C$20000,데이터!$A$2:$A$20000,$A495,데이터!$E$2:$E$20000,설정!$B$2)-1),"")</f>
        <v/>
      </c>
      <c r="D495" s="5">
        <f>IFERROR(IF(OR($B495="",COUNTIFS(데이터!$A$2:$A$20000,$A495,데이터!$E$2:$E$20000,설정!$B$3)=0),"",$B495/SUMIFS(데이터!$C$2:$C$20000,데이터!$A$2:$A$20000,$A495,데이터!$E$2:$E$20000,설정!$B$3)-1),"")</f>
        <v/>
      </c>
      <c r="E495" s="5">
        <f>IFERROR(IF(OR($B495="",COUNTIFS(데이터!$A$2:$A$20000,$A495,데이터!$E$2:$E$20000,설정!$B$4)=0),"",$B495/SUMIFS(데이터!$C$2:$C$20000,데이터!$A$2:$A$20000,$A495,데이터!$E$2:$E$20000,설정!$B$4)-1),"")</f>
        <v/>
      </c>
      <c r="F495" s="5">
        <f>IFERROR(IF(OR($B495="",COUNTIFS(데이터!$A$2:$A$20000,$A495,데이터!$E$2:$E$20000,설정!$B$5)=0),"",$B495/SUMIFS(데이터!$C$2:$C$20000,데이터!$A$2:$A$20000,$A495,데이터!$E$2:$E$20000,설정!$B$5)-1),"")</f>
        <v/>
      </c>
      <c r="G495" s="5">
        <f>IFERROR(IF(OR($B495="",COUNTIFS(데이터!$A$2:$A$20000,$A495,데이터!$E$2:$E$20000,설정!$B$6)=0),"",$B495/SUMIFS(데이터!$C$2:$C$20000,데이터!$A$2:$A$20000,$A495,데이터!$E$2:$E$20000,설정!$B$6)-1),"")</f>
        <v/>
      </c>
      <c r="H495" s="5">
        <f>IFERROR(IF(OR($B495="",COUNTIFS(데이터!$A$2:$A$20000,$A495,데이터!$E$2:$E$20000,설정!$B$7)=0),"",$B495/SUMIFS(데이터!$C$2:$C$20000,데이터!$A$2:$A$20000,$A495,데이터!$E$2:$E$20000,설정!$B$7)-1),"")</f>
        <v/>
      </c>
      <c r="J495">
        <f>IF(C495="","",C495+ROW()*0.000000001)</f>
        <v/>
      </c>
      <c r="K495">
        <f>IF(D495="","",D495+ROW()*0.000000001)</f>
        <v/>
      </c>
      <c r="L495">
        <f>IF(E495="","",E495+ROW()*0.000000001)</f>
        <v/>
      </c>
      <c r="M495">
        <f>IF(F495="","",F495+ROW()*0.000000001)</f>
        <v/>
      </c>
      <c r="N495">
        <f>IF(G495="","",G495+ROW()*0.000000001)</f>
        <v/>
      </c>
      <c r="O495">
        <f>IF(H495="","",H495+ROW()*0.000000001)</f>
        <v/>
      </c>
    </row>
    <row r="496">
      <c r="B496" s="4">
        <f>IF($A496="","",IF(COUNTIFS(데이터!$A$2:$A$20000,$A496,데이터!$E$2:$E$20000,1)=0,"",SUMIFS(데이터!$C$2:$C$20000,데이터!$A$2:$A$20000,$A496,데이터!$E$2:$E$20000,1)))</f>
        <v/>
      </c>
      <c r="C496" s="5">
        <f>IFERROR(IF(OR($B496="",COUNTIFS(데이터!$A$2:$A$20000,$A496,데이터!$E$2:$E$20000,설정!$B$2)=0),"",$B496/SUMIFS(데이터!$C$2:$C$20000,데이터!$A$2:$A$20000,$A496,데이터!$E$2:$E$20000,설정!$B$2)-1),"")</f>
        <v/>
      </c>
      <c r="D496" s="5">
        <f>IFERROR(IF(OR($B496="",COUNTIFS(데이터!$A$2:$A$20000,$A496,데이터!$E$2:$E$20000,설정!$B$3)=0),"",$B496/SUMIFS(데이터!$C$2:$C$20000,데이터!$A$2:$A$20000,$A496,데이터!$E$2:$E$20000,설정!$B$3)-1),"")</f>
        <v/>
      </c>
      <c r="E496" s="5">
        <f>IFERROR(IF(OR($B496="",COUNTIFS(데이터!$A$2:$A$20000,$A496,데이터!$E$2:$E$20000,설정!$B$4)=0),"",$B496/SUMIFS(데이터!$C$2:$C$20000,데이터!$A$2:$A$20000,$A496,데이터!$E$2:$E$20000,설정!$B$4)-1),"")</f>
        <v/>
      </c>
      <c r="F496" s="5">
        <f>IFERROR(IF(OR($B496="",COUNTIFS(데이터!$A$2:$A$20000,$A496,데이터!$E$2:$E$20000,설정!$B$5)=0),"",$B496/SUMIFS(데이터!$C$2:$C$20000,데이터!$A$2:$A$20000,$A496,데이터!$E$2:$E$20000,설정!$B$5)-1),"")</f>
        <v/>
      </c>
      <c r="G496" s="5">
        <f>IFERROR(IF(OR($B496="",COUNTIFS(데이터!$A$2:$A$20000,$A496,데이터!$E$2:$E$20000,설정!$B$6)=0),"",$B496/SUMIFS(데이터!$C$2:$C$20000,데이터!$A$2:$A$20000,$A496,데이터!$E$2:$E$20000,설정!$B$6)-1),"")</f>
        <v/>
      </c>
      <c r="H496" s="5">
        <f>IFERROR(IF(OR($B496="",COUNTIFS(데이터!$A$2:$A$20000,$A496,데이터!$E$2:$E$20000,설정!$B$7)=0),"",$B496/SUMIFS(데이터!$C$2:$C$20000,데이터!$A$2:$A$20000,$A496,데이터!$E$2:$E$20000,설정!$B$7)-1),"")</f>
        <v/>
      </c>
      <c r="J496">
        <f>IF(C496="","",C496+ROW()*0.000000001)</f>
        <v/>
      </c>
      <c r="K496">
        <f>IF(D496="","",D496+ROW()*0.000000001)</f>
        <v/>
      </c>
      <c r="L496">
        <f>IF(E496="","",E496+ROW()*0.000000001)</f>
        <v/>
      </c>
      <c r="M496">
        <f>IF(F496="","",F496+ROW()*0.000000001)</f>
        <v/>
      </c>
      <c r="N496">
        <f>IF(G496="","",G496+ROW()*0.000000001)</f>
        <v/>
      </c>
      <c r="O496">
        <f>IF(H496="","",H496+ROW()*0.000000001)</f>
        <v/>
      </c>
    </row>
    <row r="497">
      <c r="B497" s="4">
        <f>IF($A497="","",IF(COUNTIFS(데이터!$A$2:$A$20000,$A497,데이터!$E$2:$E$20000,1)=0,"",SUMIFS(데이터!$C$2:$C$20000,데이터!$A$2:$A$20000,$A497,데이터!$E$2:$E$20000,1)))</f>
        <v/>
      </c>
      <c r="C497" s="5">
        <f>IFERROR(IF(OR($B497="",COUNTIFS(데이터!$A$2:$A$20000,$A497,데이터!$E$2:$E$20000,설정!$B$2)=0),"",$B497/SUMIFS(데이터!$C$2:$C$20000,데이터!$A$2:$A$20000,$A497,데이터!$E$2:$E$20000,설정!$B$2)-1),"")</f>
        <v/>
      </c>
      <c r="D497" s="5">
        <f>IFERROR(IF(OR($B497="",COUNTIFS(데이터!$A$2:$A$20000,$A497,데이터!$E$2:$E$20000,설정!$B$3)=0),"",$B497/SUMIFS(데이터!$C$2:$C$20000,데이터!$A$2:$A$20000,$A497,데이터!$E$2:$E$20000,설정!$B$3)-1),"")</f>
        <v/>
      </c>
      <c r="E497" s="5">
        <f>IFERROR(IF(OR($B497="",COUNTIFS(데이터!$A$2:$A$20000,$A497,데이터!$E$2:$E$20000,설정!$B$4)=0),"",$B497/SUMIFS(데이터!$C$2:$C$20000,데이터!$A$2:$A$20000,$A497,데이터!$E$2:$E$20000,설정!$B$4)-1),"")</f>
        <v/>
      </c>
      <c r="F497" s="5">
        <f>IFERROR(IF(OR($B497="",COUNTIFS(데이터!$A$2:$A$20000,$A497,데이터!$E$2:$E$20000,설정!$B$5)=0),"",$B497/SUMIFS(데이터!$C$2:$C$20000,데이터!$A$2:$A$20000,$A497,데이터!$E$2:$E$20000,설정!$B$5)-1),"")</f>
        <v/>
      </c>
      <c r="G497" s="5">
        <f>IFERROR(IF(OR($B497="",COUNTIFS(데이터!$A$2:$A$20000,$A497,데이터!$E$2:$E$20000,설정!$B$6)=0),"",$B497/SUMIFS(데이터!$C$2:$C$20000,데이터!$A$2:$A$20000,$A497,데이터!$E$2:$E$20000,설정!$B$6)-1),"")</f>
        <v/>
      </c>
      <c r="H497" s="5">
        <f>IFERROR(IF(OR($B497="",COUNTIFS(데이터!$A$2:$A$20000,$A497,데이터!$E$2:$E$20000,설정!$B$7)=0),"",$B497/SUMIFS(데이터!$C$2:$C$20000,데이터!$A$2:$A$20000,$A497,데이터!$E$2:$E$20000,설정!$B$7)-1),"")</f>
        <v/>
      </c>
      <c r="J497">
        <f>IF(C497="","",C497+ROW()*0.000000001)</f>
        <v/>
      </c>
      <c r="K497">
        <f>IF(D497="","",D497+ROW()*0.000000001)</f>
        <v/>
      </c>
      <c r="L497">
        <f>IF(E497="","",E497+ROW()*0.000000001)</f>
        <v/>
      </c>
      <c r="M497">
        <f>IF(F497="","",F497+ROW()*0.000000001)</f>
        <v/>
      </c>
      <c r="N497">
        <f>IF(G497="","",G497+ROW()*0.000000001)</f>
        <v/>
      </c>
      <c r="O497">
        <f>IF(H497="","",H497+ROW()*0.000000001)</f>
        <v/>
      </c>
    </row>
    <row r="498">
      <c r="B498" s="4">
        <f>IF($A498="","",IF(COUNTIFS(데이터!$A$2:$A$20000,$A498,데이터!$E$2:$E$20000,1)=0,"",SUMIFS(데이터!$C$2:$C$20000,데이터!$A$2:$A$20000,$A498,데이터!$E$2:$E$20000,1)))</f>
        <v/>
      </c>
      <c r="C498" s="5">
        <f>IFERROR(IF(OR($B498="",COUNTIFS(데이터!$A$2:$A$20000,$A498,데이터!$E$2:$E$20000,설정!$B$2)=0),"",$B498/SUMIFS(데이터!$C$2:$C$20000,데이터!$A$2:$A$20000,$A498,데이터!$E$2:$E$20000,설정!$B$2)-1),"")</f>
        <v/>
      </c>
      <c r="D498" s="5">
        <f>IFERROR(IF(OR($B498="",COUNTIFS(데이터!$A$2:$A$20000,$A498,데이터!$E$2:$E$20000,설정!$B$3)=0),"",$B498/SUMIFS(데이터!$C$2:$C$20000,데이터!$A$2:$A$20000,$A498,데이터!$E$2:$E$20000,설정!$B$3)-1),"")</f>
        <v/>
      </c>
      <c r="E498" s="5">
        <f>IFERROR(IF(OR($B498="",COUNTIFS(데이터!$A$2:$A$20000,$A498,데이터!$E$2:$E$20000,설정!$B$4)=0),"",$B498/SUMIFS(데이터!$C$2:$C$20000,데이터!$A$2:$A$20000,$A498,데이터!$E$2:$E$20000,설정!$B$4)-1),"")</f>
        <v/>
      </c>
      <c r="F498" s="5">
        <f>IFERROR(IF(OR($B498="",COUNTIFS(데이터!$A$2:$A$20000,$A498,데이터!$E$2:$E$20000,설정!$B$5)=0),"",$B498/SUMIFS(데이터!$C$2:$C$20000,데이터!$A$2:$A$20000,$A498,데이터!$E$2:$E$20000,설정!$B$5)-1),"")</f>
        <v/>
      </c>
      <c r="G498" s="5">
        <f>IFERROR(IF(OR($B498="",COUNTIFS(데이터!$A$2:$A$20000,$A498,데이터!$E$2:$E$20000,설정!$B$6)=0),"",$B498/SUMIFS(데이터!$C$2:$C$20000,데이터!$A$2:$A$20000,$A498,데이터!$E$2:$E$20000,설정!$B$6)-1),"")</f>
        <v/>
      </c>
      <c r="H498" s="5">
        <f>IFERROR(IF(OR($B498="",COUNTIFS(데이터!$A$2:$A$20000,$A498,데이터!$E$2:$E$20000,설정!$B$7)=0),"",$B498/SUMIFS(데이터!$C$2:$C$20000,데이터!$A$2:$A$20000,$A498,데이터!$E$2:$E$20000,설정!$B$7)-1),"")</f>
        <v/>
      </c>
      <c r="J498">
        <f>IF(C498="","",C498+ROW()*0.000000001)</f>
        <v/>
      </c>
      <c r="K498">
        <f>IF(D498="","",D498+ROW()*0.000000001)</f>
        <v/>
      </c>
      <c r="L498">
        <f>IF(E498="","",E498+ROW()*0.000000001)</f>
        <v/>
      </c>
      <c r="M498">
        <f>IF(F498="","",F498+ROW()*0.000000001)</f>
        <v/>
      </c>
      <c r="N498">
        <f>IF(G498="","",G498+ROW()*0.000000001)</f>
        <v/>
      </c>
      <c r="O498">
        <f>IF(H498="","",H498+ROW()*0.000000001)</f>
        <v/>
      </c>
    </row>
    <row r="499">
      <c r="B499" s="4">
        <f>IF($A499="","",IF(COUNTIFS(데이터!$A$2:$A$20000,$A499,데이터!$E$2:$E$20000,1)=0,"",SUMIFS(데이터!$C$2:$C$20000,데이터!$A$2:$A$20000,$A499,데이터!$E$2:$E$20000,1)))</f>
        <v/>
      </c>
      <c r="C499" s="5">
        <f>IFERROR(IF(OR($B499="",COUNTIFS(데이터!$A$2:$A$20000,$A499,데이터!$E$2:$E$20000,설정!$B$2)=0),"",$B499/SUMIFS(데이터!$C$2:$C$20000,데이터!$A$2:$A$20000,$A499,데이터!$E$2:$E$20000,설정!$B$2)-1),"")</f>
        <v/>
      </c>
      <c r="D499" s="5">
        <f>IFERROR(IF(OR($B499="",COUNTIFS(데이터!$A$2:$A$20000,$A499,데이터!$E$2:$E$20000,설정!$B$3)=0),"",$B499/SUMIFS(데이터!$C$2:$C$20000,데이터!$A$2:$A$20000,$A499,데이터!$E$2:$E$20000,설정!$B$3)-1),"")</f>
        <v/>
      </c>
      <c r="E499" s="5">
        <f>IFERROR(IF(OR($B499="",COUNTIFS(데이터!$A$2:$A$20000,$A499,데이터!$E$2:$E$20000,설정!$B$4)=0),"",$B499/SUMIFS(데이터!$C$2:$C$20000,데이터!$A$2:$A$20000,$A499,데이터!$E$2:$E$20000,설정!$B$4)-1),"")</f>
        <v/>
      </c>
      <c r="F499" s="5">
        <f>IFERROR(IF(OR($B499="",COUNTIFS(데이터!$A$2:$A$20000,$A499,데이터!$E$2:$E$20000,설정!$B$5)=0),"",$B499/SUMIFS(데이터!$C$2:$C$20000,데이터!$A$2:$A$20000,$A499,데이터!$E$2:$E$20000,설정!$B$5)-1),"")</f>
        <v/>
      </c>
      <c r="G499" s="5">
        <f>IFERROR(IF(OR($B499="",COUNTIFS(데이터!$A$2:$A$20000,$A499,데이터!$E$2:$E$20000,설정!$B$6)=0),"",$B499/SUMIFS(데이터!$C$2:$C$20000,데이터!$A$2:$A$20000,$A499,데이터!$E$2:$E$20000,설정!$B$6)-1),"")</f>
        <v/>
      </c>
      <c r="H499" s="5">
        <f>IFERROR(IF(OR($B499="",COUNTIFS(데이터!$A$2:$A$20000,$A499,데이터!$E$2:$E$20000,설정!$B$7)=0),"",$B499/SUMIFS(데이터!$C$2:$C$20000,데이터!$A$2:$A$20000,$A499,데이터!$E$2:$E$20000,설정!$B$7)-1),"")</f>
        <v/>
      </c>
      <c r="J499">
        <f>IF(C499="","",C499+ROW()*0.000000001)</f>
        <v/>
      </c>
      <c r="K499">
        <f>IF(D499="","",D499+ROW()*0.000000001)</f>
        <v/>
      </c>
      <c r="L499">
        <f>IF(E499="","",E499+ROW()*0.000000001)</f>
        <v/>
      </c>
      <c r="M499">
        <f>IF(F499="","",F499+ROW()*0.000000001)</f>
        <v/>
      </c>
      <c r="N499">
        <f>IF(G499="","",G499+ROW()*0.000000001)</f>
        <v/>
      </c>
      <c r="O499">
        <f>IF(H499="","",H499+ROW()*0.000000001)</f>
        <v/>
      </c>
    </row>
    <row r="500">
      <c r="B500" s="4">
        <f>IF($A500="","",IF(COUNTIFS(데이터!$A$2:$A$20000,$A500,데이터!$E$2:$E$20000,1)=0,"",SUMIFS(데이터!$C$2:$C$20000,데이터!$A$2:$A$20000,$A500,데이터!$E$2:$E$20000,1)))</f>
        <v/>
      </c>
      <c r="C500" s="5">
        <f>IFERROR(IF(OR($B500="",COUNTIFS(데이터!$A$2:$A$20000,$A500,데이터!$E$2:$E$20000,설정!$B$2)=0),"",$B500/SUMIFS(데이터!$C$2:$C$20000,데이터!$A$2:$A$20000,$A500,데이터!$E$2:$E$20000,설정!$B$2)-1),"")</f>
        <v/>
      </c>
      <c r="D500" s="5">
        <f>IFERROR(IF(OR($B500="",COUNTIFS(데이터!$A$2:$A$20000,$A500,데이터!$E$2:$E$20000,설정!$B$3)=0),"",$B500/SUMIFS(데이터!$C$2:$C$20000,데이터!$A$2:$A$20000,$A500,데이터!$E$2:$E$20000,설정!$B$3)-1),"")</f>
        <v/>
      </c>
      <c r="E500" s="5">
        <f>IFERROR(IF(OR($B500="",COUNTIFS(데이터!$A$2:$A$20000,$A500,데이터!$E$2:$E$20000,설정!$B$4)=0),"",$B500/SUMIFS(데이터!$C$2:$C$20000,데이터!$A$2:$A$20000,$A500,데이터!$E$2:$E$20000,설정!$B$4)-1),"")</f>
        <v/>
      </c>
      <c r="F500" s="5">
        <f>IFERROR(IF(OR($B500="",COUNTIFS(데이터!$A$2:$A$20000,$A500,데이터!$E$2:$E$20000,설정!$B$5)=0),"",$B500/SUMIFS(데이터!$C$2:$C$20000,데이터!$A$2:$A$20000,$A500,데이터!$E$2:$E$20000,설정!$B$5)-1),"")</f>
        <v/>
      </c>
      <c r="G500" s="5">
        <f>IFERROR(IF(OR($B500="",COUNTIFS(데이터!$A$2:$A$20000,$A500,데이터!$E$2:$E$20000,설정!$B$6)=0),"",$B500/SUMIFS(데이터!$C$2:$C$20000,데이터!$A$2:$A$20000,$A500,데이터!$E$2:$E$20000,설정!$B$6)-1),"")</f>
        <v/>
      </c>
      <c r="H500" s="5">
        <f>IFERROR(IF(OR($B500="",COUNTIFS(데이터!$A$2:$A$20000,$A500,데이터!$E$2:$E$20000,설정!$B$7)=0),"",$B500/SUMIFS(데이터!$C$2:$C$20000,데이터!$A$2:$A$20000,$A500,데이터!$E$2:$E$20000,설정!$B$7)-1),"")</f>
        <v/>
      </c>
      <c r="J500">
        <f>IF(C500="","",C500+ROW()*0.000000001)</f>
        <v/>
      </c>
      <c r="K500">
        <f>IF(D500="","",D500+ROW()*0.000000001)</f>
        <v/>
      </c>
      <c r="L500">
        <f>IF(E500="","",E500+ROW()*0.000000001)</f>
        <v/>
      </c>
      <c r="M500">
        <f>IF(F500="","",F500+ROW()*0.000000001)</f>
        <v/>
      </c>
      <c r="N500">
        <f>IF(G500="","",G500+ROW()*0.000000001)</f>
        <v/>
      </c>
      <c r="O500">
        <f>IF(H500="","",H500+ROW()*0.000000001)</f>
        <v/>
      </c>
    </row>
    <row r="501">
      <c r="B501" s="4">
        <f>IF($A501="","",IF(COUNTIFS(데이터!$A$2:$A$20000,$A501,데이터!$E$2:$E$20000,1)=0,"",SUMIFS(데이터!$C$2:$C$20000,데이터!$A$2:$A$20000,$A501,데이터!$E$2:$E$20000,1)))</f>
        <v/>
      </c>
      <c r="C501" s="5">
        <f>IFERROR(IF(OR($B501="",COUNTIFS(데이터!$A$2:$A$20000,$A501,데이터!$E$2:$E$20000,설정!$B$2)=0),"",$B501/SUMIFS(데이터!$C$2:$C$20000,데이터!$A$2:$A$20000,$A501,데이터!$E$2:$E$20000,설정!$B$2)-1),"")</f>
        <v/>
      </c>
      <c r="D501" s="5">
        <f>IFERROR(IF(OR($B501="",COUNTIFS(데이터!$A$2:$A$20000,$A501,데이터!$E$2:$E$20000,설정!$B$3)=0),"",$B501/SUMIFS(데이터!$C$2:$C$20000,데이터!$A$2:$A$20000,$A501,데이터!$E$2:$E$20000,설정!$B$3)-1),"")</f>
        <v/>
      </c>
      <c r="E501" s="5">
        <f>IFERROR(IF(OR($B501="",COUNTIFS(데이터!$A$2:$A$20000,$A501,데이터!$E$2:$E$20000,설정!$B$4)=0),"",$B501/SUMIFS(데이터!$C$2:$C$20000,데이터!$A$2:$A$20000,$A501,데이터!$E$2:$E$20000,설정!$B$4)-1),"")</f>
        <v/>
      </c>
      <c r="F501" s="5">
        <f>IFERROR(IF(OR($B501="",COUNTIFS(데이터!$A$2:$A$20000,$A501,데이터!$E$2:$E$20000,설정!$B$5)=0),"",$B501/SUMIFS(데이터!$C$2:$C$20000,데이터!$A$2:$A$20000,$A501,데이터!$E$2:$E$20000,설정!$B$5)-1),"")</f>
        <v/>
      </c>
      <c r="G501" s="5">
        <f>IFERROR(IF(OR($B501="",COUNTIFS(데이터!$A$2:$A$20000,$A501,데이터!$E$2:$E$20000,설정!$B$6)=0),"",$B501/SUMIFS(데이터!$C$2:$C$20000,데이터!$A$2:$A$20000,$A501,데이터!$E$2:$E$20000,설정!$B$6)-1),"")</f>
        <v/>
      </c>
      <c r="H501" s="5">
        <f>IFERROR(IF(OR($B501="",COUNTIFS(데이터!$A$2:$A$20000,$A501,데이터!$E$2:$E$20000,설정!$B$7)=0),"",$B501/SUMIFS(데이터!$C$2:$C$20000,데이터!$A$2:$A$20000,$A501,데이터!$E$2:$E$20000,설정!$B$7)-1),"")</f>
        <v/>
      </c>
      <c r="J501">
        <f>IF(C501="","",C501+ROW()*0.000000001)</f>
        <v/>
      </c>
      <c r="K501">
        <f>IF(D501="","",D501+ROW()*0.000000001)</f>
        <v/>
      </c>
      <c r="L501">
        <f>IF(E501="","",E501+ROW()*0.000000001)</f>
        <v/>
      </c>
      <c r="M501">
        <f>IF(F501="","",F501+ROW()*0.000000001)</f>
        <v/>
      </c>
      <c r="N501">
        <f>IF(G501="","",G501+ROW()*0.000000001)</f>
        <v/>
      </c>
      <c r="O501">
        <f>IF(H501="","",H501+ROW()*0.000000001)</f>
        <v/>
      </c>
    </row>
  </sheetData>
  <conditionalFormatting sqref="C2:H501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0" customWidth="1" min="11" max="11"/>
    <col width="14" customWidth="1" min="12" max="12"/>
    <col width="10" customWidth="1" min="13" max="13"/>
  </cols>
  <sheetData>
    <row r="1">
      <c r="A1" s="6" t="inlineStr">
        <is>
          <t>기간별 상위·하위 Top 10 (등락률 = 현재가 ÷ 과거가 − 1, 동률은 목록 순서대로)</t>
        </is>
      </c>
    </row>
    <row r="3">
      <c r="A3" s="6" t="inlineStr">
        <is>
          <t>상위 Top 10</t>
        </is>
      </c>
    </row>
    <row r="4">
      <c r="A4" s="1" t="inlineStr">
        <is>
          <t>순위</t>
        </is>
      </c>
      <c r="B4" s="1" t="inlineStr">
        <is>
          <t>1주 전</t>
        </is>
      </c>
      <c r="C4" s="1" t="inlineStr">
        <is>
          <t>등락률</t>
        </is>
      </c>
      <c r="D4" s="1" t="inlineStr">
        <is>
          <t>4주 전</t>
        </is>
      </c>
      <c r="E4" s="1" t="inlineStr">
        <is>
          <t>등락률</t>
        </is>
      </c>
      <c r="F4" s="1" t="inlineStr">
        <is>
          <t>8주 전</t>
        </is>
      </c>
      <c r="G4" s="1" t="inlineStr">
        <is>
          <t>등락률</t>
        </is>
      </c>
      <c r="H4" s="1" t="inlineStr">
        <is>
          <t>12주 전</t>
        </is>
      </c>
      <c r="I4" s="1" t="inlineStr">
        <is>
          <t>등락률</t>
        </is>
      </c>
      <c r="J4" s="1" t="inlineStr">
        <is>
          <t>52주 전</t>
        </is>
      </c>
      <c r="K4" s="1" t="inlineStr">
        <is>
          <t>등락률</t>
        </is>
      </c>
      <c r="L4" s="1" t="inlineStr">
        <is>
          <t>104주 전</t>
        </is>
      </c>
      <c r="M4" s="1" t="inlineStr">
        <is>
          <t>등락률</t>
        </is>
      </c>
    </row>
    <row r="5">
      <c r="A5" t="n">
        <v>1</v>
      </c>
      <c r="B5">
        <f>IFERROR(INDEX(계산!$A$2:$A$501,MATCH(LARGE(계산!$J$2:$J$501,$A5),계산!$J$2:$J$501,0)),"")</f>
        <v/>
      </c>
      <c r="C5" s="5">
        <f>IFERROR(INDEX(계산!$C$2:$C$501,MATCH(LARGE(계산!$J$2:$J$501,$A5),계산!$J$2:$J$501,0)),"")</f>
        <v/>
      </c>
      <c r="D5">
        <f>IFERROR(INDEX(계산!$A$2:$A$501,MATCH(LARGE(계산!$K$2:$K$501,$A5),계산!$K$2:$K$501,0)),"")</f>
        <v/>
      </c>
      <c r="E5" s="5">
        <f>IFERROR(INDEX(계산!$D$2:$D$501,MATCH(LARGE(계산!$K$2:$K$501,$A5),계산!$K$2:$K$501,0)),"")</f>
        <v/>
      </c>
      <c r="F5">
        <f>IFERROR(INDEX(계산!$A$2:$A$501,MATCH(LARGE(계산!$L$2:$L$501,$A5),계산!$L$2:$L$501,0)),"")</f>
        <v/>
      </c>
      <c r="G5" s="5">
        <f>IFERROR(INDEX(계산!$E$2:$E$501,MATCH(LARGE(계산!$L$2:$L$501,$A5),계산!$L$2:$L$501,0)),"")</f>
        <v/>
      </c>
      <c r="H5">
        <f>IFERROR(INDEX(계산!$A$2:$A$501,MATCH(LARGE(계산!$M$2:$M$501,$A5),계산!$M$2:$M$501,0)),"")</f>
        <v/>
      </c>
      <c r="I5" s="5">
        <f>IFERROR(INDEX(계산!$F$2:$F$501,MATCH(LARGE(계산!$M$2:$M$501,$A5),계산!$M$2:$M$501,0)),"")</f>
        <v/>
      </c>
      <c r="J5">
        <f>IFERROR(INDEX(계산!$A$2:$A$501,MATCH(LARGE(계산!$N$2:$N$501,$A5),계산!$N$2:$N$501,0)),"")</f>
        <v/>
      </c>
      <c r="K5" s="5">
        <f>IFERROR(INDEX(계산!$G$2:$G$501,MATCH(LARGE(계산!$N$2:$N$501,$A5),계산!$N$2:$N$501,0)),"")</f>
        <v/>
      </c>
      <c r="L5">
        <f>IFERROR(INDEX(계산!$A$2:$A$501,MATCH(LARGE(계산!$O$2:$O$501,$A5),계산!$O$2:$O$501,0)),"")</f>
        <v/>
      </c>
      <c r="M5" s="5">
        <f>IFERROR(INDEX(계산!$H$2:$H$501,MATCH(LARGE(계산!$O$2:$O$501,$A5),계산!$O$2:$O$501,0)),"")</f>
        <v/>
      </c>
    </row>
    <row r="6">
      <c r="A6" t="n">
        <v>2</v>
      </c>
      <c r="B6">
        <f>IFERROR(INDEX(계산!$A$2:$A$501,MATCH(LARGE(계산!$J$2:$J$501,$A6),계산!$J$2:$J$501,0)),"")</f>
        <v/>
      </c>
      <c r="C6" s="5">
        <f>IFERROR(INDEX(계산!$C$2:$C$501,MATCH(LARGE(계산!$J$2:$J$501,$A6),계산!$J$2:$J$501,0)),"")</f>
        <v/>
      </c>
      <c r="D6">
        <f>IFERROR(INDEX(계산!$A$2:$A$501,MATCH(LARGE(계산!$K$2:$K$501,$A6),계산!$K$2:$K$501,0)),"")</f>
        <v/>
      </c>
      <c r="E6" s="5">
        <f>IFERROR(INDEX(계산!$D$2:$D$501,MATCH(LARGE(계산!$K$2:$K$501,$A6),계산!$K$2:$K$501,0)),"")</f>
        <v/>
      </c>
      <c r="F6">
        <f>IFERROR(INDEX(계산!$A$2:$A$501,MATCH(LARGE(계산!$L$2:$L$501,$A6),계산!$L$2:$L$501,0)),"")</f>
        <v/>
      </c>
      <c r="G6" s="5">
        <f>IFERROR(INDEX(계산!$E$2:$E$501,MATCH(LARGE(계산!$L$2:$L$501,$A6),계산!$L$2:$L$501,0)),"")</f>
        <v/>
      </c>
      <c r="H6">
        <f>IFERROR(INDEX(계산!$A$2:$A$501,MATCH(LARGE(계산!$M$2:$M$501,$A6),계산!$M$2:$M$501,0)),"")</f>
        <v/>
      </c>
      <c r="I6" s="5">
        <f>IFERROR(INDEX(계산!$F$2:$F$501,MATCH(LARGE(계산!$M$2:$M$501,$A6),계산!$M$2:$M$501,0)),"")</f>
        <v/>
      </c>
      <c r="J6">
        <f>IFERROR(INDEX(계산!$A$2:$A$501,MATCH(LARGE(계산!$N$2:$N$501,$A6),계산!$N$2:$N$501,0)),"")</f>
        <v/>
      </c>
      <c r="K6" s="5">
        <f>IFERROR(INDEX(계산!$G$2:$G$501,MATCH(LARGE(계산!$N$2:$N$501,$A6),계산!$N$2:$N$501,0)),"")</f>
        <v/>
      </c>
      <c r="L6">
        <f>IFERROR(INDEX(계산!$A$2:$A$501,MATCH(LARGE(계산!$O$2:$O$501,$A6),계산!$O$2:$O$501,0)),"")</f>
        <v/>
      </c>
      <c r="M6" s="5">
        <f>IFERROR(INDEX(계산!$H$2:$H$501,MATCH(LARGE(계산!$O$2:$O$501,$A6),계산!$O$2:$O$501,0)),"")</f>
        <v/>
      </c>
    </row>
    <row r="7">
      <c r="A7" t="n">
        <v>3</v>
      </c>
      <c r="B7">
        <f>IFERROR(INDEX(계산!$A$2:$A$501,MATCH(LARGE(계산!$J$2:$J$501,$A7),계산!$J$2:$J$501,0)),"")</f>
        <v/>
      </c>
      <c r="C7" s="5">
        <f>IFERROR(INDEX(계산!$C$2:$C$501,MATCH(LARGE(계산!$J$2:$J$501,$A7),계산!$J$2:$J$501,0)),"")</f>
        <v/>
      </c>
      <c r="D7">
        <f>IFERROR(INDEX(계산!$A$2:$A$501,MATCH(LARGE(계산!$K$2:$K$501,$A7),계산!$K$2:$K$501,0)),"")</f>
        <v/>
      </c>
      <c r="E7" s="5">
        <f>IFERROR(INDEX(계산!$D$2:$D$501,MATCH(LARGE(계산!$K$2:$K$501,$A7),계산!$K$2:$K$501,0)),"")</f>
        <v/>
      </c>
      <c r="F7">
        <f>IFERROR(INDEX(계산!$A$2:$A$501,MATCH(LARGE(계산!$L$2:$L$501,$A7),계산!$L$2:$L$501,0)),"")</f>
        <v/>
      </c>
      <c r="G7" s="5">
        <f>IFERROR(INDEX(계산!$E$2:$E$501,MATCH(LARGE(계산!$L$2:$L$501,$A7),계산!$L$2:$L$501,0)),"")</f>
        <v/>
      </c>
      <c r="H7">
        <f>IFERROR(INDEX(계산!$A$2:$A$501,MATCH(LARGE(계산!$M$2:$M$501,$A7),계산!$M$2:$M$501,0)),"")</f>
        <v/>
      </c>
      <c r="I7" s="5">
        <f>IFERROR(INDEX(계산!$F$2:$F$501,MATCH(LARGE(계산!$M$2:$M$501,$A7),계산!$M$2:$M$501,0)),"")</f>
        <v/>
      </c>
      <c r="J7">
        <f>IFERROR(INDEX(계산!$A$2:$A$501,MATCH(LARGE(계산!$N$2:$N$501,$A7),계산!$N$2:$N$501,0)),"")</f>
        <v/>
      </c>
      <c r="K7" s="5">
        <f>IFERROR(INDEX(계산!$G$2:$G$501,MATCH(LARGE(계산!$N$2:$N$501,$A7),계산!$N$2:$N$501,0)),"")</f>
        <v/>
      </c>
      <c r="L7">
        <f>IFERROR(INDEX(계산!$A$2:$A$501,MATCH(LARGE(계산!$O$2:$O$501,$A7),계산!$O$2:$O$501,0)),"")</f>
        <v/>
      </c>
      <c r="M7" s="5">
        <f>IFERROR(INDEX(계산!$H$2:$H$501,MATCH(LARGE(계산!$O$2:$O$501,$A7),계산!$O$2:$O$501,0)),"")</f>
        <v/>
      </c>
    </row>
    <row r="8">
      <c r="A8" t="n">
        <v>4</v>
      </c>
      <c r="B8">
        <f>IFERROR(INDEX(계산!$A$2:$A$501,MATCH(LARGE(계산!$J$2:$J$501,$A8),계산!$J$2:$J$501,0)),"")</f>
        <v/>
      </c>
      <c r="C8" s="5">
        <f>IFERROR(INDEX(계산!$C$2:$C$501,MATCH(LARGE(계산!$J$2:$J$501,$A8),계산!$J$2:$J$501,0)),"")</f>
        <v/>
      </c>
      <c r="D8">
        <f>IFERROR(INDEX(계산!$A$2:$A$501,MATCH(LARGE(계산!$K$2:$K$501,$A8),계산!$K$2:$K$501,0)),"")</f>
        <v/>
      </c>
      <c r="E8" s="5">
        <f>IFERROR(INDEX(계산!$D$2:$D$501,MATCH(LARGE(계산!$K$2:$K$501,$A8),계산!$K$2:$K$501,0)),"")</f>
        <v/>
      </c>
      <c r="F8">
        <f>IFERROR(INDEX(계산!$A$2:$A$501,MATCH(LARGE(계산!$L$2:$L$501,$A8),계산!$L$2:$L$501,0)),"")</f>
        <v/>
      </c>
      <c r="G8" s="5">
        <f>IFERROR(INDEX(계산!$E$2:$E$501,MATCH(LARGE(계산!$L$2:$L$501,$A8),계산!$L$2:$L$501,0)),"")</f>
        <v/>
      </c>
      <c r="H8">
        <f>IFERROR(INDEX(계산!$A$2:$A$501,MATCH(LARGE(계산!$M$2:$M$501,$A8),계산!$M$2:$M$501,0)),"")</f>
        <v/>
      </c>
      <c r="I8" s="5">
        <f>IFERROR(INDEX(계산!$F$2:$F$501,MATCH(LARGE(계산!$M$2:$M$501,$A8),계산!$M$2:$M$501,0)),"")</f>
        <v/>
      </c>
      <c r="J8">
        <f>IFERROR(INDEX(계산!$A$2:$A$501,MATCH(LARGE(계산!$N$2:$N$501,$A8),계산!$N$2:$N$501,0)),"")</f>
        <v/>
      </c>
      <c r="K8" s="5">
        <f>IFERROR(INDEX(계산!$G$2:$G$501,MATCH(LARGE(계산!$N$2:$N$501,$A8),계산!$N$2:$N$501,0)),"")</f>
        <v/>
      </c>
      <c r="L8">
        <f>IFERROR(INDEX(계산!$A$2:$A$501,MATCH(LARGE(계산!$O$2:$O$501,$A8),계산!$O$2:$O$501,0)),"")</f>
        <v/>
      </c>
      <c r="M8" s="5">
        <f>IFERROR(INDEX(계산!$H$2:$H$501,MATCH(LARGE(계산!$O$2:$O$501,$A8),계산!$O$2:$O$501,0)),"")</f>
        <v/>
      </c>
    </row>
    <row r="9">
      <c r="A9" t="n">
        <v>5</v>
      </c>
      <c r="B9">
        <f>IFERROR(INDEX(계산!$A$2:$A$501,MATCH(LARGE(계산!$J$2:$J$501,$A9),계산!$J$2:$J$501,0)),"")</f>
        <v/>
      </c>
      <c r="C9" s="5">
        <f>IFERROR(INDEX(계산!$C$2:$C$501,MATCH(LARGE(계산!$J$2:$J$501,$A9),계산!$J$2:$J$501,0)),"")</f>
        <v/>
      </c>
      <c r="D9">
        <f>IFERROR(INDEX(계산!$A$2:$A$501,MATCH(LARGE(계산!$K$2:$K$501,$A9),계산!$K$2:$K$501,0)),"")</f>
        <v/>
      </c>
      <c r="E9" s="5">
        <f>IFERROR(INDEX(계산!$D$2:$D$501,MATCH(LARGE(계산!$K$2:$K$501,$A9),계산!$K$2:$K$501,0)),"")</f>
        <v/>
      </c>
      <c r="F9">
        <f>IFERROR(INDEX(계산!$A$2:$A$501,MATCH(LARGE(계산!$L$2:$L$501,$A9),계산!$L$2:$L$501,0)),"")</f>
        <v/>
      </c>
      <c r="G9" s="5">
        <f>IFERROR(INDEX(계산!$E$2:$E$501,MATCH(LARGE(계산!$L$2:$L$501,$A9),계산!$L$2:$L$501,0)),"")</f>
        <v/>
      </c>
      <c r="H9">
        <f>IFERROR(INDEX(계산!$A$2:$A$501,MATCH(LARGE(계산!$M$2:$M$501,$A9),계산!$M$2:$M$501,0)),"")</f>
        <v/>
      </c>
      <c r="I9" s="5">
        <f>IFERROR(INDEX(계산!$F$2:$F$501,MATCH(LARGE(계산!$M$2:$M$501,$A9),계산!$M$2:$M$501,0)),"")</f>
        <v/>
      </c>
      <c r="J9">
        <f>IFERROR(INDEX(계산!$A$2:$A$501,MATCH(LARGE(계산!$N$2:$N$501,$A9),계산!$N$2:$N$501,0)),"")</f>
        <v/>
      </c>
      <c r="K9" s="5">
        <f>IFERROR(INDEX(계산!$G$2:$G$501,MATCH(LARGE(계산!$N$2:$N$501,$A9),계산!$N$2:$N$501,0)),"")</f>
        <v/>
      </c>
      <c r="L9">
        <f>IFERROR(INDEX(계산!$A$2:$A$501,MATCH(LARGE(계산!$O$2:$O$501,$A9),계산!$O$2:$O$501,0)),"")</f>
        <v/>
      </c>
      <c r="M9" s="5">
        <f>IFERROR(INDEX(계산!$H$2:$H$501,MATCH(LARGE(계산!$O$2:$O$501,$A9),계산!$O$2:$O$501,0)),"")</f>
        <v/>
      </c>
    </row>
    <row r="10">
      <c r="A10" t="n">
        <v>6</v>
      </c>
      <c r="B10">
        <f>IFERROR(INDEX(계산!$A$2:$A$501,MATCH(LARGE(계산!$J$2:$J$501,$A10),계산!$J$2:$J$501,0)),"")</f>
        <v/>
      </c>
      <c r="C10" s="5">
        <f>IFERROR(INDEX(계산!$C$2:$C$501,MATCH(LARGE(계산!$J$2:$J$501,$A10),계산!$J$2:$J$501,0)),"")</f>
        <v/>
      </c>
      <c r="D10">
        <f>IFERROR(INDEX(계산!$A$2:$A$501,MATCH(LARGE(계산!$K$2:$K$501,$A10),계산!$K$2:$K$501,0)),"")</f>
        <v/>
      </c>
      <c r="E10" s="5">
        <f>IFERROR(INDEX(계산!$D$2:$D$501,MATCH(LARGE(계산!$K$2:$K$501,$A10),계산!$K$2:$K$501,0)),"")</f>
        <v/>
      </c>
      <c r="F10">
        <f>IFERROR(INDEX(계산!$A$2:$A$501,MATCH(LARGE(계산!$L$2:$L$501,$A10),계산!$L$2:$L$501,0)),"")</f>
        <v/>
      </c>
      <c r="G10" s="5">
        <f>IFERROR(INDEX(계산!$E$2:$E$501,MATCH(LARGE(계산!$L$2:$L$501,$A10),계산!$L$2:$L$501,0)),"")</f>
        <v/>
      </c>
      <c r="H10">
        <f>IFERROR(INDEX(계산!$A$2:$A$501,MATCH(LARGE(계산!$M$2:$M$501,$A10),계산!$M$2:$M$501,0)),"")</f>
        <v/>
      </c>
      <c r="I10" s="5">
        <f>IFERROR(INDEX(계산!$F$2:$F$501,MATCH(LARGE(계산!$M$2:$M$501,$A10),계산!$M$2:$M$501,0)),"")</f>
        <v/>
      </c>
      <c r="J10">
        <f>IFERROR(INDEX(계산!$A$2:$A$501,MATCH(LARGE(계산!$N$2:$N$501,$A10),계산!$N$2:$N$501,0)),"")</f>
        <v/>
      </c>
      <c r="K10" s="5">
        <f>IFERROR(INDEX(계산!$G$2:$G$501,MATCH(LARGE(계산!$N$2:$N$501,$A10),계산!$N$2:$N$501,0)),"")</f>
        <v/>
      </c>
      <c r="L10">
        <f>IFERROR(INDEX(계산!$A$2:$A$501,MATCH(LARGE(계산!$O$2:$O$501,$A10),계산!$O$2:$O$501,0)),"")</f>
        <v/>
      </c>
      <c r="M10" s="5">
        <f>IFERROR(INDEX(계산!$H$2:$H$501,MATCH(LARGE(계산!$O$2:$O$501,$A10),계산!$O$2:$O$501,0)),"")</f>
        <v/>
      </c>
    </row>
    <row r="11">
      <c r="A11" t="n">
        <v>7</v>
      </c>
      <c r="B11">
        <f>IFERROR(INDEX(계산!$A$2:$A$501,MATCH(LARGE(계산!$J$2:$J$501,$A11),계산!$J$2:$J$501,0)),"")</f>
        <v/>
      </c>
      <c r="C11" s="5">
        <f>IFERROR(INDEX(계산!$C$2:$C$501,MATCH(LARGE(계산!$J$2:$J$501,$A11),계산!$J$2:$J$501,0)),"")</f>
        <v/>
      </c>
      <c r="D11">
        <f>IFERROR(INDEX(계산!$A$2:$A$501,MATCH(LARGE(계산!$K$2:$K$501,$A11),계산!$K$2:$K$501,0)),"")</f>
        <v/>
      </c>
      <c r="E11" s="5">
        <f>IFERROR(INDEX(계산!$D$2:$D$501,MATCH(LARGE(계산!$K$2:$K$501,$A11),계산!$K$2:$K$501,0)),"")</f>
        <v/>
      </c>
      <c r="F11">
        <f>IFERROR(INDEX(계산!$A$2:$A$501,MATCH(LARGE(계산!$L$2:$L$501,$A11),계산!$L$2:$L$501,0)),"")</f>
        <v/>
      </c>
      <c r="G11" s="5">
        <f>IFERROR(INDEX(계산!$E$2:$E$501,MATCH(LARGE(계산!$L$2:$L$501,$A11),계산!$L$2:$L$501,0)),"")</f>
        <v/>
      </c>
      <c r="H11">
        <f>IFERROR(INDEX(계산!$A$2:$A$501,MATCH(LARGE(계산!$M$2:$M$501,$A11),계산!$M$2:$M$501,0)),"")</f>
        <v/>
      </c>
      <c r="I11" s="5">
        <f>IFERROR(INDEX(계산!$F$2:$F$501,MATCH(LARGE(계산!$M$2:$M$501,$A11),계산!$M$2:$M$501,0)),"")</f>
        <v/>
      </c>
      <c r="J11">
        <f>IFERROR(INDEX(계산!$A$2:$A$501,MATCH(LARGE(계산!$N$2:$N$501,$A11),계산!$N$2:$N$501,0)),"")</f>
        <v/>
      </c>
      <c r="K11" s="5">
        <f>IFERROR(INDEX(계산!$G$2:$G$501,MATCH(LARGE(계산!$N$2:$N$501,$A11),계산!$N$2:$N$501,0)),"")</f>
        <v/>
      </c>
      <c r="L11">
        <f>IFERROR(INDEX(계산!$A$2:$A$501,MATCH(LARGE(계산!$O$2:$O$501,$A11),계산!$O$2:$O$501,0)),"")</f>
        <v/>
      </c>
      <c r="M11" s="5">
        <f>IFERROR(INDEX(계산!$H$2:$H$501,MATCH(LARGE(계산!$O$2:$O$501,$A11),계산!$O$2:$O$501,0)),"")</f>
        <v/>
      </c>
    </row>
    <row r="12">
      <c r="A12" t="n">
        <v>8</v>
      </c>
      <c r="B12">
        <f>IFERROR(INDEX(계산!$A$2:$A$501,MATCH(LARGE(계산!$J$2:$J$501,$A12),계산!$J$2:$J$501,0)),"")</f>
        <v/>
      </c>
      <c r="C12" s="5">
        <f>IFERROR(INDEX(계산!$C$2:$C$501,MATCH(LARGE(계산!$J$2:$J$501,$A12),계산!$J$2:$J$501,0)),"")</f>
        <v/>
      </c>
      <c r="D12">
        <f>IFERROR(INDEX(계산!$A$2:$A$501,MATCH(LARGE(계산!$K$2:$K$501,$A12),계산!$K$2:$K$501,0)),"")</f>
        <v/>
      </c>
      <c r="E12" s="5">
        <f>IFERROR(INDEX(계산!$D$2:$D$501,MATCH(LARGE(계산!$K$2:$K$501,$A12),계산!$K$2:$K$501,0)),"")</f>
        <v/>
      </c>
      <c r="F12">
        <f>IFERROR(INDEX(계산!$A$2:$A$501,MATCH(LARGE(계산!$L$2:$L$501,$A12),계산!$L$2:$L$501,0)),"")</f>
        <v/>
      </c>
      <c r="G12" s="5">
        <f>IFERROR(INDEX(계산!$E$2:$E$501,MATCH(LARGE(계산!$L$2:$L$501,$A12),계산!$L$2:$L$501,0)),"")</f>
        <v/>
      </c>
      <c r="H12">
        <f>IFERROR(INDEX(계산!$A$2:$A$501,MATCH(LARGE(계산!$M$2:$M$501,$A12),계산!$M$2:$M$501,0)),"")</f>
        <v/>
      </c>
      <c r="I12" s="5">
        <f>IFERROR(INDEX(계산!$F$2:$F$501,MATCH(LARGE(계산!$M$2:$M$501,$A12),계산!$M$2:$M$501,0)),"")</f>
        <v/>
      </c>
      <c r="J12">
        <f>IFERROR(INDEX(계산!$A$2:$A$501,MATCH(LARGE(계산!$N$2:$N$501,$A12),계산!$N$2:$N$501,0)),"")</f>
        <v/>
      </c>
      <c r="K12" s="5">
        <f>IFERROR(INDEX(계산!$G$2:$G$501,MATCH(LARGE(계산!$N$2:$N$501,$A12),계산!$N$2:$N$501,0)),"")</f>
        <v/>
      </c>
      <c r="L12">
        <f>IFERROR(INDEX(계산!$A$2:$A$501,MATCH(LARGE(계산!$O$2:$O$501,$A12),계산!$O$2:$O$501,0)),"")</f>
        <v/>
      </c>
      <c r="M12" s="5">
        <f>IFERROR(INDEX(계산!$H$2:$H$501,MATCH(LARGE(계산!$O$2:$O$501,$A12),계산!$O$2:$O$501,0)),"")</f>
        <v/>
      </c>
    </row>
    <row r="13">
      <c r="A13" t="n">
        <v>9</v>
      </c>
      <c r="B13">
        <f>IFERROR(INDEX(계산!$A$2:$A$501,MATCH(LARGE(계산!$J$2:$J$501,$A13),계산!$J$2:$J$501,0)),"")</f>
        <v/>
      </c>
      <c r="C13" s="5">
        <f>IFERROR(INDEX(계산!$C$2:$C$501,MATCH(LARGE(계산!$J$2:$J$501,$A13),계산!$J$2:$J$501,0)),"")</f>
        <v/>
      </c>
      <c r="D13">
        <f>IFERROR(INDEX(계산!$A$2:$A$501,MATCH(LARGE(계산!$K$2:$K$501,$A13),계산!$K$2:$K$501,0)),"")</f>
        <v/>
      </c>
      <c r="E13" s="5">
        <f>IFERROR(INDEX(계산!$D$2:$D$501,MATCH(LARGE(계산!$K$2:$K$501,$A13),계산!$K$2:$K$501,0)),"")</f>
        <v/>
      </c>
      <c r="F13">
        <f>IFERROR(INDEX(계산!$A$2:$A$501,MATCH(LARGE(계산!$L$2:$L$501,$A13),계산!$L$2:$L$501,0)),"")</f>
        <v/>
      </c>
      <c r="G13" s="5">
        <f>IFERROR(INDEX(계산!$E$2:$E$501,MATCH(LARGE(계산!$L$2:$L$501,$A13),계산!$L$2:$L$501,0)),"")</f>
        <v/>
      </c>
      <c r="H13">
        <f>IFERROR(INDEX(계산!$A$2:$A$501,MATCH(LARGE(계산!$M$2:$M$501,$A13),계산!$M$2:$M$501,0)),"")</f>
        <v/>
      </c>
      <c r="I13" s="5">
        <f>IFERROR(INDEX(계산!$F$2:$F$501,MATCH(LARGE(계산!$M$2:$M$501,$A13),계산!$M$2:$M$501,0)),"")</f>
        <v/>
      </c>
      <c r="J13">
        <f>IFERROR(INDEX(계산!$A$2:$A$501,MATCH(LARGE(계산!$N$2:$N$501,$A13),계산!$N$2:$N$501,0)),"")</f>
        <v/>
      </c>
      <c r="K13" s="5">
        <f>IFERROR(INDEX(계산!$G$2:$G$501,MATCH(LARGE(계산!$N$2:$N$501,$A13),계산!$N$2:$N$501,0)),"")</f>
        <v/>
      </c>
      <c r="L13">
        <f>IFERROR(INDEX(계산!$A$2:$A$501,MATCH(LARGE(계산!$O$2:$O$501,$A13),계산!$O$2:$O$501,0)),"")</f>
        <v/>
      </c>
      <c r="M13" s="5">
        <f>IFERROR(INDEX(계산!$H$2:$H$501,MATCH(LARGE(계산!$O$2:$O$501,$A13),계산!$O$2:$O$501,0)),"")</f>
        <v/>
      </c>
    </row>
    <row r="14">
      <c r="A14" t="n">
        <v>10</v>
      </c>
      <c r="B14">
        <f>IFERROR(INDEX(계산!$A$2:$A$501,MATCH(LARGE(계산!$J$2:$J$501,$A14),계산!$J$2:$J$501,0)),"")</f>
        <v/>
      </c>
      <c r="C14" s="5">
        <f>IFERROR(INDEX(계산!$C$2:$C$501,MATCH(LARGE(계산!$J$2:$J$501,$A14),계산!$J$2:$J$501,0)),"")</f>
        <v/>
      </c>
      <c r="D14">
        <f>IFERROR(INDEX(계산!$A$2:$A$501,MATCH(LARGE(계산!$K$2:$K$501,$A14),계산!$K$2:$K$501,0)),"")</f>
        <v/>
      </c>
      <c r="E14" s="5">
        <f>IFERROR(INDEX(계산!$D$2:$D$501,MATCH(LARGE(계산!$K$2:$K$501,$A14),계산!$K$2:$K$501,0)),"")</f>
        <v/>
      </c>
      <c r="F14">
        <f>IFERROR(INDEX(계산!$A$2:$A$501,MATCH(LARGE(계산!$L$2:$L$501,$A14),계산!$L$2:$L$501,0)),"")</f>
        <v/>
      </c>
      <c r="G14" s="5">
        <f>IFERROR(INDEX(계산!$E$2:$E$501,MATCH(LARGE(계산!$L$2:$L$501,$A14),계산!$L$2:$L$501,0)),"")</f>
        <v/>
      </c>
      <c r="H14">
        <f>IFERROR(INDEX(계산!$A$2:$A$501,MATCH(LARGE(계산!$M$2:$M$501,$A14),계산!$M$2:$M$501,0)),"")</f>
        <v/>
      </c>
      <c r="I14" s="5">
        <f>IFERROR(INDEX(계산!$F$2:$F$501,MATCH(LARGE(계산!$M$2:$M$501,$A14),계산!$M$2:$M$501,0)),"")</f>
        <v/>
      </c>
      <c r="J14">
        <f>IFERROR(INDEX(계산!$A$2:$A$501,MATCH(LARGE(계산!$N$2:$N$501,$A14),계산!$N$2:$N$501,0)),"")</f>
        <v/>
      </c>
      <c r="K14" s="5">
        <f>IFERROR(INDEX(계산!$G$2:$G$501,MATCH(LARGE(계산!$N$2:$N$501,$A14),계산!$N$2:$N$501,0)),"")</f>
        <v/>
      </c>
      <c r="L14">
        <f>IFERROR(INDEX(계산!$A$2:$A$501,MATCH(LARGE(계산!$O$2:$O$501,$A14),계산!$O$2:$O$501,0)),"")</f>
        <v/>
      </c>
      <c r="M14" s="5">
        <f>IFERROR(INDEX(계산!$H$2:$H$501,MATCH(LARGE(계산!$O$2:$O$501,$A14),계산!$O$2:$O$501,0)),"")</f>
        <v/>
      </c>
    </row>
    <row r="17">
      <c r="A17" s="6" t="inlineStr">
        <is>
          <t>하위 Top 10</t>
        </is>
      </c>
    </row>
    <row r="18">
      <c r="A18" s="1" t="inlineStr">
        <is>
          <t>순위</t>
        </is>
      </c>
      <c r="B18" s="1" t="inlineStr">
        <is>
          <t>1주 전</t>
        </is>
      </c>
      <c r="C18" s="1" t="inlineStr">
        <is>
          <t>등락률</t>
        </is>
      </c>
      <c r="D18" s="1" t="inlineStr">
        <is>
          <t>4주 전</t>
        </is>
      </c>
      <c r="E18" s="1" t="inlineStr">
        <is>
          <t>등락률</t>
        </is>
      </c>
      <c r="F18" s="1" t="inlineStr">
        <is>
          <t>8주 전</t>
        </is>
      </c>
      <c r="G18" s="1" t="inlineStr">
        <is>
          <t>등락률</t>
        </is>
      </c>
      <c r="H18" s="1" t="inlineStr">
        <is>
          <t>12주 전</t>
        </is>
      </c>
      <c r="I18" s="1" t="inlineStr">
        <is>
          <t>등락률</t>
        </is>
      </c>
      <c r="J18" s="1" t="inlineStr">
        <is>
          <t>52주 전</t>
        </is>
      </c>
      <c r="K18" s="1" t="inlineStr">
        <is>
          <t>등락률</t>
        </is>
      </c>
      <c r="L18" s="1" t="inlineStr">
        <is>
          <t>104주 전</t>
        </is>
      </c>
      <c r="M18" s="1" t="inlineStr">
        <is>
          <t>등락률</t>
        </is>
      </c>
    </row>
    <row r="19">
      <c r="A19" t="n">
        <v>1</v>
      </c>
      <c r="B19">
        <f>IFERROR(INDEX(계산!$A$2:$A$501,MATCH(SMALL(계산!$J$2:$J$501,$A19),계산!$J$2:$J$501,0)),"")</f>
        <v/>
      </c>
      <c r="C19" s="5">
        <f>IFERROR(INDEX(계산!$C$2:$C$501,MATCH(SMALL(계산!$J$2:$J$501,$A19),계산!$J$2:$J$501,0)),"")</f>
        <v/>
      </c>
      <c r="D19">
        <f>IFERROR(INDEX(계산!$A$2:$A$501,MATCH(SMALL(계산!$K$2:$K$501,$A19),계산!$K$2:$K$501,0)),"")</f>
        <v/>
      </c>
      <c r="E19" s="5">
        <f>IFERROR(INDEX(계산!$D$2:$D$501,MATCH(SMALL(계산!$K$2:$K$501,$A19),계산!$K$2:$K$501,0)),"")</f>
        <v/>
      </c>
      <c r="F19">
        <f>IFERROR(INDEX(계산!$A$2:$A$501,MATCH(SMALL(계산!$L$2:$L$501,$A19),계산!$L$2:$L$501,0)),"")</f>
        <v/>
      </c>
      <c r="G19" s="5">
        <f>IFERROR(INDEX(계산!$E$2:$E$501,MATCH(SMALL(계산!$L$2:$L$501,$A19),계산!$L$2:$L$501,0)),"")</f>
        <v/>
      </c>
      <c r="H19">
        <f>IFERROR(INDEX(계산!$A$2:$A$501,MATCH(SMALL(계산!$M$2:$M$501,$A19),계산!$M$2:$M$501,0)),"")</f>
        <v/>
      </c>
      <c r="I19" s="5">
        <f>IFERROR(INDEX(계산!$F$2:$F$501,MATCH(SMALL(계산!$M$2:$M$501,$A19),계산!$M$2:$M$501,0)),"")</f>
        <v/>
      </c>
      <c r="J19">
        <f>IFERROR(INDEX(계산!$A$2:$A$501,MATCH(SMALL(계산!$N$2:$N$501,$A19),계산!$N$2:$N$501,0)),"")</f>
        <v/>
      </c>
      <c r="K19" s="5">
        <f>IFERROR(INDEX(계산!$G$2:$G$501,MATCH(SMALL(계산!$N$2:$N$501,$A19),계산!$N$2:$N$501,0)),"")</f>
        <v/>
      </c>
      <c r="L19">
        <f>IFERROR(INDEX(계산!$A$2:$A$501,MATCH(SMALL(계산!$O$2:$O$501,$A19),계산!$O$2:$O$501,0)),"")</f>
        <v/>
      </c>
      <c r="M19" s="5">
        <f>IFERROR(INDEX(계산!$H$2:$H$501,MATCH(SMALL(계산!$O$2:$O$501,$A19),계산!$O$2:$O$501,0)),"")</f>
        <v/>
      </c>
    </row>
    <row r="20">
      <c r="A20" t="n">
        <v>2</v>
      </c>
      <c r="B20">
        <f>IFERROR(INDEX(계산!$A$2:$A$501,MATCH(SMALL(계산!$J$2:$J$501,$A20),계산!$J$2:$J$501,0)),"")</f>
        <v/>
      </c>
      <c r="C20" s="5">
        <f>IFERROR(INDEX(계산!$C$2:$C$501,MATCH(SMALL(계산!$J$2:$J$501,$A20),계산!$J$2:$J$501,0)),"")</f>
        <v/>
      </c>
      <c r="D20">
        <f>IFERROR(INDEX(계산!$A$2:$A$501,MATCH(SMALL(계산!$K$2:$K$501,$A20),계산!$K$2:$K$501,0)),"")</f>
        <v/>
      </c>
      <c r="E20" s="5">
        <f>IFERROR(INDEX(계산!$D$2:$D$501,MATCH(SMALL(계산!$K$2:$K$501,$A20),계산!$K$2:$K$501,0)),"")</f>
        <v/>
      </c>
      <c r="F20">
        <f>IFERROR(INDEX(계산!$A$2:$A$501,MATCH(SMALL(계산!$L$2:$L$501,$A20),계산!$L$2:$L$501,0)),"")</f>
        <v/>
      </c>
      <c r="G20" s="5">
        <f>IFERROR(INDEX(계산!$E$2:$E$501,MATCH(SMALL(계산!$L$2:$L$501,$A20),계산!$L$2:$L$501,0)),"")</f>
        <v/>
      </c>
      <c r="H20">
        <f>IFERROR(INDEX(계산!$A$2:$A$501,MATCH(SMALL(계산!$M$2:$M$501,$A20),계산!$M$2:$M$501,0)),"")</f>
        <v/>
      </c>
      <c r="I20" s="5">
        <f>IFERROR(INDEX(계산!$F$2:$F$501,MATCH(SMALL(계산!$M$2:$M$501,$A20),계산!$M$2:$M$501,0)),"")</f>
        <v/>
      </c>
      <c r="J20">
        <f>IFERROR(INDEX(계산!$A$2:$A$501,MATCH(SMALL(계산!$N$2:$N$501,$A20),계산!$N$2:$N$501,0)),"")</f>
        <v/>
      </c>
      <c r="K20" s="5">
        <f>IFERROR(INDEX(계산!$G$2:$G$501,MATCH(SMALL(계산!$N$2:$N$501,$A20),계산!$N$2:$N$501,0)),"")</f>
        <v/>
      </c>
      <c r="L20">
        <f>IFERROR(INDEX(계산!$A$2:$A$501,MATCH(SMALL(계산!$O$2:$O$501,$A20),계산!$O$2:$O$501,0)),"")</f>
        <v/>
      </c>
      <c r="M20" s="5">
        <f>IFERROR(INDEX(계산!$H$2:$H$501,MATCH(SMALL(계산!$O$2:$O$501,$A20),계산!$O$2:$O$501,0)),"")</f>
        <v/>
      </c>
    </row>
    <row r="21">
      <c r="A21" t="n">
        <v>3</v>
      </c>
      <c r="B21">
        <f>IFERROR(INDEX(계산!$A$2:$A$501,MATCH(SMALL(계산!$J$2:$J$501,$A21),계산!$J$2:$J$501,0)),"")</f>
        <v/>
      </c>
      <c r="C21" s="5">
        <f>IFERROR(INDEX(계산!$C$2:$C$501,MATCH(SMALL(계산!$J$2:$J$501,$A21),계산!$J$2:$J$501,0)),"")</f>
        <v/>
      </c>
      <c r="D21">
        <f>IFERROR(INDEX(계산!$A$2:$A$501,MATCH(SMALL(계산!$K$2:$K$501,$A21),계산!$K$2:$K$501,0)),"")</f>
        <v/>
      </c>
      <c r="E21" s="5">
        <f>IFERROR(INDEX(계산!$D$2:$D$501,MATCH(SMALL(계산!$K$2:$K$501,$A21),계산!$K$2:$K$501,0)),"")</f>
        <v/>
      </c>
      <c r="F21">
        <f>IFERROR(INDEX(계산!$A$2:$A$501,MATCH(SMALL(계산!$L$2:$L$501,$A21),계산!$L$2:$L$501,0)),"")</f>
        <v/>
      </c>
      <c r="G21" s="5">
        <f>IFERROR(INDEX(계산!$E$2:$E$501,MATCH(SMALL(계산!$L$2:$L$501,$A21),계산!$L$2:$L$501,0)),"")</f>
        <v/>
      </c>
      <c r="H21">
        <f>IFERROR(INDEX(계산!$A$2:$A$501,MATCH(SMALL(계산!$M$2:$M$501,$A21),계산!$M$2:$M$501,0)),"")</f>
        <v/>
      </c>
      <c r="I21" s="5">
        <f>IFERROR(INDEX(계산!$F$2:$F$501,MATCH(SMALL(계산!$M$2:$M$501,$A21),계산!$M$2:$M$501,0)),"")</f>
        <v/>
      </c>
      <c r="J21">
        <f>IFERROR(INDEX(계산!$A$2:$A$501,MATCH(SMALL(계산!$N$2:$N$501,$A21),계산!$N$2:$N$501,0)),"")</f>
        <v/>
      </c>
      <c r="K21" s="5">
        <f>IFERROR(INDEX(계산!$G$2:$G$501,MATCH(SMALL(계산!$N$2:$N$501,$A21),계산!$N$2:$N$501,0)),"")</f>
        <v/>
      </c>
      <c r="L21">
        <f>IFERROR(INDEX(계산!$A$2:$A$501,MATCH(SMALL(계산!$O$2:$O$501,$A21),계산!$O$2:$O$501,0)),"")</f>
        <v/>
      </c>
      <c r="M21" s="5">
        <f>IFERROR(INDEX(계산!$H$2:$H$501,MATCH(SMALL(계산!$O$2:$O$501,$A21),계산!$O$2:$O$501,0)),"")</f>
        <v/>
      </c>
    </row>
    <row r="22">
      <c r="A22" t="n">
        <v>4</v>
      </c>
      <c r="B22">
        <f>IFERROR(INDEX(계산!$A$2:$A$501,MATCH(SMALL(계산!$J$2:$J$501,$A22),계산!$J$2:$J$501,0)),"")</f>
        <v/>
      </c>
      <c r="C22" s="5">
        <f>IFERROR(INDEX(계산!$C$2:$C$501,MATCH(SMALL(계산!$J$2:$J$501,$A22),계산!$J$2:$J$501,0)),"")</f>
        <v/>
      </c>
      <c r="D22">
        <f>IFERROR(INDEX(계산!$A$2:$A$501,MATCH(SMALL(계산!$K$2:$K$501,$A22),계산!$K$2:$K$501,0)),"")</f>
        <v/>
      </c>
      <c r="E22" s="5">
        <f>IFERROR(INDEX(계산!$D$2:$D$501,MATCH(SMALL(계산!$K$2:$K$501,$A22),계산!$K$2:$K$501,0)),"")</f>
        <v/>
      </c>
      <c r="F22">
        <f>IFERROR(INDEX(계산!$A$2:$A$501,MATCH(SMALL(계산!$L$2:$L$501,$A22),계산!$L$2:$L$501,0)),"")</f>
        <v/>
      </c>
      <c r="G22" s="5">
        <f>IFERROR(INDEX(계산!$E$2:$E$501,MATCH(SMALL(계산!$L$2:$L$501,$A22),계산!$L$2:$L$501,0)),"")</f>
        <v/>
      </c>
      <c r="H22">
        <f>IFERROR(INDEX(계산!$A$2:$A$501,MATCH(SMALL(계산!$M$2:$M$501,$A22),계산!$M$2:$M$501,0)),"")</f>
        <v/>
      </c>
      <c r="I22" s="5">
        <f>IFERROR(INDEX(계산!$F$2:$F$501,MATCH(SMALL(계산!$M$2:$M$501,$A22),계산!$M$2:$M$501,0)),"")</f>
        <v/>
      </c>
      <c r="J22">
        <f>IFERROR(INDEX(계산!$A$2:$A$501,MATCH(SMALL(계산!$N$2:$N$501,$A22),계산!$N$2:$N$501,0)),"")</f>
        <v/>
      </c>
      <c r="K22" s="5">
        <f>IFERROR(INDEX(계산!$G$2:$G$501,MATCH(SMALL(계산!$N$2:$N$501,$A22),계산!$N$2:$N$501,0)),"")</f>
        <v/>
      </c>
      <c r="L22">
        <f>IFERROR(INDEX(계산!$A$2:$A$501,MATCH(SMALL(계산!$O$2:$O$501,$A22),계산!$O$2:$O$501,0)),"")</f>
        <v/>
      </c>
      <c r="M22" s="5">
        <f>IFERROR(INDEX(계산!$H$2:$H$501,MATCH(SMALL(계산!$O$2:$O$501,$A22),계산!$O$2:$O$501,0)),"")</f>
        <v/>
      </c>
    </row>
    <row r="23">
      <c r="A23" t="n">
        <v>5</v>
      </c>
      <c r="B23">
        <f>IFERROR(INDEX(계산!$A$2:$A$501,MATCH(SMALL(계산!$J$2:$J$501,$A23),계산!$J$2:$J$501,0)),"")</f>
        <v/>
      </c>
      <c r="C23" s="5">
        <f>IFERROR(INDEX(계산!$C$2:$C$501,MATCH(SMALL(계산!$J$2:$J$501,$A23),계산!$J$2:$J$501,0)),"")</f>
        <v/>
      </c>
      <c r="D23">
        <f>IFERROR(INDEX(계산!$A$2:$A$501,MATCH(SMALL(계산!$K$2:$K$501,$A23),계산!$K$2:$K$501,0)),"")</f>
        <v/>
      </c>
      <c r="E23" s="5">
        <f>IFERROR(INDEX(계산!$D$2:$D$501,MATCH(SMALL(계산!$K$2:$K$501,$A23),계산!$K$2:$K$501,0)),"")</f>
        <v/>
      </c>
      <c r="F23">
        <f>IFERROR(INDEX(계산!$A$2:$A$501,MATCH(SMALL(계산!$L$2:$L$501,$A23),계산!$L$2:$L$501,0)),"")</f>
        <v/>
      </c>
      <c r="G23" s="5">
        <f>IFERROR(INDEX(계산!$E$2:$E$501,MATCH(SMALL(계산!$L$2:$L$501,$A23),계산!$L$2:$L$501,0)),"")</f>
        <v/>
      </c>
      <c r="H23">
        <f>IFERROR(INDEX(계산!$A$2:$A$501,MATCH(SMALL(계산!$M$2:$M$501,$A23),계산!$M$2:$M$501,0)),"")</f>
        <v/>
      </c>
      <c r="I23" s="5">
        <f>IFERROR(INDEX(계산!$F$2:$F$501,MATCH(SMALL(계산!$M$2:$M$501,$A23),계산!$M$2:$M$501,0)),"")</f>
        <v/>
      </c>
      <c r="J23">
        <f>IFERROR(INDEX(계산!$A$2:$A$501,MATCH(SMALL(계산!$N$2:$N$501,$A23),계산!$N$2:$N$501,0)),"")</f>
        <v/>
      </c>
      <c r="K23" s="5">
        <f>IFERROR(INDEX(계산!$G$2:$G$501,MATCH(SMALL(계산!$N$2:$N$501,$A23),계산!$N$2:$N$501,0)),"")</f>
        <v/>
      </c>
      <c r="L23">
        <f>IFERROR(INDEX(계산!$A$2:$A$501,MATCH(SMALL(계산!$O$2:$O$501,$A23),계산!$O$2:$O$501,0)),"")</f>
        <v/>
      </c>
      <c r="M23" s="5">
        <f>IFERROR(INDEX(계산!$H$2:$H$501,MATCH(SMALL(계산!$O$2:$O$501,$A23),계산!$O$2:$O$501,0)),"")</f>
        <v/>
      </c>
    </row>
    <row r="24">
      <c r="A24" t="n">
        <v>6</v>
      </c>
      <c r="B24">
        <f>IFERROR(INDEX(계산!$A$2:$A$501,MATCH(SMALL(계산!$J$2:$J$501,$A24),계산!$J$2:$J$501,0)),"")</f>
        <v/>
      </c>
      <c r="C24" s="5">
        <f>IFERROR(INDEX(계산!$C$2:$C$501,MATCH(SMALL(계산!$J$2:$J$501,$A24),계산!$J$2:$J$501,0)),"")</f>
        <v/>
      </c>
      <c r="D24">
        <f>IFERROR(INDEX(계산!$A$2:$A$501,MATCH(SMALL(계산!$K$2:$K$501,$A24),계산!$K$2:$K$501,0)),"")</f>
        <v/>
      </c>
      <c r="E24" s="5">
        <f>IFERROR(INDEX(계산!$D$2:$D$501,MATCH(SMALL(계산!$K$2:$K$501,$A24),계산!$K$2:$K$501,0)),"")</f>
        <v/>
      </c>
      <c r="F24">
        <f>IFERROR(INDEX(계산!$A$2:$A$501,MATCH(SMALL(계산!$L$2:$L$501,$A24),계산!$L$2:$L$501,0)),"")</f>
        <v/>
      </c>
      <c r="G24" s="5">
        <f>IFERROR(INDEX(계산!$E$2:$E$501,MATCH(SMALL(계산!$L$2:$L$501,$A24),계산!$L$2:$L$501,0)),"")</f>
        <v/>
      </c>
      <c r="H24">
        <f>IFERROR(INDEX(계산!$A$2:$A$501,MATCH(SMALL(계산!$M$2:$M$501,$A24),계산!$M$2:$M$501,0)),"")</f>
        <v/>
      </c>
      <c r="I24" s="5">
        <f>IFERROR(INDEX(계산!$F$2:$F$501,MATCH(SMALL(계산!$M$2:$M$501,$A24),계산!$M$2:$M$501,0)),"")</f>
        <v/>
      </c>
      <c r="J24">
        <f>IFERROR(INDEX(계산!$A$2:$A$501,MATCH(SMALL(계산!$N$2:$N$501,$A24),계산!$N$2:$N$501,0)),"")</f>
        <v/>
      </c>
      <c r="K24" s="5">
        <f>IFERROR(INDEX(계산!$G$2:$G$501,MATCH(SMALL(계산!$N$2:$N$501,$A24),계산!$N$2:$N$501,0)),"")</f>
        <v/>
      </c>
      <c r="L24">
        <f>IFERROR(INDEX(계산!$A$2:$A$501,MATCH(SMALL(계산!$O$2:$O$501,$A24),계산!$O$2:$O$501,0)),"")</f>
        <v/>
      </c>
      <c r="M24" s="5">
        <f>IFERROR(INDEX(계산!$H$2:$H$501,MATCH(SMALL(계산!$O$2:$O$501,$A24),계산!$O$2:$O$501,0)),"")</f>
        <v/>
      </c>
    </row>
    <row r="25">
      <c r="A25" t="n">
        <v>7</v>
      </c>
      <c r="B25">
        <f>IFERROR(INDEX(계산!$A$2:$A$501,MATCH(SMALL(계산!$J$2:$J$501,$A25),계산!$J$2:$J$501,0)),"")</f>
        <v/>
      </c>
      <c r="C25" s="5">
        <f>IFERROR(INDEX(계산!$C$2:$C$501,MATCH(SMALL(계산!$J$2:$J$501,$A25),계산!$J$2:$J$501,0)),"")</f>
        <v/>
      </c>
      <c r="D25">
        <f>IFERROR(INDEX(계산!$A$2:$A$501,MATCH(SMALL(계산!$K$2:$K$501,$A25),계산!$K$2:$K$501,0)),"")</f>
        <v/>
      </c>
      <c r="E25" s="5">
        <f>IFERROR(INDEX(계산!$D$2:$D$501,MATCH(SMALL(계산!$K$2:$K$501,$A25),계산!$K$2:$K$501,0)),"")</f>
        <v/>
      </c>
      <c r="F25">
        <f>IFERROR(INDEX(계산!$A$2:$A$501,MATCH(SMALL(계산!$L$2:$L$501,$A25),계산!$L$2:$L$501,0)),"")</f>
        <v/>
      </c>
      <c r="G25" s="5">
        <f>IFERROR(INDEX(계산!$E$2:$E$501,MATCH(SMALL(계산!$L$2:$L$501,$A25),계산!$L$2:$L$501,0)),"")</f>
        <v/>
      </c>
      <c r="H25">
        <f>IFERROR(INDEX(계산!$A$2:$A$501,MATCH(SMALL(계산!$M$2:$M$501,$A25),계산!$M$2:$M$501,0)),"")</f>
        <v/>
      </c>
      <c r="I25" s="5">
        <f>IFERROR(INDEX(계산!$F$2:$F$501,MATCH(SMALL(계산!$M$2:$M$501,$A25),계산!$M$2:$M$501,0)),"")</f>
        <v/>
      </c>
      <c r="J25">
        <f>IFERROR(INDEX(계산!$A$2:$A$501,MATCH(SMALL(계산!$N$2:$N$501,$A25),계산!$N$2:$N$501,0)),"")</f>
        <v/>
      </c>
      <c r="K25" s="5">
        <f>IFERROR(INDEX(계산!$G$2:$G$501,MATCH(SMALL(계산!$N$2:$N$501,$A25),계산!$N$2:$N$501,0)),"")</f>
        <v/>
      </c>
      <c r="L25">
        <f>IFERROR(INDEX(계산!$A$2:$A$501,MATCH(SMALL(계산!$O$2:$O$501,$A25),계산!$O$2:$O$501,0)),"")</f>
        <v/>
      </c>
      <c r="M25" s="5">
        <f>IFERROR(INDEX(계산!$H$2:$H$501,MATCH(SMALL(계산!$O$2:$O$501,$A25),계산!$O$2:$O$501,0)),"")</f>
        <v/>
      </c>
    </row>
    <row r="26">
      <c r="A26" t="n">
        <v>8</v>
      </c>
      <c r="B26">
        <f>IFERROR(INDEX(계산!$A$2:$A$501,MATCH(SMALL(계산!$J$2:$J$501,$A26),계산!$J$2:$J$501,0)),"")</f>
        <v/>
      </c>
      <c r="C26" s="5">
        <f>IFERROR(INDEX(계산!$C$2:$C$501,MATCH(SMALL(계산!$J$2:$J$501,$A26),계산!$J$2:$J$501,0)),"")</f>
        <v/>
      </c>
      <c r="D26">
        <f>IFERROR(INDEX(계산!$A$2:$A$501,MATCH(SMALL(계산!$K$2:$K$501,$A26),계산!$K$2:$K$501,0)),"")</f>
        <v/>
      </c>
      <c r="E26" s="5">
        <f>IFERROR(INDEX(계산!$D$2:$D$501,MATCH(SMALL(계산!$K$2:$K$501,$A26),계산!$K$2:$K$501,0)),"")</f>
        <v/>
      </c>
      <c r="F26">
        <f>IFERROR(INDEX(계산!$A$2:$A$501,MATCH(SMALL(계산!$L$2:$L$501,$A26),계산!$L$2:$L$501,0)),"")</f>
        <v/>
      </c>
      <c r="G26" s="5">
        <f>IFERROR(INDEX(계산!$E$2:$E$501,MATCH(SMALL(계산!$L$2:$L$501,$A26),계산!$L$2:$L$501,0)),"")</f>
        <v/>
      </c>
      <c r="H26">
        <f>IFERROR(INDEX(계산!$A$2:$A$501,MATCH(SMALL(계산!$M$2:$M$501,$A26),계산!$M$2:$M$501,0)),"")</f>
        <v/>
      </c>
      <c r="I26" s="5">
        <f>IFERROR(INDEX(계산!$F$2:$F$501,MATCH(SMALL(계산!$M$2:$M$501,$A26),계산!$M$2:$M$501,0)),"")</f>
        <v/>
      </c>
      <c r="J26">
        <f>IFERROR(INDEX(계산!$A$2:$A$501,MATCH(SMALL(계산!$N$2:$N$501,$A26),계산!$N$2:$N$501,0)),"")</f>
        <v/>
      </c>
      <c r="K26" s="5">
        <f>IFERROR(INDEX(계산!$G$2:$G$501,MATCH(SMALL(계산!$N$2:$N$501,$A26),계산!$N$2:$N$501,0)),"")</f>
        <v/>
      </c>
      <c r="L26">
        <f>IFERROR(INDEX(계산!$A$2:$A$501,MATCH(SMALL(계산!$O$2:$O$501,$A26),계산!$O$2:$O$501,0)),"")</f>
        <v/>
      </c>
      <c r="M26" s="5">
        <f>IFERROR(INDEX(계산!$H$2:$H$501,MATCH(SMALL(계산!$O$2:$O$501,$A26),계산!$O$2:$O$501,0)),"")</f>
        <v/>
      </c>
    </row>
    <row r="27">
      <c r="A27" t="n">
        <v>9</v>
      </c>
      <c r="B27">
        <f>IFERROR(INDEX(계산!$A$2:$A$501,MATCH(SMALL(계산!$J$2:$J$501,$A27),계산!$J$2:$J$501,0)),"")</f>
        <v/>
      </c>
      <c r="C27" s="5">
        <f>IFERROR(INDEX(계산!$C$2:$C$501,MATCH(SMALL(계산!$J$2:$J$501,$A27),계산!$J$2:$J$501,0)),"")</f>
        <v/>
      </c>
      <c r="D27">
        <f>IFERROR(INDEX(계산!$A$2:$A$501,MATCH(SMALL(계산!$K$2:$K$501,$A27),계산!$K$2:$K$501,0)),"")</f>
        <v/>
      </c>
      <c r="E27" s="5">
        <f>IFERROR(INDEX(계산!$D$2:$D$501,MATCH(SMALL(계산!$K$2:$K$501,$A27),계산!$K$2:$K$501,0)),"")</f>
        <v/>
      </c>
      <c r="F27">
        <f>IFERROR(INDEX(계산!$A$2:$A$501,MATCH(SMALL(계산!$L$2:$L$501,$A27),계산!$L$2:$L$501,0)),"")</f>
        <v/>
      </c>
      <c r="G27" s="5">
        <f>IFERROR(INDEX(계산!$E$2:$E$501,MATCH(SMALL(계산!$L$2:$L$501,$A27),계산!$L$2:$L$501,0)),"")</f>
        <v/>
      </c>
      <c r="H27">
        <f>IFERROR(INDEX(계산!$A$2:$A$501,MATCH(SMALL(계산!$M$2:$M$501,$A27),계산!$M$2:$M$501,0)),"")</f>
        <v/>
      </c>
      <c r="I27" s="5">
        <f>IFERROR(INDEX(계산!$F$2:$F$501,MATCH(SMALL(계산!$M$2:$M$501,$A27),계산!$M$2:$M$501,0)),"")</f>
        <v/>
      </c>
      <c r="J27">
        <f>IFERROR(INDEX(계산!$A$2:$A$501,MATCH(SMALL(계산!$N$2:$N$501,$A27),계산!$N$2:$N$501,0)),"")</f>
        <v/>
      </c>
      <c r="K27" s="5">
        <f>IFERROR(INDEX(계산!$G$2:$G$501,MATCH(SMALL(계산!$N$2:$N$501,$A27),계산!$N$2:$N$501,0)),"")</f>
        <v/>
      </c>
      <c r="L27">
        <f>IFERROR(INDEX(계산!$A$2:$A$501,MATCH(SMALL(계산!$O$2:$O$501,$A27),계산!$O$2:$O$501,0)),"")</f>
        <v/>
      </c>
      <c r="M27" s="5">
        <f>IFERROR(INDEX(계산!$H$2:$H$501,MATCH(SMALL(계산!$O$2:$O$501,$A27),계산!$O$2:$O$501,0)),"")</f>
        <v/>
      </c>
    </row>
    <row r="28">
      <c r="A28" t="n">
        <v>10</v>
      </c>
      <c r="B28">
        <f>IFERROR(INDEX(계산!$A$2:$A$501,MATCH(SMALL(계산!$J$2:$J$501,$A28),계산!$J$2:$J$501,0)),"")</f>
        <v/>
      </c>
      <c r="C28" s="5">
        <f>IFERROR(INDEX(계산!$C$2:$C$501,MATCH(SMALL(계산!$J$2:$J$501,$A28),계산!$J$2:$J$501,0)),"")</f>
        <v/>
      </c>
      <c r="D28">
        <f>IFERROR(INDEX(계산!$A$2:$A$501,MATCH(SMALL(계산!$K$2:$K$501,$A28),계산!$K$2:$K$501,0)),"")</f>
        <v/>
      </c>
      <c r="E28" s="5">
        <f>IFERROR(INDEX(계산!$D$2:$D$501,MATCH(SMALL(계산!$K$2:$K$501,$A28),계산!$K$2:$K$501,0)),"")</f>
        <v/>
      </c>
      <c r="F28">
        <f>IFERROR(INDEX(계산!$A$2:$A$501,MATCH(SMALL(계산!$L$2:$L$501,$A28),계산!$L$2:$L$501,0)),"")</f>
        <v/>
      </c>
      <c r="G28" s="5">
        <f>IFERROR(INDEX(계산!$E$2:$E$501,MATCH(SMALL(계산!$L$2:$L$501,$A28),계산!$L$2:$L$501,0)),"")</f>
        <v/>
      </c>
      <c r="H28">
        <f>IFERROR(INDEX(계산!$A$2:$A$501,MATCH(SMALL(계산!$M$2:$M$501,$A28),계산!$M$2:$M$501,0)),"")</f>
        <v/>
      </c>
      <c r="I28" s="5">
        <f>IFERROR(INDEX(계산!$F$2:$F$501,MATCH(SMALL(계산!$M$2:$M$501,$A28),계산!$M$2:$M$501,0)),"")</f>
        <v/>
      </c>
      <c r="J28">
        <f>IFERROR(INDEX(계산!$A$2:$A$501,MATCH(SMALL(계산!$N$2:$N$501,$A28),계산!$N$2:$N$501,0)),"")</f>
        <v/>
      </c>
      <c r="K28" s="5">
        <f>IFERROR(INDEX(계산!$G$2:$G$501,MATCH(SMALL(계산!$N$2:$N$501,$A28),계산!$N$2:$N$501,0)),"")</f>
        <v/>
      </c>
      <c r="L28">
        <f>IFERROR(INDEX(계산!$A$2:$A$501,MATCH(SMALL(계산!$O$2:$O$501,$A28),계산!$O$2:$O$501,0)),"")</f>
        <v/>
      </c>
      <c r="M28" s="5">
        <f>IFERROR(INDEX(계산!$H$2:$H$501,MATCH(SMALL(계산!$O$2:$O$501,$A28),계산!$O$2:$O$501,0)),"")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cols>
    <col width="12" customWidth="1" min="2" max="2"/>
  </cols>
  <sheetData>
    <row r="1">
      <c r="A1" t="inlineStr">
        <is>
          <t>종목 선택</t>
        </is>
      </c>
      <c r="B1" s="7" t="inlineStr">
        <is>
          <t>샘플종목01</t>
        </is>
      </c>
      <c r="C1" t="inlineStr">
        <is>
          <t>← B1에 종목명을 입력하세요(계산 시트 A열의 이름과 같게).</t>
        </is>
      </c>
    </row>
    <row r="3">
      <c r="A3" s="1" t="inlineStr">
        <is>
          <t>순번</t>
        </is>
      </c>
      <c r="B3" s="1" t="inlineStr">
        <is>
          <t>일자</t>
        </is>
      </c>
      <c r="C3" s="1" t="inlineStr">
        <is>
          <t>종가</t>
        </is>
      </c>
      <c r="D3" s="1" t="inlineStr">
        <is>
          <t>거래량</t>
        </is>
      </c>
    </row>
    <row r="4">
      <c r="A4" t="n">
        <v>110</v>
      </c>
      <c r="B4" s="3">
        <f>IF(COUNTIFS(데이터!$A$2:$A$20000,$B$1,데이터!$E$2:$E$20000,$A4)=0,"",SUMIFS(데이터!$B$2:$B$20000,데이터!$A$2:$A$20000,$B$1,데이터!$E$2:$E$20000,$A4))</f>
        <v/>
      </c>
      <c r="C4">
        <f>IF(COUNTIFS(데이터!$A$2:$A$20000,$B$1,데이터!$E$2:$E$20000,$A4)=0,"",SUMIFS(데이터!$C$2:$C$20000,데이터!$A$2:$A$20000,$B$1,데이터!$E$2:$E$20000,$A4))</f>
        <v/>
      </c>
      <c r="D4">
        <f>IF(COUNTIFS(데이터!$A$2:$A$20000,$B$1,데이터!$E$2:$E$20000,$A4)=0,"",SUMIFS(데이터!$D$2:$D$20000,데이터!$A$2:$A$20000,$B$1,데이터!$E$2:$E$20000,$A4))</f>
        <v/>
      </c>
    </row>
    <row r="5">
      <c r="A5" t="n">
        <v>109</v>
      </c>
      <c r="B5" s="3">
        <f>IF(COUNTIFS(데이터!$A$2:$A$20000,$B$1,데이터!$E$2:$E$20000,$A5)=0,"",SUMIFS(데이터!$B$2:$B$20000,데이터!$A$2:$A$20000,$B$1,데이터!$E$2:$E$20000,$A5))</f>
        <v/>
      </c>
      <c r="C5">
        <f>IF(COUNTIFS(데이터!$A$2:$A$20000,$B$1,데이터!$E$2:$E$20000,$A5)=0,"",SUMIFS(데이터!$C$2:$C$20000,데이터!$A$2:$A$20000,$B$1,데이터!$E$2:$E$20000,$A5))</f>
        <v/>
      </c>
      <c r="D5">
        <f>IF(COUNTIFS(데이터!$A$2:$A$20000,$B$1,데이터!$E$2:$E$20000,$A5)=0,"",SUMIFS(데이터!$D$2:$D$20000,데이터!$A$2:$A$20000,$B$1,데이터!$E$2:$E$20000,$A5))</f>
        <v/>
      </c>
    </row>
    <row r="6">
      <c r="A6" t="n">
        <v>108</v>
      </c>
      <c r="B6" s="3">
        <f>IF(COUNTIFS(데이터!$A$2:$A$20000,$B$1,데이터!$E$2:$E$20000,$A6)=0,"",SUMIFS(데이터!$B$2:$B$20000,데이터!$A$2:$A$20000,$B$1,데이터!$E$2:$E$20000,$A6))</f>
        <v/>
      </c>
      <c r="C6">
        <f>IF(COUNTIFS(데이터!$A$2:$A$20000,$B$1,데이터!$E$2:$E$20000,$A6)=0,"",SUMIFS(데이터!$C$2:$C$20000,데이터!$A$2:$A$20000,$B$1,데이터!$E$2:$E$20000,$A6))</f>
        <v/>
      </c>
      <c r="D6">
        <f>IF(COUNTIFS(데이터!$A$2:$A$20000,$B$1,데이터!$E$2:$E$20000,$A6)=0,"",SUMIFS(데이터!$D$2:$D$20000,데이터!$A$2:$A$20000,$B$1,데이터!$E$2:$E$20000,$A6))</f>
        <v/>
      </c>
    </row>
    <row r="7">
      <c r="A7" t="n">
        <v>107</v>
      </c>
      <c r="B7" s="3">
        <f>IF(COUNTIFS(데이터!$A$2:$A$20000,$B$1,데이터!$E$2:$E$20000,$A7)=0,"",SUMIFS(데이터!$B$2:$B$20000,데이터!$A$2:$A$20000,$B$1,데이터!$E$2:$E$20000,$A7))</f>
        <v/>
      </c>
      <c r="C7">
        <f>IF(COUNTIFS(데이터!$A$2:$A$20000,$B$1,데이터!$E$2:$E$20000,$A7)=0,"",SUMIFS(데이터!$C$2:$C$20000,데이터!$A$2:$A$20000,$B$1,데이터!$E$2:$E$20000,$A7))</f>
        <v/>
      </c>
      <c r="D7">
        <f>IF(COUNTIFS(데이터!$A$2:$A$20000,$B$1,데이터!$E$2:$E$20000,$A7)=0,"",SUMIFS(데이터!$D$2:$D$20000,데이터!$A$2:$A$20000,$B$1,데이터!$E$2:$E$20000,$A7))</f>
        <v/>
      </c>
    </row>
    <row r="8">
      <c r="A8" t="n">
        <v>106</v>
      </c>
      <c r="B8" s="3">
        <f>IF(COUNTIFS(데이터!$A$2:$A$20000,$B$1,데이터!$E$2:$E$20000,$A8)=0,"",SUMIFS(데이터!$B$2:$B$20000,데이터!$A$2:$A$20000,$B$1,데이터!$E$2:$E$20000,$A8))</f>
        <v/>
      </c>
      <c r="C8">
        <f>IF(COUNTIFS(데이터!$A$2:$A$20000,$B$1,데이터!$E$2:$E$20000,$A8)=0,"",SUMIFS(데이터!$C$2:$C$20000,데이터!$A$2:$A$20000,$B$1,데이터!$E$2:$E$20000,$A8))</f>
        <v/>
      </c>
      <c r="D8">
        <f>IF(COUNTIFS(데이터!$A$2:$A$20000,$B$1,데이터!$E$2:$E$20000,$A8)=0,"",SUMIFS(데이터!$D$2:$D$20000,데이터!$A$2:$A$20000,$B$1,데이터!$E$2:$E$20000,$A8))</f>
        <v/>
      </c>
    </row>
    <row r="9">
      <c r="A9" t="n">
        <v>105</v>
      </c>
      <c r="B9" s="3">
        <f>IF(COUNTIFS(데이터!$A$2:$A$20000,$B$1,데이터!$E$2:$E$20000,$A9)=0,"",SUMIFS(데이터!$B$2:$B$20000,데이터!$A$2:$A$20000,$B$1,데이터!$E$2:$E$20000,$A9))</f>
        <v/>
      </c>
      <c r="C9">
        <f>IF(COUNTIFS(데이터!$A$2:$A$20000,$B$1,데이터!$E$2:$E$20000,$A9)=0,"",SUMIFS(데이터!$C$2:$C$20000,데이터!$A$2:$A$20000,$B$1,데이터!$E$2:$E$20000,$A9))</f>
        <v/>
      </c>
      <c r="D9">
        <f>IF(COUNTIFS(데이터!$A$2:$A$20000,$B$1,데이터!$E$2:$E$20000,$A9)=0,"",SUMIFS(데이터!$D$2:$D$20000,데이터!$A$2:$A$20000,$B$1,데이터!$E$2:$E$20000,$A9))</f>
        <v/>
      </c>
    </row>
    <row r="10">
      <c r="A10" t="n">
        <v>104</v>
      </c>
      <c r="B10" s="3">
        <f>IF(COUNTIFS(데이터!$A$2:$A$20000,$B$1,데이터!$E$2:$E$20000,$A10)=0,"",SUMIFS(데이터!$B$2:$B$20000,데이터!$A$2:$A$20000,$B$1,데이터!$E$2:$E$20000,$A10))</f>
        <v/>
      </c>
      <c r="C10">
        <f>IF(COUNTIFS(데이터!$A$2:$A$20000,$B$1,데이터!$E$2:$E$20000,$A10)=0,"",SUMIFS(데이터!$C$2:$C$20000,데이터!$A$2:$A$20000,$B$1,데이터!$E$2:$E$20000,$A10))</f>
        <v/>
      </c>
      <c r="D10">
        <f>IF(COUNTIFS(데이터!$A$2:$A$20000,$B$1,데이터!$E$2:$E$20000,$A10)=0,"",SUMIFS(데이터!$D$2:$D$20000,데이터!$A$2:$A$20000,$B$1,데이터!$E$2:$E$20000,$A10))</f>
        <v/>
      </c>
    </row>
    <row r="11">
      <c r="A11" t="n">
        <v>103</v>
      </c>
      <c r="B11" s="3">
        <f>IF(COUNTIFS(데이터!$A$2:$A$20000,$B$1,데이터!$E$2:$E$20000,$A11)=0,"",SUMIFS(데이터!$B$2:$B$20000,데이터!$A$2:$A$20000,$B$1,데이터!$E$2:$E$20000,$A11))</f>
        <v/>
      </c>
      <c r="C11">
        <f>IF(COUNTIFS(데이터!$A$2:$A$20000,$B$1,데이터!$E$2:$E$20000,$A11)=0,"",SUMIFS(데이터!$C$2:$C$20000,데이터!$A$2:$A$20000,$B$1,데이터!$E$2:$E$20000,$A11))</f>
        <v/>
      </c>
      <c r="D11">
        <f>IF(COUNTIFS(데이터!$A$2:$A$20000,$B$1,데이터!$E$2:$E$20000,$A11)=0,"",SUMIFS(데이터!$D$2:$D$20000,데이터!$A$2:$A$20000,$B$1,데이터!$E$2:$E$20000,$A11))</f>
        <v/>
      </c>
    </row>
    <row r="12">
      <c r="A12" t="n">
        <v>102</v>
      </c>
      <c r="B12" s="3">
        <f>IF(COUNTIFS(데이터!$A$2:$A$20000,$B$1,데이터!$E$2:$E$20000,$A12)=0,"",SUMIFS(데이터!$B$2:$B$20000,데이터!$A$2:$A$20000,$B$1,데이터!$E$2:$E$20000,$A12))</f>
        <v/>
      </c>
      <c r="C12">
        <f>IF(COUNTIFS(데이터!$A$2:$A$20000,$B$1,데이터!$E$2:$E$20000,$A12)=0,"",SUMIFS(데이터!$C$2:$C$20000,데이터!$A$2:$A$20000,$B$1,데이터!$E$2:$E$20000,$A12))</f>
        <v/>
      </c>
      <c r="D12">
        <f>IF(COUNTIFS(데이터!$A$2:$A$20000,$B$1,데이터!$E$2:$E$20000,$A12)=0,"",SUMIFS(데이터!$D$2:$D$20000,데이터!$A$2:$A$20000,$B$1,데이터!$E$2:$E$20000,$A12))</f>
        <v/>
      </c>
    </row>
    <row r="13">
      <c r="A13" t="n">
        <v>101</v>
      </c>
      <c r="B13" s="3">
        <f>IF(COUNTIFS(데이터!$A$2:$A$20000,$B$1,데이터!$E$2:$E$20000,$A13)=0,"",SUMIFS(데이터!$B$2:$B$20000,데이터!$A$2:$A$20000,$B$1,데이터!$E$2:$E$20000,$A13))</f>
        <v/>
      </c>
      <c r="C13">
        <f>IF(COUNTIFS(데이터!$A$2:$A$20000,$B$1,데이터!$E$2:$E$20000,$A13)=0,"",SUMIFS(데이터!$C$2:$C$20000,데이터!$A$2:$A$20000,$B$1,데이터!$E$2:$E$20000,$A13))</f>
        <v/>
      </c>
      <c r="D13">
        <f>IF(COUNTIFS(데이터!$A$2:$A$20000,$B$1,데이터!$E$2:$E$20000,$A13)=0,"",SUMIFS(데이터!$D$2:$D$20000,데이터!$A$2:$A$20000,$B$1,데이터!$E$2:$E$20000,$A13))</f>
        <v/>
      </c>
    </row>
    <row r="14">
      <c r="A14" t="n">
        <v>100</v>
      </c>
      <c r="B14" s="3">
        <f>IF(COUNTIFS(데이터!$A$2:$A$20000,$B$1,데이터!$E$2:$E$20000,$A14)=0,"",SUMIFS(데이터!$B$2:$B$20000,데이터!$A$2:$A$20000,$B$1,데이터!$E$2:$E$20000,$A14))</f>
        <v/>
      </c>
      <c r="C14">
        <f>IF(COUNTIFS(데이터!$A$2:$A$20000,$B$1,데이터!$E$2:$E$20000,$A14)=0,"",SUMIFS(데이터!$C$2:$C$20000,데이터!$A$2:$A$20000,$B$1,데이터!$E$2:$E$20000,$A14))</f>
        <v/>
      </c>
      <c r="D14">
        <f>IF(COUNTIFS(데이터!$A$2:$A$20000,$B$1,데이터!$E$2:$E$20000,$A14)=0,"",SUMIFS(데이터!$D$2:$D$20000,데이터!$A$2:$A$20000,$B$1,데이터!$E$2:$E$20000,$A14))</f>
        <v/>
      </c>
    </row>
    <row r="15">
      <c r="A15" t="n">
        <v>99</v>
      </c>
      <c r="B15" s="3">
        <f>IF(COUNTIFS(데이터!$A$2:$A$20000,$B$1,데이터!$E$2:$E$20000,$A15)=0,"",SUMIFS(데이터!$B$2:$B$20000,데이터!$A$2:$A$20000,$B$1,데이터!$E$2:$E$20000,$A15))</f>
        <v/>
      </c>
      <c r="C15">
        <f>IF(COUNTIFS(데이터!$A$2:$A$20000,$B$1,데이터!$E$2:$E$20000,$A15)=0,"",SUMIFS(데이터!$C$2:$C$20000,데이터!$A$2:$A$20000,$B$1,데이터!$E$2:$E$20000,$A15))</f>
        <v/>
      </c>
      <c r="D15">
        <f>IF(COUNTIFS(데이터!$A$2:$A$20000,$B$1,데이터!$E$2:$E$20000,$A15)=0,"",SUMIFS(데이터!$D$2:$D$20000,데이터!$A$2:$A$20000,$B$1,데이터!$E$2:$E$20000,$A15))</f>
        <v/>
      </c>
    </row>
    <row r="16">
      <c r="A16" t="n">
        <v>98</v>
      </c>
      <c r="B16" s="3">
        <f>IF(COUNTIFS(데이터!$A$2:$A$20000,$B$1,데이터!$E$2:$E$20000,$A16)=0,"",SUMIFS(데이터!$B$2:$B$20000,데이터!$A$2:$A$20000,$B$1,데이터!$E$2:$E$20000,$A16))</f>
        <v/>
      </c>
      <c r="C16">
        <f>IF(COUNTIFS(데이터!$A$2:$A$20000,$B$1,데이터!$E$2:$E$20000,$A16)=0,"",SUMIFS(데이터!$C$2:$C$20000,데이터!$A$2:$A$20000,$B$1,데이터!$E$2:$E$20000,$A16))</f>
        <v/>
      </c>
      <c r="D16">
        <f>IF(COUNTIFS(데이터!$A$2:$A$20000,$B$1,데이터!$E$2:$E$20000,$A16)=0,"",SUMIFS(데이터!$D$2:$D$20000,데이터!$A$2:$A$20000,$B$1,데이터!$E$2:$E$20000,$A16))</f>
        <v/>
      </c>
    </row>
    <row r="17">
      <c r="A17" t="n">
        <v>97</v>
      </c>
      <c r="B17" s="3">
        <f>IF(COUNTIFS(데이터!$A$2:$A$20000,$B$1,데이터!$E$2:$E$20000,$A17)=0,"",SUMIFS(데이터!$B$2:$B$20000,데이터!$A$2:$A$20000,$B$1,데이터!$E$2:$E$20000,$A17))</f>
        <v/>
      </c>
      <c r="C17">
        <f>IF(COUNTIFS(데이터!$A$2:$A$20000,$B$1,데이터!$E$2:$E$20000,$A17)=0,"",SUMIFS(데이터!$C$2:$C$20000,데이터!$A$2:$A$20000,$B$1,데이터!$E$2:$E$20000,$A17))</f>
        <v/>
      </c>
      <c r="D17">
        <f>IF(COUNTIFS(데이터!$A$2:$A$20000,$B$1,데이터!$E$2:$E$20000,$A17)=0,"",SUMIFS(데이터!$D$2:$D$20000,데이터!$A$2:$A$20000,$B$1,데이터!$E$2:$E$20000,$A17))</f>
        <v/>
      </c>
    </row>
    <row r="18">
      <c r="A18" t="n">
        <v>96</v>
      </c>
      <c r="B18" s="3">
        <f>IF(COUNTIFS(데이터!$A$2:$A$20000,$B$1,데이터!$E$2:$E$20000,$A18)=0,"",SUMIFS(데이터!$B$2:$B$20000,데이터!$A$2:$A$20000,$B$1,데이터!$E$2:$E$20000,$A18))</f>
        <v/>
      </c>
      <c r="C18">
        <f>IF(COUNTIFS(데이터!$A$2:$A$20000,$B$1,데이터!$E$2:$E$20000,$A18)=0,"",SUMIFS(데이터!$C$2:$C$20000,데이터!$A$2:$A$20000,$B$1,데이터!$E$2:$E$20000,$A18))</f>
        <v/>
      </c>
      <c r="D18">
        <f>IF(COUNTIFS(데이터!$A$2:$A$20000,$B$1,데이터!$E$2:$E$20000,$A18)=0,"",SUMIFS(데이터!$D$2:$D$20000,데이터!$A$2:$A$20000,$B$1,데이터!$E$2:$E$20000,$A18))</f>
        <v/>
      </c>
    </row>
    <row r="19">
      <c r="A19" t="n">
        <v>95</v>
      </c>
      <c r="B19" s="3">
        <f>IF(COUNTIFS(데이터!$A$2:$A$20000,$B$1,데이터!$E$2:$E$20000,$A19)=0,"",SUMIFS(데이터!$B$2:$B$20000,데이터!$A$2:$A$20000,$B$1,데이터!$E$2:$E$20000,$A19))</f>
        <v/>
      </c>
      <c r="C19">
        <f>IF(COUNTIFS(데이터!$A$2:$A$20000,$B$1,데이터!$E$2:$E$20000,$A19)=0,"",SUMIFS(데이터!$C$2:$C$20000,데이터!$A$2:$A$20000,$B$1,데이터!$E$2:$E$20000,$A19))</f>
        <v/>
      </c>
      <c r="D19">
        <f>IF(COUNTIFS(데이터!$A$2:$A$20000,$B$1,데이터!$E$2:$E$20000,$A19)=0,"",SUMIFS(데이터!$D$2:$D$20000,데이터!$A$2:$A$20000,$B$1,데이터!$E$2:$E$20000,$A19))</f>
        <v/>
      </c>
    </row>
    <row r="20">
      <c r="A20" t="n">
        <v>94</v>
      </c>
      <c r="B20" s="3">
        <f>IF(COUNTIFS(데이터!$A$2:$A$20000,$B$1,데이터!$E$2:$E$20000,$A20)=0,"",SUMIFS(데이터!$B$2:$B$20000,데이터!$A$2:$A$20000,$B$1,데이터!$E$2:$E$20000,$A20))</f>
        <v/>
      </c>
      <c r="C20">
        <f>IF(COUNTIFS(데이터!$A$2:$A$20000,$B$1,데이터!$E$2:$E$20000,$A20)=0,"",SUMIFS(데이터!$C$2:$C$20000,데이터!$A$2:$A$20000,$B$1,데이터!$E$2:$E$20000,$A20))</f>
        <v/>
      </c>
      <c r="D20">
        <f>IF(COUNTIFS(데이터!$A$2:$A$20000,$B$1,데이터!$E$2:$E$20000,$A20)=0,"",SUMIFS(데이터!$D$2:$D$20000,데이터!$A$2:$A$20000,$B$1,데이터!$E$2:$E$20000,$A20))</f>
        <v/>
      </c>
    </row>
    <row r="21">
      <c r="A21" t="n">
        <v>93</v>
      </c>
      <c r="B21" s="3">
        <f>IF(COUNTIFS(데이터!$A$2:$A$20000,$B$1,데이터!$E$2:$E$20000,$A21)=0,"",SUMIFS(데이터!$B$2:$B$20000,데이터!$A$2:$A$20000,$B$1,데이터!$E$2:$E$20000,$A21))</f>
        <v/>
      </c>
      <c r="C21">
        <f>IF(COUNTIFS(데이터!$A$2:$A$20000,$B$1,데이터!$E$2:$E$20000,$A21)=0,"",SUMIFS(데이터!$C$2:$C$20000,데이터!$A$2:$A$20000,$B$1,데이터!$E$2:$E$20000,$A21))</f>
        <v/>
      </c>
      <c r="D21">
        <f>IF(COUNTIFS(데이터!$A$2:$A$20000,$B$1,데이터!$E$2:$E$20000,$A21)=0,"",SUMIFS(데이터!$D$2:$D$20000,데이터!$A$2:$A$20000,$B$1,데이터!$E$2:$E$20000,$A21))</f>
        <v/>
      </c>
    </row>
    <row r="22">
      <c r="A22" t="n">
        <v>92</v>
      </c>
      <c r="B22" s="3">
        <f>IF(COUNTIFS(데이터!$A$2:$A$20000,$B$1,데이터!$E$2:$E$20000,$A22)=0,"",SUMIFS(데이터!$B$2:$B$20000,데이터!$A$2:$A$20000,$B$1,데이터!$E$2:$E$20000,$A22))</f>
        <v/>
      </c>
      <c r="C22">
        <f>IF(COUNTIFS(데이터!$A$2:$A$20000,$B$1,데이터!$E$2:$E$20000,$A22)=0,"",SUMIFS(데이터!$C$2:$C$20000,데이터!$A$2:$A$20000,$B$1,데이터!$E$2:$E$20000,$A22))</f>
        <v/>
      </c>
      <c r="D22">
        <f>IF(COUNTIFS(데이터!$A$2:$A$20000,$B$1,데이터!$E$2:$E$20000,$A22)=0,"",SUMIFS(데이터!$D$2:$D$20000,데이터!$A$2:$A$20000,$B$1,데이터!$E$2:$E$20000,$A22))</f>
        <v/>
      </c>
    </row>
    <row r="23">
      <c r="A23" t="n">
        <v>91</v>
      </c>
      <c r="B23" s="3">
        <f>IF(COUNTIFS(데이터!$A$2:$A$20000,$B$1,데이터!$E$2:$E$20000,$A23)=0,"",SUMIFS(데이터!$B$2:$B$20000,데이터!$A$2:$A$20000,$B$1,데이터!$E$2:$E$20000,$A23))</f>
        <v/>
      </c>
      <c r="C23">
        <f>IF(COUNTIFS(데이터!$A$2:$A$20000,$B$1,데이터!$E$2:$E$20000,$A23)=0,"",SUMIFS(데이터!$C$2:$C$20000,데이터!$A$2:$A$20000,$B$1,데이터!$E$2:$E$20000,$A23))</f>
        <v/>
      </c>
      <c r="D23">
        <f>IF(COUNTIFS(데이터!$A$2:$A$20000,$B$1,데이터!$E$2:$E$20000,$A23)=0,"",SUMIFS(데이터!$D$2:$D$20000,데이터!$A$2:$A$20000,$B$1,데이터!$E$2:$E$20000,$A23))</f>
        <v/>
      </c>
    </row>
    <row r="24">
      <c r="A24" t="n">
        <v>90</v>
      </c>
      <c r="B24" s="3">
        <f>IF(COUNTIFS(데이터!$A$2:$A$20000,$B$1,데이터!$E$2:$E$20000,$A24)=0,"",SUMIFS(데이터!$B$2:$B$20000,데이터!$A$2:$A$20000,$B$1,데이터!$E$2:$E$20000,$A24))</f>
        <v/>
      </c>
      <c r="C24">
        <f>IF(COUNTIFS(데이터!$A$2:$A$20000,$B$1,데이터!$E$2:$E$20000,$A24)=0,"",SUMIFS(데이터!$C$2:$C$20000,데이터!$A$2:$A$20000,$B$1,데이터!$E$2:$E$20000,$A24))</f>
        <v/>
      </c>
      <c r="D24">
        <f>IF(COUNTIFS(데이터!$A$2:$A$20000,$B$1,데이터!$E$2:$E$20000,$A24)=0,"",SUMIFS(데이터!$D$2:$D$20000,데이터!$A$2:$A$20000,$B$1,데이터!$E$2:$E$20000,$A24))</f>
        <v/>
      </c>
    </row>
    <row r="25">
      <c r="A25" t="n">
        <v>89</v>
      </c>
      <c r="B25" s="3">
        <f>IF(COUNTIFS(데이터!$A$2:$A$20000,$B$1,데이터!$E$2:$E$20000,$A25)=0,"",SUMIFS(데이터!$B$2:$B$20000,데이터!$A$2:$A$20000,$B$1,데이터!$E$2:$E$20000,$A25))</f>
        <v/>
      </c>
      <c r="C25">
        <f>IF(COUNTIFS(데이터!$A$2:$A$20000,$B$1,데이터!$E$2:$E$20000,$A25)=0,"",SUMIFS(데이터!$C$2:$C$20000,데이터!$A$2:$A$20000,$B$1,데이터!$E$2:$E$20000,$A25))</f>
        <v/>
      </c>
      <c r="D25">
        <f>IF(COUNTIFS(데이터!$A$2:$A$20000,$B$1,데이터!$E$2:$E$20000,$A25)=0,"",SUMIFS(데이터!$D$2:$D$20000,데이터!$A$2:$A$20000,$B$1,데이터!$E$2:$E$20000,$A25))</f>
        <v/>
      </c>
    </row>
    <row r="26">
      <c r="A26" t="n">
        <v>88</v>
      </c>
      <c r="B26" s="3">
        <f>IF(COUNTIFS(데이터!$A$2:$A$20000,$B$1,데이터!$E$2:$E$20000,$A26)=0,"",SUMIFS(데이터!$B$2:$B$20000,데이터!$A$2:$A$20000,$B$1,데이터!$E$2:$E$20000,$A26))</f>
        <v/>
      </c>
      <c r="C26">
        <f>IF(COUNTIFS(데이터!$A$2:$A$20000,$B$1,데이터!$E$2:$E$20000,$A26)=0,"",SUMIFS(데이터!$C$2:$C$20000,데이터!$A$2:$A$20000,$B$1,데이터!$E$2:$E$20000,$A26))</f>
        <v/>
      </c>
      <c r="D26">
        <f>IF(COUNTIFS(데이터!$A$2:$A$20000,$B$1,데이터!$E$2:$E$20000,$A26)=0,"",SUMIFS(데이터!$D$2:$D$20000,데이터!$A$2:$A$20000,$B$1,데이터!$E$2:$E$20000,$A26))</f>
        <v/>
      </c>
    </row>
    <row r="27">
      <c r="A27" t="n">
        <v>87</v>
      </c>
      <c r="B27" s="3">
        <f>IF(COUNTIFS(데이터!$A$2:$A$20000,$B$1,데이터!$E$2:$E$20000,$A27)=0,"",SUMIFS(데이터!$B$2:$B$20000,데이터!$A$2:$A$20000,$B$1,데이터!$E$2:$E$20000,$A27))</f>
        <v/>
      </c>
      <c r="C27">
        <f>IF(COUNTIFS(데이터!$A$2:$A$20000,$B$1,데이터!$E$2:$E$20000,$A27)=0,"",SUMIFS(데이터!$C$2:$C$20000,데이터!$A$2:$A$20000,$B$1,데이터!$E$2:$E$20000,$A27))</f>
        <v/>
      </c>
      <c r="D27">
        <f>IF(COUNTIFS(데이터!$A$2:$A$20000,$B$1,데이터!$E$2:$E$20000,$A27)=0,"",SUMIFS(데이터!$D$2:$D$20000,데이터!$A$2:$A$20000,$B$1,데이터!$E$2:$E$20000,$A27))</f>
        <v/>
      </c>
    </row>
    <row r="28">
      <c r="A28" t="n">
        <v>86</v>
      </c>
      <c r="B28" s="3">
        <f>IF(COUNTIFS(데이터!$A$2:$A$20000,$B$1,데이터!$E$2:$E$20000,$A28)=0,"",SUMIFS(데이터!$B$2:$B$20000,데이터!$A$2:$A$20000,$B$1,데이터!$E$2:$E$20000,$A28))</f>
        <v/>
      </c>
      <c r="C28">
        <f>IF(COUNTIFS(데이터!$A$2:$A$20000,$B$1,데이터!$E$2:$E$20000,$A28)=0,"",SUMIFS(데이터!$C$2:$C$20000,데이터!$A$2:$A$20000,$B$1,데이터!$E$2:$E$20000,$A28))</f>
        <v/>
      </c>
      <c r="D28">
        <f>IF(COUNTIFS(데이터!$A$2:$A$20000,$B$1,데이터!$E$2:$E$20000,$A28)=0,"",SUMIFS(데이터!$D$2:$D$20000,데이터!$A$2:$A$20000,$B$1,데이터!$E$2:$E$20000,$A28))</f>
        <v/>
      </c>
    </row>
    <row r="29">
      <c r="A29" t="n">
        <v>85</v>
      </c>
      <c r="B29" s="3">
        <f>IF(COUNTIFS(데이터!$A$2:$A$20000,$B$1,데이터!$E$2:$E$20000,$A29)=0,"",SUMIFS(데이터!$B$2:$B$20000,데이터!$A$2:$A$20000,$B$1,데이터!$E$2:$E$20000,$A29))</f>
        <v/>
      </c>
      <c r="C29">
        <f>IF(COUNTIFS(데이터!$A$2:$A$20000,$B$1,데이터!$E$2:$E$20000,$A29)=0,"",SUMIFS(데이터!$C$2:$C$20000,데이터!$A$2:$A$20000,$B$1,데이터!$E$2:$E$20000,$A29))</f>
        <v/>
      </c>
      <c r="D29">
        <f>IF(COUNTIFS(데이터!$A$2:$A$20000,$B$1,데이터!$E$2:$E$20000,$A29)=0,"",SUMIFS(데이터!$D$2:$D$20000,데이터!$A$2:$A$20000,$B$1,데이터!$E$2:$E$20000,$A29))</f>
        <v/>
      </c>
    </row>
    <row r="30">
      <c r="A30" t="n">
        <v>84</v>
      </c>
      <c r="B30" s="3">
        <f>IF(COUNTIFS(데이터!$A$2:$A$20000,$B$1,데이터!$E$2:$E$20000,$A30)=0,"",SUMIFS(데이터!$B$2:$B$20000,데이터!$A$2:$A$20000,$B$1,데이터!$E$2:$E$20000,$A30))</f>
        <v/>
      </c>
      <c r="C30">
        <f>IF(COUNTIFS(데이터!$A$2:$A$20000,$B$1,데이터!$E$2:$E$20000,$A30)=0,"",SUMIFS(데이터!$C$2:$C$20000,데이터!$A$2:$A$20000,$B$1,데이터!$E$2:$E$20000,$A30))</f>
        <v/>
      </c>
      <c r="D30">
        <f>IF(COUNTIFS(데이터!$A$2:$A$20000,$B$1,데이터!$E$2:$E$20000,$A30)=0,"",SUMIFS(데이터!$D$2:$D$20000,데이터!$A$2:$A$20000,$B$1,데이터!$E$2:$E$20000,$A30))</f>
        <v/>
      </c>
    </row>
    <row r="31">
      <c r="A31" t="n">
        <v>83</v>
      </c>
      <c r="B31" s="3">
        <f>IF(COUNTIFS(데이터!$A$2:$A$20000,$B$1,데이터!$E$2:$E$20000,$A31)=0,"",SUMIFS(데이터!$B$2:$B$20000,데이터!$A$2:$A$20000,$B$1,데이터!$E$2:$E$20000,$A31))</f>
        <v/>
      </c>
      <c r="C31">
        <f>IF(COUNTIFS(데이터!$A$2:$A$20000,$B$1,데이터!$E$2:$E$20000,$A31)=0,"",SUMIFS(데이터!$C$2:$C$20000,데이터!$A$2:$A$20000,$B$1,데이터!$E$2:$E$20000,$A31))</f>
        <v/>
      </c>
      <c r="D31">
        <f>IF(COUNTIFS(데이터!$A$2:$A$20000,$B$1,데이터!$E$2:$E$20000,$A31)=0,"",SUMIFS(데이터!$D$2:$D$20000,데이터!$A$2:$A$20000,$B$1,데이터!$E$2:$E$20000,$A31))</f>
        <v/>
      </c>
    </row>
    <row r="32">
      <c r="A32" t="n">
        <v>82</v>
      </c>
      <c r="B32" s="3">
        <f>IF(COUNTIFS(데이터!$A$2:$A$20000,$B$1,데이터!$E$2:$E$20000,$A32)=0,"",SUMIFS(데이터!$B$2:$B$20000,데이터!$A$2:$A$20000,$B$1,데이터!$E$2:$E$20000,$A32))</f>
        <v/>
      </c>
      <c r="C32">
        <f>IF(COUNTIFS(데이터!$A$2:$A$20000,$B$1,데이터!$E$2:$E$20000,$A32)=0,"",SUMIFS(데이터!$C$2:$C$20000,데이터!$A$2:$A$20000,$B$1,데이터!$E$2:$E$20000,$A32))</f>
        <v/>
      </c>
      <c r="D32">
        <f>IF(COUNTIFS(데이터!$A$2:$A$20000,$B$1,데이터!$E$2:$E$20000,$A32)=0,"",SUMIFS(데이터!$D$2:$D$20000,데이터!$A$2:$A$20000,$B$1,데이터!$E$2:$E$20000,$A32))</f>
        <v/>
      </c>
    </row>
    <row r="33">
      <c r="A33" t="n">
        <v>81</v>
      </c>
      <c r="B33" s="3">
        <f>IF(COUNTIFS(데이터!$A$2:$A$20000,$B$1,데이터!$E$2:$E$20000,$A33)=0,"",SUMIFS(데이터!$B$2:$B$20000,데이터!$A$2:$A$20000,$B$1,데이터!$E$2:$E$20000,$A33))</f>
        <v/>
      </c>
      <c r="C33">
        <f>IF(COUNTIFS(데이터!$A$2:$A$20000,$B$1,데이터!$E$2:$E$20000,$A33)=0,"",SUMIFS(데이터!$C$2:$C$20000,데이터!$A$2:$A$20000,$B$1,데이터!$E$2:$E$20000,$A33))</f>
        <v/>
      </c>
      <c r="D33">
        <f>IF(COUNTIFS(데이터!$A$2:$A$20000,$B$1,데이터!$E$2:$E$20000,$A33)=0,"",SUMIFS(데이터!$D$2:$D$20000,데이터!$A$2:$A$20000,$B$1,데이터!$E$2:$E$20000,$A33))</f>
        <v/>
      </c>
    </row>
    <row r="34">
      <c r="A34" t="n">
        <v>80</v>
      </c>
      <c r="B34" s="3">
        <f>IF(COUNTIFS(데이터!$A$2:$A$20000,$B$1,데이터!$E$2:$E$20000,$A34)=0,"",SUMIFS(데이터!$B$2:$B$20000,데이터!$A$2:$A$20000,$B$1,데이터!$E$2:$E$20000,$A34))</f>
        <v/>
      </c>
      <c r="C34">
        <f>IF(COUNTIFS(데이터!$A$2:$A$20000,$B$1,데이터!$E$2:$E$20000,$A34)=0,"",SUMIFS(데이터!$C$2:$C$20000,데이터!$A$2:$A$20000,$B$1,데이터!$E$2:$E$20000,$A34))</f>
        <v/>
      </c>
      <c r="D34">
        <f>IF(COUNTIFS(데이터!$A$2:$A$20000,$B$1,데이터!$E$2:$E$20000,$A34)=0,"",SUMIFS(데이터!$D$2:$D$20000,데이터!$A$2:$A$20000,$B$1,데이터!$E$2:$E$20000,$A34))</f>
        <v/>
      </c>
    </row>
    <row r="35">
      <c r="A35" t="n">
        <v>79</v>
      </c>
      <c r="B35" s="3">
        <f>IF(COUNTIFS(데이터!$A$2:$A$20000,$B$1,데이터!$E$2:$E$20000,$A35)=0,"",SUMIFS(데이터!$B$2:$B$20000,데이터!$A$2:$A$20000,$B$1,데이터!$E$2:$E$20000,$A35))</f>
        <v/>
      </c>
      <c r="C35">
        <f>IF(COUNTIFS(데이터!$A$2:$A$20000,$B$1,데이터!$E$2:$E$20000,$A35)=0,"",SUMIFS(데이터!$C$2:$C$20000,데이터!$A$2:$A$20000,$B$1,데이터!$E$2:$E$20000,$A35))</f>
        <v/>
      </c>
      <c r="D35">
        <f>IF(COUNTIFS(데이터!$A$2:$A$20000,$B$1,데이터!$E$2:$E$20000,$A35)=0,"",SUMIFS(데이터!$D$2:$D$20000,데이터!$A$2:$A$20000,$B$1,데이터!$E$2:$E$20000,$A35))</f>
        <v/>
      </c>
    </row>
    <row r="36">
      <c r="A36" t="n">
        <v>78</v>
      </c>
      <c r="B36" s="3">
        <f>IF(COUNTIFS(데이터!$A$2:$A$20000,$B$1,데이터!$E$2:$E$20000,$A36)=0,"",SUMIFS(데이터!$B$2:$B$20000,데이터!$A$2:$A$20000,$B$1,데이터!$E$2:$E$20000,$A36))</f>
        <v/>
      </c>
      <c r="C36">
        <f>IF(COUNTIFS(데이터!$A$2:$A$20000,$B$1,데이터!$E$2:$E$20000,$A36)=0,"",SUMIFS(데이터!$C$2:$C$20000,데이터!$A$2:$A$20000,$B$1,데이터!$E$2:$E$20000,$A36))</f>
        <v/>
      </c>
      <c r="D36">
        <f>IF(COUNTIFS(데이터!$A$2:$A$20000,$B$1,데이터!$E$2:$E$20000,$A36)=0,"",SUMIFS(데이터!$D$2:$D$20000,데이터!$A$2:$A$20000,$B$1,데이터!$E$2:$E$20000,$A36))</f>
        <v/>
      </c>
    </row>
    <row r="37">
      <c r="A37" t="n">
        <v>77</v>
      </c>
      <c r="B37" s="3">
        <f>IF(COUNTIFS(데이터!$A$2:$A$20000,$B$1,데이터!$E$2:$E$20000,$A37)=0,"",SUMIFS(데이터!$B$2:$B$20000,데이터!$A$2:$A$20000,$B$1,데이터!$E$2:$E$20000,$A37))</f>
        <v/>
      </c>
      <c r="C37">
        <f>IF(COUNTIFS(데이터!$A$2:$A$20000,$B$1,데이터!$E$2:$E$20000,$A37)=0,"",SUMIFS(데이터!$C$2:$C$20000,데이터!$A$2:$A$20000,$B$1,데이터!$E$2:$E$20000,$A37))</f>
        <v/>
      </c>
      <c r="D37">
        <f>IF(COUNTIFS(데이터!$A$2:$A$20000,$B$1,데이터!$E$2:$E$20000,$A37)=0,"",SUMIFS(데이터!$D$2:$D$20000,데이터!$A$2:$A$20000,$B$1,데이터!$E$2:$E$20000,$A37))</f>
        <v/>
      </c>
    </row>
    <row r="38">
      <c r="A38" t="n">
        <v>76</v>
      </c>
      <c r="B38" s="3">
        <f>IF(COUNTIFS(데이터!$A$2:$A$20000,$B$1,데이터!$E$2:$E$20000,$A38)=0,"",SUMIFS(데이터!$B$2:$B$20000,데이터!$A$2:$A$20000,$B$1,데이터!$E$2:$E$20000,$A38))</f>
        <v/>
      </c>
      <c r="C38">
        <f>IF(COUNTIFS(데이터!$A$2:$A$20000,$B$1,데이터!$E$2:$E$20000,$A38)=0,"",SUMIFS(데이터!$C$2:$C$20000,데이터!$A$2:$A$20000,$B$1,데이터!$E$2:$E$20000,$A38))</f>
        <v/>
      </c>
      <c r="D38">
        <f>IF(COUNTIFS(데이터!$A$2:$A$20000,$B$1,데이터!$E$2:$E$20000,$A38)=0,"",SUMIFS(데이터!$D$2:$D$20000,데이터!$A$2:$A$20000,$B$1,데이터!$E$2:$E$20000,$A38))</f>
        <v/>
      </c>
    </row>
    <row r="39">
      <c r="A39" t="n">
        <v>75</v>
      </c>
      <c r="B39" s="3">
        <f>IF(COUNTIFS(데이터!$A$2:$A$20000,$B$1,데이터!$E$2:$E$20000,$A39)=0,"",SUMIFS(데이터!$B$2:$B$20000,데이터!$A$2:$A$20000,$B$1,데이터!$E$2:$E$20000,$A39))</f>
        <v/>
      </c>
      <c r="C39">
        <f>IF(COUNTIFS(데이터!$A$2:$A$20000,$B$1,데이터!$E$2:$E$20000,$A39)=0,"",SUMIFS(데이터!$C$2:$C$20000,데이터!$A$2:$A$20000,$B$1,데이터!$E$2:$E$20000,$A39))</f>
        <v/>
      </c>
      <c r="D39">
        <f>IF(COUNTIFS(데이터!$A$2:$A$20000,$B$1,데이터!$E$2:$E$20000,$A39)=0,"",SUMIFS(데이터!$D$2:$D$20000,데이터!$A$2:$A$20000,$B$1,데이터!$E$2:$E$20000,$A39))</f>
        <v/>
      </c>
    </row>
    <row r="40">
      <c r="A40" t="n">
        <v>74</v>
      </c>
      <c r="B40" s="3">
        <f>IF(COUNTIFS(데이터!$A$2:$A$20000,$B$1,데이터!$E$2:$E$20000,$A40)=0,"",SUMIFS(데이터!$B$2:$B$20000,데이터!$A$2:$A$20000,$B$1,데이터!$E$2:$E$20000,$A40))</f>
        <v/>
      </c>
      <c r="C40">
        <f>IF(COUNTIFS(데이터!$A$2:$A$20000,$B$1,데이터!$E$2:$E$20000,$A40)=0,"",SUMIFS(데이터!$C$2:$C$20000,데이터!$A$2:$A$20000,$B$1,데이터!$E$2:$E$20000,$A40))</f>
        <v/>
      </c>
      <c r="D40">
        <f>IF(COUNTIFS(데이터!$A$2:$A$20000,$B$1,데이터!$E$2:$E$20000,$A40)=0,"",SUMIFS(데이터!$D$2:$D$20000,데이터!$A$2:$A$20000,$B$1,데이터!$E$2:$E$20000,$A40))</f>
        <v/>
      </c>
    </row>
    <row r="41">
      <c r="A41" t="n">
        <v>73</v>
      </c>
      <c r="B41" s="3">
        <f>IF(COUNTIFS(데이터!$A$2:$A$20000,$B$1,데이터!$E$2:$E$20000,$A41)=0,"",SUMIFS(데이터!$B$2:$B$20000,데이터!$A$2:$A$20000,$B$1,데이터!$E$2:$E$20000,$A41))</f>
        <v/>
      </c>
      <c r="C41">
        <f>IF(COUNTIFS(데이터!$A$2:$A$20000,$B$1,데이터!$E$2:$E$20000,$A41)=0,"",SUMIFS(데이터!$C$2:$C$20000,데이터!$A$2:$A$20000,$B$1,데이터!$E$2:$E$20000,$A41))</f>
        <v/>
      </c>
      <c r="D41">
        <f>IF(COUNTIFS(데이터!$A$2:$A$20000,$B$1,데이터!$E$2:$E$20000,$A41)=0,"",SUMIFS(데이터!$D$2:$D$20000,데이터!$A$2:$A$20000,$B$1,데이터!$E$2:$E$20000,$A41))</f>
        <v/>
      </c>
    </row>
    <row r="42">
      <c r="A42" t="n">
        <v>72</v>
      </c>
      <c r="B42" s="3">
        <f>IF(COUNTIFS(데이터!$A$2:$A$20000,$B$1,데이터!$E$2:$E$20000,$A42)=0,"",SUMIFS(데이터!$B$2:$B$20000,데이터!$A$2:$A$20000,$B$1,데이터!$E$2:$E$20000,$A42))</f>
        <v/>
      </c>
      <c r="C42">
        <f>IF(COUNTIFS(데이터!$A$2:$A$20000,$B$1,데이터!$E$2:$E$20000,$A42)=0,"",SUMIFS(데이터!$C$2:$C$20000,데이터!$A$2:$A$20000,$B$1,데이터!$E$2:$E$20000,$A42))</f>
        <v/>
      </c>
      <c r="D42">
        <f>IF(COUNTIFS(데이터!$A$2:$A$20000,$B$1,데이터!$E$2:$E$20000,$A42)=0,"",SUMIFS(데이터!$D$2:$D$20000,데이터!$A$2:$A$20000,$B$1,데이터!$E$2:$E$20000,$A42))</f>
        <v/>
      </c>
    </row>
    <row r="43">
      <c r="A43" t="n">
        <v>71</v>
      </c>
      <c r="B43" s="3">
        <f>IF(COUNTIFS(데이터!$A$2:$A$20000,$B$1,데이터!$E$2:$E$20000,$A43)=0,"",SUMIFS(데이터!$B$2:$B$20000,데이터!$A$2:$A$20000,$B$1,데이터!$E$2:$E$20000,$A43))</f>
        <v/>
      </c>
      <c r="C43">
        <f>IF(COUNTIFS(데이터!$A$2:$A$20000,$B$1,데이터!$E$2:$E$20000,$A43)=0,"",SUMIFS(데이터!$C$2:$C$20000,데이터!$A$2:$A$20000,$B$1,데이터!$E$2:$E$20000,$A43))</f>
        <v/>
      </c>
      <c r="D43">
        <f>IF(COUNTIFS(데이터!$A$2:$A$20000,$B$1,데이터!$E$2:$E$20000,$A43)=0,"",SUMIFS(데이터!$D$2:$D$20000,데이터!$A$2:$A$20000,$B$1,데이터!$E$2:$E$20000,$A43))</f>
        <v/>
      </c>
    </row>
    <row r="44">
      <c r="A44" t="n">
        <v>70</v>
      </c>
      <c r="B44" s="3">
        <f>IF(COUNTIFS(데이터!$A$2:$A$20000,$B$1,데이터!$E$2:$E$20000,$A44)=0,"",SUMIFS(데이터!$B$2:$B$20000,데이터!$A$2:$A$20000,$B$1,데이터!$E$2:$E$20000,$A44))</f>
        <v/>
      </c>
      <c r="C44">
        <f>IF(COUNTIFS(데이터!$A$2:$A$20000,$B$1,데이터!$E$2:$E$20000,$A44)=0,"",SUMIFS(데이터!$C$2:$C$20000,데이터!$A$2:$A$20000,$B$1,데이터!$E$2:$E$20000,$A44))</f>
        <v/>
      </c>
      <c r="D44">
        <f>IF(COUNTIFS(데이터!$A$2:$A$20000,$B$1,데이터!$E$2:$E$20000,$A44)=0,"",SUMIFS(데이터!$D$2:$D$20000,데이터!$A$2:$A$20000,$B$1,데이터!$E$2:$E$20000,$A44))</f>
        <v/>
      </c>
    </row>
    <row r="45">
      <c r="A45" t="n">
        <v>69</v>
      </c>
      <c r="B45" s="3">
        <f>IF(COUNTIFS(데이터!$A$2:$A$20000,$B$1,데이터!$E$2:$E$20000,$A45)=0,"",SUMIFS(데이터!$B$2:$B$20000,데이터!$A$2:$A$20000,$B$1,데이터!$E$2:$E$20000,$A45))</f>
        <v/>
      </c>
      <c r="C45">
        <f>IF(COUNTIFS(데이터!$A$2:$A$20000,$B$1,데이터!$E$2:$E$20000,$A45)=0,"",SUMIFS(데이터!$C$2:$C$20000,데이터!$A$2:$A$20000,$B$1,데이터!$E$2:$E$20000,$A45))</f>
        <v/>
      </c>
      <c r="D45">
        <f>IF(COUNTIFS(데이터!$A$2:$A$20000,$B$1,데이터!$E$2:$E$20000,$A45)=0,"",SUMIFS(데이터!$D$2:$D$20000,데이터!$A$2:$A$20000,$B$1,데이터!$E$2:$E$20000,$A45))</f>
        <v/>
      </c>
    </row>
    <row r="46">
      <c r="A46" t="n">
        <v>68</v>
      </c>
      <c r="B46" s="3">
        <f>IF(COUNTIFS(데이터!$A$2:$A$20000,$B$1,데이터!$E$2:$E$20000,$A46)=0,"",SUMIFS(데이터!$B$2:$B$20000,데이터!$A$2:$A$20000,$B$1,데이터!$E$2:$E$20000,$A46))</f>
        <v/>
      </c>
      <c r="C46">
        <f>IF(COUNTIFS(데이터!$A$2:$A$20000,$B$1,데이터!$E$2:$E$20000,$A46)=0,"",SUMIFS(데이터!$C$2:$C$20000,데이터!$A$2:$A$20000,$B$1,데이터!$E$2:$E$20000,$A46))</f>
        <v/>
      </c>
      <c r="D46">
        <f>IF(COUNTIFS(데이터!$A$2:$A$20000,$B$1,데이터!$E$2:$E$20000,$A46)=0,"",SUMIFS(데이터!$D$2:$D$20000,데이터!$A$2:$A$20000,$B$1,데이터!$E$2:$E$20000,$A46))</f>
        <v/>
      </c>
    </row>
    <row r="47">
      <c r="A47" t="n">
        <v>67</v>
      </c>
      <c r="B47" s="3">
        <f>IF(COUNTIFS(데이터!$A$2:$A$20000,$B$1,데이터!$E$2:$E$20000,$A47)=0,"",SUMIFS(데이터!$B$2:$B$20000,데이터!$A$2:$A$20000,$B$1,데이터!$E$2:$E$20000,$A47))</f>
        <v/>
      </c>
      <c r="C47">
        <f>IF(COUNTIFS(데이터!$A$2:$A$20000,$B$1,데이터!$E$2:$E$20000,$A47)=0,"",SUMIFS(데이터!$C$2:$C$20000,데이터!$A$2:$A$20000,$B$1,데이터!$E$2:$E$20000,$A47))</f>
        <v/>
      </c>
      <c r="D47">
        <f>IF(COUNTIFS(데이터!$A$2:$A$20000,$B$1,데이터!$E$2:$E$20000,$A47)=0,"",SUMIFS(데이터!$D$2:$D$20000,데이터!$A$2:$A$20000,$B$1,데이터!$E$2:$E$20000,$A47))</f>
        <v/>
      </c>
    </row>
    <row r="48">
      <c r="A48" t="n">
        <v>66</v>
      </c>
      <c r="B48" s="3">
        <f>IF(COUNTIFS(데이터!$A$2:$A$20000,$B$1,데이터!$E$2:$E$20000,$A48)=0,"",SUMIFS(데이터!$B$2:$B$20000,데이터!$A$2:$A$20000,$B$1,데이터!$E$2:$E$20000,$A48))</f>
        <v/>
      </c>
      <c r="C48">
        <f>IF(COUNTIFS(데이터!$A$2:$A$20000,$B$1,데이터!$E$2:$E$20000,$A48)=0,"",SUMIFS(데이터!$C$2:$C$20000,데이터!$A$2:$A$20000,$B$1,데이터!$E$2:$E$20000,$A48))</f>
        <v/>
      </c>
      <c r="D48">
        <f>IF(COUNTIFS(데이터!$A$2:$A$20000,$B$1,데이터!$E$2:$E$20000,$A48)=0,"",SUMIFS(데이터!$D$2:$D$20000,데이터!$A$2:$A$20000,$B$1,데이터!$E$2:$E$20000,$A48))</f>
        <v/>
      </c>
    </row>
    <row r="49">
      <c r="A49" t="n">
        <v>65</v>
      </c>
      <c r="B49" s="3">
        <f>IF(COUNTIFS(데이터!$A$2:$A$20000,$B$1,데이터!$E$2:$E$20000,$A49)=0,"",SUMIFS(데이터!$B$2:$B$20000,데이터!$A$2:$A$20000,$B$1,데이터!$E$2:$E$20000,$A49))</f>
        <v/>
      </c>
      <c r="C49">
        <f>IF(COUNTIFS(데이터!$A$2:$A$20000,$B$1,데이터!$E$2:$E$20000,$A49)=0,"",SUMIFS(데이터!$C$2:$C$20000,데이터!$A$2:$A$20000,$B$1,데이터!$E$2:$E$20000,$A49))</f>
        <v/>
      </c>
      <c r="D49">
        <f>IF(COUNTIFS(데이터!$A$2:$A$20000,$B$1,데이터!$E$2:$E$20000,$A49)=0,"",SUMIFS(데이터!$D$2:$D$20000,데이터!$A$2:$A$20000,$B$1,데이터!$E$2:$E$20000,$A49))</f>
        <v/>
      </c>
    </row>
    <row r="50">
      <c r="A50" t="n">
        <v>64</v>
      </c>
      <c r="B50" s="3">
        <f>IF(COUNTIFS(데이터!$A$2:$A$20000,$B$1,데이터!$E$2:$E$20000,$A50)=0,"",SUMIFS(데이터!$B$2:$B$20000,데이터!$A$2:$A$20000,$B$1,데이터!$E$2:$E$20000,$A50))</f>
        <v/>
      </c>
      <c r="C50">
        <f>IF(COUNTIFS(데이터!$A$2:$A$20000,$B$1,데이터!$E$2:$E$20000,$A50)=0,"",SUMIFS(데이터!$C$2:$C$20000,데이터!$A$2:$A$20000,$B$1,데이터!$E$2:$E$20000,$A50))</f>
        <v/>
      </c>
      <c r="D50">
        <f>IF(COUNTIFS(데이터!$A$2:$A$20000,$B$1,데이터!$E$2:$E$20000,$A50)=0,"",SUMIFS(데이터!$D$2:$D$20000,데이터!$A$2:$A$20000,$B$1,데이터!$E$2:$E$20000,$A50))</f>
        <v/>
      </c>
    </row>
    <row r="51">
      <c r="A51" t="n">
        <v>63</v>
      </c>
      <c r="B51" s="3">
        <f>IF(COUNTIFS(데이터!$A$2:$A$20000,$B$1,데이터!$E$2:$E$20000,$A51)=0,"",SUMIFS(데이터!$B$2:$B$20000,데이터!$A$2:$A$20000,$B$1,데이터!$E$2:$E$20000,$A51))</f>
        <v/>
      </c>
      <c r="C51">
        <f>IF(COUNTIFS(데이터!$A$2:$A$20000,$B$1,데이터!$E$2:$E$20000,$A51)=0,"",SUMIFS(데이터!$C$2:$C$20000,데이터!$A$2:$A$20000,$B$1,데이터!$E$2:$E$20000,$A51))</f>
        <v/>
      </c>
      <c r="D51">
        <f>IF(COUNTIFS(데이터!$A$2:$A$20000,$B$1,데이터!$E$2:$E$20000,$A51)=0,"",SUMIFS(데이터!$D$2:$D$20000,데이터!$A$2:$A$20000,$B$1,데이터!$E$2:$E$20000,$A51))</f>
        <v/>
      </c>
    </row>
    <row r="52">
      <c r="A52" t="n">
        <v>62</v>
      </c>
      <c r="B52" s="3">
        <f>IF(COUNTIFS(데이터!$A$2:$A$20000,$B$1,데이터!$E$2:$E$20000,$A52)=0,"",SUMIFS(데이터!$B$2:$B$20000,데이터!$A$2:$A$20000,$B$1,데이터!$E$2:$E$20000,$A52))</f>
        <v/>
      </c>
      <c r="C52">
        <f>IF(COUNTIFS(데이터!$A$2:$A$20000,$B$1,데이터!$E$2:$E$20000,$A52)=0,"",SUMIFS(데이터!$C$2:$C$20000,데이터!$A$2:$A$20000,$B$1,데이터!$E$2:$E$20000,$A52))</f>
        <v/>
      </c>
      <c r="D52">
        <f>IF(COUNTIFS(데이터!$A$2:$A$20000,$B$1,데이터!$E$2:$E$20000,$A52)=0,"",SUMIFS(데이터!$D$2:$D$20000,데이터!$A$2:$A$20000,$B$1,데이터!$E$2:$E$20000,$A52))</f>
        <v/>
      </c>
    </row>
    <row r="53">
      <c r="A53" t="n">
        <v>61</v>
      </c>
      <c r="B53" s="3">
        <f>IF(COUNTIFS(데이터!$A$2:$A$20000,$B$1,데이터!$E$2:$E$20000,$A53)=0,"",SUMIFS(데이터!$B$2:$B$20000,데이터!$A$2:$A$20000,$B$1,데이터!$E$2:$E$20000,$A53))</f>
        <v/>
      </c>
      <c r="C53">
        <f>IF(COUNTIFS(데이터!$A$2:$A$20000,$B$1,데이터!$E$2:$E$20000,$A53)=0,"",SUMIFS(데이터!$C$2:$C$20000,데이터!$A$2:$A$20000,$B$1,데이터!$E$2:$E$20000,$A53))</f>
        <v/>
      </c>
      <c r="D53">
        <f>IF(COUNTIFS(데이터!$A$2:$A$20000,$B$1,데이터!$E$2:$E$20000,$A53)=0,"",SUMIFS(데이터!$D$2:$D$20000,데이터!$A$2:$A$20000,$B$1,데이터!$E$2:$E$20000,$A53))</f>
        <v/>
      </c>
    </row>
    <row r="54">
      <c r="A54" t="n">
        <v>60</v>
      </c>
      <c r="B54" s="3">
        <f>IF(COUNTIFS(데이터!$A$2:$A$20000,$B$1,데이터!$E$2:$E$20000,$A54)=0,"",SUMIFS(데이터!$B$2:$B$20000,데이터!$A$2:$A$20000,$B$1,데이터!$E$2:$E$20000,$A54))</f>
        <v/>
      </c>
      <c r="C54">
        <f>IF(COUNTIFS(데이터!$A$2:$A$20000,$B$1,데이터!$E$2:$E$20000,$A54)=0,"",SUMIFS(데이터!$C$2:$C$20000,데이터!$A$2:$A$20000,$B$1,데이터!$E$2:$E$20000,$A54))</f>
        <v/>
      </c>
      <c r="D54">
        <f>IF(COUNTIFS(데이터!$A$2:$A$20000,$B$1,데이터!$E$2:$E$20000,$A54)=0,"",SUMIFS(데이터!$D$2:$D$20000,데이터!$A$2:$A$20000,$B$1,데이터!$E$2:$E$20000,$A54))</f>
        <v/>
      </c>
    </row>
    <row r="55">
      <c r="A55" t="n">
        <v>59</v>
      </c>
      <c r="B55" s="3">
        <f>IF(COUNTIFS(데이터!$A$2:$A$20000,$B$1,데이터!$E$2:$E$20000,$A55)=0,"",SUMIFS(데이터!$B$2:$B$20000,데이터!$A$2:$A$20000,$B$1,데이터!$E$2:$E$20000,$A55))</f>
        <v/>
      </c>
      <c r="C55">
        <f>IF(COUNTIFS(데이터!$A$2:$A$20000,$B$1,데이터!$E$2:$E$20000,$A55)=0,"",SUMIFS(데이터!$C$2:$C$20000,데이터!$A$2:$A$20000,$B$1,데이터!$E$2:$E$20000,$A55))</f>
        <v/>
      </c>
      <c r="D55">
        <f>IF(COUNTIFS(데이터!$A$2:$A$20000,$B$1,데이터!$E$2:$E$20000,$A55)=0,"",SUMIFS(데이터!$D$2:$D$20000,데이터!$A$2:$A$20000,$B$1,데이터!$E$2:$E$20000,$A55))</f>
        <v/>
      </c>
    </row>
    <row r="56">
      <c r="A56" t="n">
        <v>58</v>
      </c>
      <c r="B56" s="3">
        <f>IF(COUNTIFS(데이터!$A$2:$A$20000,$B$1,데이터!$E$2:$E$20000,$A56)=0,"",SUMIFS(데이터!$B$2:$B$20000,데이터!$A$2:$A$20000,$B$1,데이터!$E$2:$E$20000,$A56))</f>
        <v/>
      </c>
      <c r="C56">
        <f>IF(COUNTIFS(데이터!$A$2:$A$20000,$B$1,데이터!$E$2:$E$20000,$A56)=0,"",SUMIFS(데이터!$C$2:$C$20000,데이터!$A$2:$A$20000,$B$1,데이터!$E$2:$E$20000,$A56))</f>
        <v/>
      </c>
      <c r="D56">
        <f>IF(COUNTIFS(데이터!$A$2:$A$20000,$B$1,데이터!$E$2:$E$20000,$A56)=0,"",SUMIFS(데이터!$D$2:$D$20000,데이터!$A$2:$A$20000,$B$1,데이터!$E$2:$E$20000,$A56))</f>
        <v/>
      </c>
    </row>
    <row r="57">
      <c r="A57" t="n">
        <v>57</v>
      </c>
      <c r="B57" s="3">
        <f>IF(COUNTIFS(데이터!$A$2:$A$20000,$B$1,데이터!$E$2:$E$20000,$A57)=0,"",SUMIFS(데이터!$B$2:$B$20000,데이터!$A$2:$A$20000,$B$1,데이터!$E$2:$E$20000,$A57))</f>
        <v/>
      </c>
      <c r="C57">
        <f>IF(COUNTIFS(데이터!$A$2:$A$20000,$B$1,데이터!$E$2:$E$20000,$A57)=0,"",SUMIFS(데이터!$C$2:$C$20000,데이터!$A$2:$A$20000,$B$1,데이터!$E$2:$E$20000,$A57))</f>
        <v/>
      </c>
      <c r="D57">
        <f>IF(COUNTIFS(데이터!$A$2:$A$20000,$B$1,데이터!$E$2:$E$20000,$A57)=0,"",SUMIFS(데이터!$D$2:$D$20000,데이터!$A$2:$A$20000,$B$1,데이터!$E$2:$E$20000,$A57))</f>
        <v/>
      </c>
    </row>
    <row r="58">
      <c r="A58" t="n">
        <v>56</v>
      </c>
      <c r="B58" s="3">
        <f>IF(COUNTIFS(데이터!$A$2:$A$20000,$B$1,데이터!$E$2:$E$20000,$A58)=0,"",SUMIFS(데이터!$B$2:$B$20000,데이터!$A$2:$A$20000,$B$1,데이터!$E$2:$E$20000,$A58))</f>
        <v/>
      </c>
      <c r="C58">
        <f>IF(COUNTIFS(데이터!$A$2:$A$20000,$B$1,데이터!$E$2:$E$20000,$A58)=0,"",SUMIFS(데이터!$C$2:$C$20000,데이터!$A$2:$A$20000,$B$1,데이터!$E$2:$E$20000,$A58))</f>
        <v/>
      </c>
      <c r="D58">
        <f>IF(COUNTIFS(데이터!$A$2:$A$20000,$B$1,데이터!$E$2:$E$20000,$A58)=0,"",SUMIFS(데이터!$D$2:$D$20000,데이터!$A$2:$A$20000,$B$1,데이터!$E$2:$E$20000,$A58))</f>
        <v/>
      </c>
    </row>
    <row r="59">
      <c r="A59" t="n">
        <v>55</v>
      </c>
      <c r="B59" s="3">
        <f>IF(COUNTIFS(데이터!$A$2:$A$20000,$B$1,데이터!$E$2:$E$20000,$A59)=0,"",SUMIFS(데이터!$B$2:$B$20000,데이터!$A$2:$A$20000,$B$1,데이터!$E$2:$E$20000,$A59))</f>
        <v/>
      </c>
      <c r="C59">
        <f>IF(COUNTIFS(데이터!$A$2:$A$20000,$B$1,데이터!$E$2:$E$20000,$A59)=0,"",SUMIFS(데이터!$C$2:$C$20000,데이터!$A$2:$A$20000,$B$1,데이터!$E$2:$E$20000,$A59))</f>
        <v/>
      </c>
      <c r="D59">
        <f>IF(COUNTIFS(데이터!$A$2:$A$20000,$B$1,데이터!$E$2:$E$20000,$A59)=0,"",SUMIFS(데이터!$D$2:$D$20000,데이터!$A$2:$A$20000,$B$1,데이터!$E$2:$E$20000,$A59))</f>
        <v/>
      </c>
    </row>
    <row r="60">
      <c r="A60" t="n">
        <v>54</v>
      </c>
      <c r="B60" s="3">
        <f>IF(COUNTIFS(데이터!$A$2:$A$20000,$B$1,데이터!$E$2:$E$20000,$A60)=0,"",SUMIFS(데이터!$B$2:$B$20000,데이터!$A$2:$A$20000,$B$1,데이터!$E$2:$E$20000,$A60))</f>
        <v/>
      </c>
      <c r="C60">
        <f>IF(COUNTIFS(데이터!$A$2:$A$20000,$B$1,데이터!$E$2:$E$20000,$A60)=0,"",SUMIFS(데이터!$C$2:$C$20000,데이터!$A$2:$A$20000,$B$1,데이터!$E$2:$E$20000,$A60))</f>
        <v/>
      </c>
      <c r="D60">
        <f>IF(COUNTIFS(데이터!$A$2:$A$20000,$B$1,데이터!$E$2:$E$20000,$A60)=0,"",SUMIFS(데이터!$D$2:$D$20000,데이터!$A$2:$A$20000,$B$1,데이터!$E$2:$E$20000,$A60))</f>
        <v/>
      </c>
    </row>
    <row r="61">
      <c r="A61" t="n">
        <v>53</v>
      </c>
      <c r="B61" s="3">
        <f>IF(COUNTIFS(데이터!$A$2:$A$20000,$B$1,데이터!$E$2:$E$20000,$A61)=0,"",SUMIFS(데이터!$B$2:$B$20000,데이터!$A$2:$A$20000,$B$1,데이터!$E$2:$E$20000,$A61))</f>
        <v/>
      </c>
      <c r="C61">
        <f>IF(COUNTIFS(데이터!$A$2:$A$20000,$B$1,데이터!$E$2:$E$20000,$A61)=0,"",SUMIFS(데이터!$C$2:$C$20000,데이터!$A$2:$A$20000,$B$1,데이터!$E$2:$E$20000,$A61))</f>
        <v/>
      </c>
      <c r="D61">
        <f>IF(COUNTIFS(데이터!$A$2:$A$20000,$B$1,데이터!$E$2:$E$20000,$A61)=0,"",SUMIFS(데이터!$D$2:$D$20000,데이터!$A$2:$A$20000,$B$1,데이터!$E$2:$E$20000,$A61))</f>
        <v/>
      </c>
    </row>
    <row r="62">
      <c r="A62" t="n">
        <v>52</v>
      </c>
      <c r="B62" s="3">
        <f>IF(COUNTIFS(데이터!$A$2:$A$20000,$B$1,데이터!$E$2:$E$20000,$A62)=0,"",SUMIFS(데이터!$B$2:$B$20000,데이터!$A$2:$A$20000,$B$1,데이터!$E$2:$E$20000,$A62))</f>
        <v/>
      </c>
      <c r="C62">
        <f>IF(COUNTIFS(데이터!$A$2:$A$20000,$B$1,데이터!$E$2:$E$20000,$A62)=0,"",SUMIFS(데이터!$C$2:$C$20000,데이터!$A$2:$A$20000,$B$1,데이터!$E$2:$E$20000,$A62))</f>
        <v/>
      </c>
      <c r="D62">
        <f>IF(COUNTIFS(데이터!$A$2:$A$20000,$B$1,데이터!$E$2:$E$20000,$A62)=0,"",SUMIFS(데이터!$D$2:$D$20000,데이터!$A$2:$A$20000,$B$1,데이터!$E$2:$E$20000,$A62))</f>
        <v/>
      </c>
    </row>
    <row r="63">
      <c r="A63" t="n">
        <v>51</v>
      </c>
      <c r="B63" s="3">
        <f>IF(COUNTIFS(데이터!$A$2:$A$20000,$B$1,데이터!$E$2:$E$20000,$A63)=0,"",SUMIFS(데이터!$B$2:$B$20000,데이터!$A$2:$A$20000,$B$1,데이터!$E$2:$E$20000,$A63))</f>
        <v/>
      </c>
      <c r="C63">
        <f>IF(COUNTIFS(데이터!$A$2:$A$20000,$B$1,데이터!$E$2:$E$20000,$A63)=0,"",SUMIFS(데이터!$C$2:$C$20000,데이터!$A$2:$A$20000,$B$1,데이터!$E$2:$E$20000,$A63))</f>
        <v/>
      </c>
      <c r="D63">
        <f>IF(COUNTIFS(데이터!$A$2:$A$20000,$B$1,데이터!$E$2:$E$20000,$A63)=0,"",SUMIFS(데이터!$D$2:$D$20000,데이터!$A$2:$A$20000,$B$1,데이터!$E$2:$E$20000,$A63))</f>
        <v/>
      </c>
    </row>
    <row r="64">
      <c r="A64" t="n">
        <v>50</v>
      </c>
      <c r="B64" s="3">
        <f>IF(COUNTIFS(데이터!$A$2:$A$20000,$B$1,데이터!$E$2:$E$20000,$A64)=0,"",SUMIFS(데이터!$B$2:$B$20000,데이터!$A$2:$A$20000,$B$1,데이터!$E$2:$E$20000,$A64))</f>
        <v/>
      </c>
      <c r="C64">
        <f>IF(COUNTIFS(데이터!$A$2:$A$20000,$B$1,데이터!$E$2:$E$20000,$A64)=0,"",SUMIFS(데이터!$C$2:$C$20000,데이터!$A$2:$A$20000,$B$1,데이터!$E$2:$E$20000,$A64))</f>
        <v/>
      </c>
      <c r="D64">
        <f>IF(COUNTIFS(데이터!$A$2:$A$20000,$B$1,데이터!$E$2:$E$20000,$A64)=0,"",SUMIFS(데이터!$D$2:$D$20000,데이터!$A$2:$A$20000,$B$1,데이터!$E$2:$E$20000,$A64))</f>
        <v/>
      </c>
    </row>
    <row r="65">
      <c r="A65" t="n">
        <v>49</v>
      </c>
      <c r="B65" s="3">
        <f>IF(COUNTIFS(데이터!$A$2:$A$20000,$B$1,데이터!$E$2:$E$20000,$A65)=0,"",SUMIFS(데이터!$B$2:$B$20000,데이터!$A$2:$A$20000,$B$1,데이터!$E$2:$E$20000,$A65))</f>
        <v/>
      </c>
      <c r="C65">
        <f>IF(COUNTIFS(데이터!$A$2:$A$20000,$B$1,데이터!$E$2:$E$20000,$A65)=0,"",SUMIFS(데이터!$C$2:$C$20000,데이터!$A$2:$A$20000,$B$1,데이터!$E$2:$E$20000,$A65))</f>
        <v/>
      </c>
      <c r="D65">
        <f>IF(COUNTIFS(데이터!$A$2:$A$20000,$B$1,데이터!$E$2:$E$20000,$A65)=0,"",SUMIFS(데이터!$D$2:$D$20000,데이터!$A$2:$A$20000,$B$1,데이터!$E$2:$E$20000,$A65))</f>
        <v/>
      </c>
    </row>
    <row r="66">
      <c r="A66" t="n">
        <v>48</v>
      </c>
      <c r="B66" s="3">
        <f>IF(COUNTIFS(데이터!$A$2:$A$20000,$B$1,데이터!$E$2:$E$20000,$A66)=0,"",SUMIFS(데이터!$B$2:$B$20000,데이터!$A$2:$A$20000,$B$1,데이터!$E$2:$E$20000,$A66))</f>
        <v/>
      </c>
      <c r="C66">
        <f>IF(COUNTIFS(데이터!$A$2:$A$20000,$B$1,데이터!$E$2:$E$20000,$A66)=0,"",SUMIFS(데이터!$C$2:$C$20000,데이터!$A$2:$A$20000,$B$1,데이터!$E$2:$E$20000,$A66))</f>
        <v/>
      </c>
      <c r="D66">
        <f>IF(COUNTIFS(데이터!$A$2:$A$20000,$B$1,데이터!$E$2:$E$20000,$A66)=0,"",SUMIFS(데이터!$D$2:$D$20000,데이터!$A$2:$A$20000,$B$1,데이터!$E$2:$E$20000,$A66))</f>
        <v/>
      </c>
    </row>
    <row r="67">
      <c r="A67" t="n">
        <v>47</v>
      </c>
      <c r="B67" s="3">
        <f>IF(COUNTIFS(데이터!$A$2:$A$20000,$B$1,데이터!$E$2:$E$20000,$A67)=0,"",SUMIFS(데이터!$B$2:$B$20000,데이터!$A$2:$A$20000,$B$1,데이터!$E$2:$E$20000,$A67))</f>
        <v/>
      </c>
      <c r="C67">
        <f>IF(COUNTIFS(데이터!$A$2:$A$20000,$B$1,데이터!$E$2:$E$20000,$A67)=0,"",SUMIFS(데이터!$C$2:$C$20000,데이터!$A$2:$A$20000,$B$1,데이터!$E$2:$E$20000,$A67))</f>
        <v/>
      </c>
      <c r="D67">
        <f>IF(COUNTIFS(데이터!$A$2:$A$20000,$B$1,데이터!$E$2:$E$20000,$A67)=0,"",SUMIFS(데이터!$D$2:$D$20000,데이터!$A$2:$A$20000,$B$1,데이터!$E$2:$E$20000,$A67))</f>
        <v/>
      </c>
    </row>
    <row r="68">
      <c r="A68" t="n">
        <v>46</v>
      </c>
      <c r="B68" s="3">
        <f>IF(COUNTIFS(데이터!$A$2:$A$20000,$B$1,데이터!$E$2:$E$20000,$A68)=0,"",SUMIFS(데이터!$B$2:$B$20000,데이터!$A$2:$A$20000,$B$1,데이터!$E$2:$E$20000,$A68))</f>
        <v/>
      </c>
      <c r="C68">
        <f>IF(COUNTIFS(데이터!$A$2:$A$20000,$B$1,데이터!$E$2:$E$20000,$A68)=0,"",SUMIFS(데이터!$C$2:$C$20000,데이터!$A$2:$A$20000,$B$1,데이터!$E$2:$E$20000,$A68))</f>
        <v/>
      </c>
      <c r="D68">
        <f>IF(COUNTIFS(데이터!$A$2:$A$20000,$B$1,데이터!$E$2:$E$20000,$A68)=0,"",SUMIFS(데이터!$D$2:$D$20000,데이터!$A$2:$A$20000,$B$1,데이터!$E$2:$E$20000,$A68))</f>
        <v/>
      </c>
    </row>
    <row r="69">
      <c r="A69" t="n">
        <v>45</v>
      </c>
      <c r="B69" s="3">
        <f>IF(COUNTIFS(데이터!$A$2:$A$20000,$B$1,데이터!$E$2:$E$20000,$A69)=0,"",SUMIFS(데이터!$B$2:$B$20000,데이터!$A$2:$A$20000,$B$1,데이터!$E$2:$E$20000,$A69))</f>
        <v/>
      </c>
      <c r="C69">
        <f>IF(COUNTIFS(데이터!$A$2:$A$20000,$B$1,데이터!$E$2:$E$20000,$A69)=0,"",SUMIFS(데이터!$C$2:$C$20000,데이터!$A$2:$A$20000,$B$1,데이터!$E$2:$E$20000,$A69))</f>
        <v/>
      </c>
      <c r="D69">
        <f>IF(COUNTIFS(데이터!$A$2:$A$20000,$B$1,데이터!$E$2:$E$20000,$A69)=0,"",SUMIFS(데이터!$D$2:$D$20000,데이터!$A$2:$A$20000,$B$1,데이터!$E$2:$E$20000,$A69))</f>
        <v/>
      </c>
    </row>
    <row r="70">
      <c r="A70" t="n">
        <v>44</v>
      </c>
      <c r="B70" s="3">
        <f>IF(COUNTIFS(데이터!$A$2:$A$20000,$B$1,데이터!$E$2:$E$20000,$A70)=0,"",SUMIFS(데이터!$B$2:$B$20000,데이터!$A$2:$A$20000,$B$1,데이터!$E$2:$E$20000,$A70))</f>
        <v/>
      </c>
      <c r="C70">
        <f>IF(COUNTIFS(데이터!$A$2:$A$20000,$B$1,데이터!$E$2:$E$20000,$A70)=0,"",SUMIFS(데이터!$C$2:$C$20000,데이터!$A$2:$A$20000,$B$1,데이터!$E$2:$E$20000,$A70))</f>
        <v/>
      </c>
      <c r="D70">
        <f>IF(COUNTIFS(데이터!$A$2:$A$20000,$B$1,데이터!$E$2:$E$20000,$A70)=0,"",SUMIFS(데이터!$D$2:$D$20000,데이터!$A$2:$A$20000,$B$1,데이터!$E$2:$E$20000,$A70))</f>
        <v/>
      </c>
    </row>
    <row r="71">
      <c r="A71" t="n">
        <v>43</v>
      </c>
      <c r="B71" s="3">
        <f>IF(COUNTIFS(데이터!$A$2:$A$20000,$B$1,데이터!$E$2:$E$20000,$A71)=0,"",SUMIFS(데이터!$B$2:$B$20000,데이터!$A$2:$A$20000,$B$1,데이터!$E$2:$E$20000,$A71))</f>
        <v/>
      </c>
      <c r="C71">
        <f>IF(COUNTIFS(데이터!$A$2:$A$20000,$B$1,데이터!$E$2:$E$20000,$A71)=0,"",SUMIFS(데이터!$C$2:$C$20000,데이터!$A$2:$A$20000,$B$1,데이터!$E$2:$E$20000,$A71))</f>
        <v/>
      </c>
      <c r="D71">
        <f>IF(COUNTIFS(데이터!$A$2:$A$20000,$B$1,데이터!$E$2:$E$20000,$A71)=0,"",SUMIFS(데이터!$D$2:$D$20000,데이터!$A$2:$A$20000,$B$1,데이터!$E$2:$E$20000,$A71))</f>
        <v/>
      </c>
    </row>
    <row r="72">
      <c r="A72" t="n">
        <v>42</v>
      </c>
      <c r="B72" s="3">
        <f>IF(COUNTIFS(데이터!$A$2:$A$20000,$B$1,데이터!$E$2:$E$20000,$A72)=0,"",SUMIFS(데이터!$B$2:$B$20000,데이터!$A$2:$A$20000,$B$1,데이터!$E$2:$E$20000,$A72))</f>
        <v/>
      </c>
      <c r="C72">
        <f>IF(COUNTIFS(데이터!$A$2:$A$20000,$B$1,데이터!$E$2:$E$20000,$A72)=0,"",SUMIFS(데이터!$C$2:$C$20000,데이터!$A$2:$A$20000,$B$1,데이터!$E$2:$E$20000,$A72))</f>
        <v/>
      </c>
      <c r="D72">
        <f>IF(COUNTIFS(데이터!$A$2:$A$20000,$B$1,데이터!$E$2:$E$20000,$A72)=0,"",SUMIFS(데이터!$D$2:$D$20000,데이터!$A$2:$A$20000,$B$1,데이터!$E$2:$E$20000,$A72))</f>
        <v/>
      </c>
    </row>
    <row r="73">
      <c r="A73" t="n">
        <v>41</v>
      </c>
      <c r="B73" s="3">
        <f>IF(COUNTIFS(데이터!$A$2:$A$20000,$B$1,데이터!$E$2:$E$20000,$A73)=0,"",SUMIFS(데이터!$B$2:$B$20000,데이터!$A$2:$A$20000,$B$1,데이터!$E$2:$E$20000,$A73))</f>
        <v/>
      </c>
      <c r="C73">
        <f>IF(COUNTIFS(데이터!$A$2:$A$20000,$B$1,데이터!$E$2:$E$20000,$A73)=0,"",SUMIFS(데이터!$C$2:$C$20000,데이터!$A$2:$A$20000,$B$1,데이터!$E$2:$E$20000,$A73))</f>
        <v/>
      </c>
      <c r="D73">
        <f>IF(COUNTIFS(데이터!$A$2:$A$20000,$B$1,데이터!$E$2:$E$20000,$A73)=0,"",SUMIFS(데이터!$D$2:$D$20000,데이터!$A$2:$A$20000,$B$1,데이터!$E$2:$E$20000,$A73))</f>
        <v/>
      </c>
    </row>
    <row r="74">
      <c r="A74" t="n">
        <v>40</v>
      </c>
      <c r="B74" s="3">
        <f>IF(COUNTIFS(데이터!$A$2:$A$20000,$B$1,데이터!$E$2:$E$20000,$A74)=0,"",SUMIFS(데이터!$B$2:$B$20000,데이터!$A$2:$A$20000,$B$1,데이터!$E$2:$E$20000,$A74))</f>
        <v/>
      </c>
      <c r="C74">
        <f>IF(COUNTIFS(데이터!$A$2:$A$20000,$B$1,데이터!$E$2:$E$20000,$A74)=0,"",SUMIFS(데이터!$C$2:$C$20000,데이터!$A$2:$A$20000,$B$1,데이터!$E$2:$E$20000,$A74))</f>
        <v/>
      </c>
      <c r="D74">
        <f>IF(COUNTIFS(데이터!$A$2:$A$20000,$B$1,데이터!$E$2:$E$20000,$A74)=0,"",SUMIFS(데이터!$D$2:$D$20000,데이터!$A$2:$A$20000,$B$1,데이터!$E$2:$E$20000,$A74))</f>
        <v/>
      </c>
    </row>
    <row r="75">
      <c r="A75" t="n">
        <v>39</v>
      </c>
      <c r="B75" s="3">
        <f>IF(COUNTIFS(데이터!$A$2:$A$20000,$B$1,데이터!$E$2:$E$20000,$A75)=0,"",SUMIFS(데이터!$B$2:$B$20000,데이터!$A$2:$A$20000,$B$1,데이터!$E$2:$E$20000,$A75))</f>
        <v/>
      </c>
      <c r="C75">
        <f>IF(COUNTIFS(데이터!$A$2:$A$20000,$B$1,데이터!$E$2:$E$20000,$A75)=0,"",SUMIFS(데이터!$C$2:$C$20000,데이터!$A$2:$A$20000,$B$1,데이터!$E$2:$E$20000,$A75))</f>
        <v/>
      </c>
      <c r="D75">
        <f>IF(COUNTIFS(데이터!$A$2:$A$20000,$B$1,데이터!$E$2:$E$20000,$A75)=0,"",SUMIFS(데이터!$D$2:$D$20000,데이터!$A$2:$A$20000,$B$1,데이터!$E$2:$E$20000,$A75))</f>
        <v/>
      </c>
    </row>
    <row r="76">
      <c r="A76" t="n">
        <v>38</v>
      </c>
      <c r="B76" s="3">
        <f>IF(COUNTIFS(데이터!$A$2:$A$20000,$B$1,데이터!$E$2:$E$20000,$A76)=0,"",SUMIFS(데이터!$B$2:$B$20000,데이터!$A$2:$A$20000,$B$1,데이터!$E$2:$E$20000,$A76))</f>
        <v/>
      </c>
      <c r="C76">
        <f>IF(COUNTIFS(데이터!$A$2:$A$20000,$B$1,데이터!$E$2:$E$20000,$A76)=0,"",SUMIFS(데이터!$C$2:$C$20000,데이터!$A$2:$A$20000,$B$1,데이터!$E$2:$E$20000,$A76))</f>
        <v/>
      </c>
      <c r="D76">
        <f>IF(COUNTIFS(데이터!$A$2:$A$20000,$B$1,데이터!$E$2:$E$20000,$A76)=0,"",SUMIFS(데이터!$D$2:$D$20000,데이터!$A$2:$A$20000,$B$1,데이터!$E$2:$E$20000,$A76))</f>
        <v/>
      </c>
    </row>
    <row r="77">
      <c r="A77" t="n">
        <v>37</v>
      </c>
      <c r="B77" s="3">
        <f>IF(COUNTIFS(데이터!$A$2:$A$20000,$B$1,데이터!$E$2:$E$20000,$A77)=0,"",SUMIFS(데이터!$B$2:$B$20000,데이터!$A$2:$A$20000,$B$1,데이터!$E$2:$E$20000,$A77))</f>
        <v/>
      </c>
      <c r="C77">
        <f>IF(COUNTIFS(데이터!$A$2:$A$20000,$B$1,데이터!$E$2:$E$20000,$A77)=0,"",SUMIFS(데이터!$C$2:$C$20000,데이터!$A$2:$A$20000,$B$1,데이터!$E$2:$E$20000,$A77))</f>
        <v/>
      </c>
      <c r="D77">
        <f>IF(COUNTIFS(데이터!$A$2:$A$20000,$B$1,데이터!$E$2:$E$20000,$A77)=0,"",SUMIFS(데이터!$D$2:$D$20000,데이터!$A$2:$A$20000,$B$1,데이터!$E$2:$E$20000,$A77))</f>
        <v/>
      </c>
    </row>
    <row r="78">
      <c r="A78" t="n">
        <v>36</v>
      </c>
      <c r="B78" s="3">
        <f>IF(COUNTIFS(데이터!$A$2:$A$20000,$B$1,데이터!$E$2:$E$20000,$A78)=0,"",SUMIFS(데이터!$B$2:$B$20000,데이터!$A$2:$A$20000,$B$1,데이터!$E$2:$E$20000,$A78))</f>
        <v/>
      </c>
      <c r="C78">
        <f>IF(COUNTIFS(데이터!$A$2:$A$20000,$B$1,데이터!$E$2:$E$20000,$A78)=0,"",SUMIFS(데이터!$C$2:$C$20000,데이터!$A$2:$A$20000,$B$1,데이터!$E$2:$E$20000,$A78))</f>
        <v/>
      </c>
      <c r="D78">
        <f>IF(COUNTIFS(데이터!$A$2:$A$20000,$B$1,데이터!$E$2:$E$20000,$A78)=0,"",SUMIFS(데이터!$D$2:$D$20000,데이터!$A$2:$A$20000,$B$1,데이터!$E$2:$E$20000,$A78))</f>
        <v/>
      </c>
    </row>
    <row r="79">
      <c r="A79" t="n">
        <v>35</v>
      </c>
      <c r="B79" s="3">
        <f>IF(COUNTIFS(데이터!$A$2:$A$20000,$B$1,데이터!$E$2:$E$20000,$A79)=0,"",SUMIFS(데이터!$B$2:$B$20000,데이터!$A$2:$A$20000,$B$1,데이터!$E$2:$E$20000,$A79))</f>
        <v/>
      </c>
      <c r="C79">
        <f>IF(COUNTIFS(데이터!$A$2:$A$20000,$B$1,데이터!$E$2:$E$20000,$A79)=0,"",SUMIFS(데이터!$C$2:$C$20000,데이터!$A$2:$A$20000,$B$1,데이터!$E$2:$E$20000,$A79))</f>
        <v/>
      </c>
      <c r="D79">
        <f>IF(COUNTIFS(데이터!$A$2:$A$20000,$B$1,데이터!$E$2:$E$20000,$A79)=0,"",SUMIFS(데이터!$D$2:$D$20000,데이터!$A$2:$A$20000,$B$1,데이터!$E$2:$E$20000,$A79))</f>
        <v/>
      </c>
    </row>
    <row r="80">
      <c r="A80" t="n">
        <v>34</v>
      </c>
      <c r="B80" s="3">
        <f>IF(COUNTIFS(데이터!$A$2:$A$20000,$B$1,데이터!$E$2:$E$20000,$A80)=0,"",SUMIFS(데이터!$B$2:$B$20000,데이터!$A$2:$A$20000,$B$1,데이터!$E$2:$E$20000,$A80))</f>
        <v/>
      </c>
      <c r="C80">
        <f>IF(COUNTIFS(데이터!$A$2:$A$20000,$B$1,데이터!$E$2:$E$20000,$A80)=0,"",SUMIFS(데이터!$C$2:$C$20000,데이터!$A$2:$A$20000,$B$1,데이터!$E$2:$E$20000,$A80))</f>
        <v/>
      </c>
      <c r="D80">
        <f>IF(COUNTIFS(데이터!$A$2:$A$20000,$B$1,데이터!$E$2:$E$20000,$A80)=0,"",SUMIFS(데이터!$D$2:$D$20000,데이터!$A$2:$A$20000,$B$1,데이터!$E$2:$E$20000,$A80))</f>
        <v/>
      </c>
    </row>
    <row r="81">
      <c r="A81" t="n">
        <v>33</v>
      </c>
      <c r="B81" s="3">
        <f>IF(COUNTIFS(데이터!$A$2:$A$20000,$B$1,데이터!$E$2:$E$20000,$A81)=0,"",SUMIFS(데이터!$B$2:$B$20000,데이터!$A$2:$A$20000,$B$1,데이터!$E$2:$E$20000,$A81))</f>
        <v/>
      </c>
      <c r="C81">
        <f>IF(COUNTIFS(데이터!$A$2:$A$20000,$B$1,데이터!$E$2:$E$20000,$A81)=0,"",SUMIFS(데이터!$C$2:$C$20000,데이터!$A$2:$A$20000,$B$1,데이터!$E$2:$E$20000,$A81))</f>
        <v/>
      </c>
      <c r="D81">
        <f>IF(COUNTIFS(데이터!$A$2:$A$20000,$B$1,데이터!$E$2:$E$20000,$A81)=0,"",SUMIFS(데이터!$D$2:$D$20000,데이터!$A$2:$A$20000,$B$1,데이터!$E$2:$E$20000,$A81))</f>
        <v/>
      </c>
    </row>
    <row r="82">
      <c r="A82" t="n">
        <v>32</v>
      </c>
      <c r="B82" s="3">
        <f>IF(COUNTIFS(데이터!$A$2:$A$20000,$B$1,데이터!$E$2:$E$20000,$A82)=0,"",SUMIFS(데이터!$B$2:$B$20000,데이터!$A$2:$A$20000,$B$1,데이터!$E$2:$E$20000,$A82))</f>
        <v/>
      </c>
      <c r="C82">
        <f>IF(COUNTIFS(데이터!$A$2:$A$20000,$B$1,데이터!$E$2:$E$20000,$A82)=0,"",SUMIFS(데이터!$C$2:$C$20000,데이터!$A$2:$A$20000,$B$1,데이터!$E$2:$E$20000,$A82))</f>
        <v/>
      </c>
      <c r="D82">
        <f>IF(COUNTIFS(데이터!$A$2:$A$20000,$B$1,데이터!$E$2:$E$20000,$A82)=0,"",SUMIFS(데이터!$D$2:$D$20000,데이터!$A$2:$A$20000,$B$1,데이터!$E$2:$E$20000,$A82))</f>
        <v/>
      </c>
    </row>
    <row r="83">
      <c r="A83" t="n">
        <v>31</v>
      </c>
      <c r="B83" s="3">
        <f>IF(COUNTIFS(데이터!$A$2:$A$20000,$B$1,데이터!$E$2:$E$20000,$A83)=0,"",SUMIFS(데이터!$B$2:$B$20000,데이터!$A$2:$A$20000,$B$1,데이터!$E$2:$E$20000,$A83))</f>
        <v/>
      </c>
      <c r="C83">
        <f>IF(COUNTIFS(데이터!$A$2:$A$20000,$B$1,데이터!$E$2:$E$20000,$A83)=0,"",SUMIFS(데이터!$C$2:$C$20000,데이터!$A$2:$A$20000,$B$1,데이터!$E$2:$E$20000,$A83))</f>
        <v/>
      </c>
      <c r="D83">
        <f>IF(COUNTIFS(데이터!$A$2:$A$20000,$B$1,데이터!$E$2:$E$20000,$A83)=0,"",SUMIFS(데이터!$D$2:$D$20000,데이터!$A$2:$A$20000,$B$1,데이터!$E$2:$E$20000,$A83))</f>
        <v/>
      </c>
    </row>
    <row r="84">
      <c r="A84" t="n">
        <v>30</v>
      </c>
      <c r="B84" s="3">
        <f>IF(COUNTIFS(데이터!$A$2:$A$20000,$B$1,데이터!$E$2:$E$20000,$A84)=0,"",SUMIFS(데이터!$B$2:$B$20000,데이터!$A$2:$A$20000,$B$1,데이터!$E$2:$E$20000,$A84))</f>
        <v/>
      </c>
      <c r="C84">
        <f>IF(COUNTIFS(데이터!$A$2:$A$20000,$B$1,데이터!$E$2:$E$20000,$A84)=0,"",SUMIFS(데이터!$C$2:$C$20000,데이터!$A$2:$A$20000,$B$1,데이터!$E$2:$E$20000,$A84))</f>
        <v/>
      </c>
      <c r="D84">
        <f>IF(COUNTIFS(데이터!$A$2:$A$20000,$B$1,데이터!$E$2:$E$20000,$A84)=0,"",SUMIFS(데이터!$D$2:$D$20000,데이터!$A$2:$A$20000,$B$1,데이터!$E$2:$E$20000,$A84))</f>
        <v/>
      </c>
    </row>
    <row r="85">
      <c r="A85" t="n">
        <v>29</v>
      </c>
      <c r="B85" s="3">
        <f>IF(COUNTIFS(데이터!$A$2:$A$20000,$B$1,데이터!$E$2:$E$20000,$A85)=0,"",SUMIFS(데이터!$B$2:$B$20000,데이터!$A$2:$A$20000,$B$1,데이터!$E$2:$E$20000,$A85))</f>
        <v/>
      </c>
      <c r="C85">
        <f>IF(COUNTIFS(데이터!$A$2:$A$20000,$B$1,데이터!$E$2:$E$20000,$A85)=0,"",SUMIFS(데이터!$C$2:$C$20000,데이터!$A$2:$A$20000,$B$1,데이터!$E$2:$E$20000,$A85))</f>
        <v/>
      </c>
      <c r="D85">
        <f>IF(COUNTIFS(데이터!$A$2:$A$20000,$B$1,데이터!$E$2:$E$20000,$A85)=0,"",SUMIFS(데이터!$D$2:$D$20000,데이터!$A$2:$A$20000,$B$1,데이터!$E$2:$E$20000,$A85))</f>
        <v/>
      </c>
    </row>
    <row r="86">
      <c r="A86" t="n">
        <v>28</v>
      </c>
      <c r="B86" s="3">
        <f>IF(COUNTIFS(데이터!$A$2:$A$20000,$B$1,데이터!$E$2:$E$20000,$A86)=0,"",SUMIFS(데이터!$B$2:$B$20000,데이터!$A$2:$A$20000,$B$1,데이터!$E$2:$E$20000,$A86))</f>
        <v/>
      </c>
      <c r="C86">
        <f>IF(COUNTIFS(데이터!$A$2:$A$20000,$B$1,데이터!$E$2:$E$20000,$A86)=0,"",SUMIFS(데이터!$C$2:$C$20000,데이터!$A$2:$A$20000,$B$1,데이터!$E$2:$E$20000,$A86))</f>
        <v/>
      </c>
      <c r="D86">
        <f>IF(COUNTIFS(데이터!$A$2:$A$20000,$B$1,데이터!$E$2:$E$20000,$A86)=0,"",SUMIFS(데이터!$D$2:$D$20000,데이터!$A$2:$A$20000,$B$1,데이터!$E$2:$E$20000,$A86))</f>
        <v/>
      </c>
    </row>
    <row r="87">
      <c r="A87" t="n">
        <v>27</v>
      </c>
      <c r="B87" s="3">
        <f>IF(COUNTIFS(데이터!$A$2:$A$20000,$B$1,데이터!$E$2:$E$20000,$A87)=0,"",SUMIFS(데이터!$B$2:$B$20000,데이터!$A$2:$A$20000,$B$1,데이터!$E$2:$E$20000,$A87))</f>
        <v/>
      </c>
      <c r="C87">
        <f>IF(COUNTIFS(데이터!$A$2:$A$20000,$B$1,데이터!$E$2:$E$20000,$A87)=0,"",SUMIFS(데이터!$C$2:$C$20000,데이터!$A$2:$A$20000,$B$1,데이터!$E$2:$E$20000,$A87))</f>
        <v/>
      </c>
      <c r="D87">
        <f>IF(COUNTIFS(데이터!$A$2:$A$20000,$B$1,데이터!$E$2:$E$20000,$A87)=0,"",SUMIFS(데이터!$D$2:$D$20000,데이터!$A$2:$A$20000,$B$1,데이터!$E$2:$E$20000,$A87))</f>
        <v/>
      </c>
    </row>
    <row r="88">
      <c r="A88" t="n">
        <v>26</v>
      </c>
      <c r="B88" s="3">
        <f>IF(COUNTIFS(데이터!$A$2:$A$20000,$B$1,데이터!$E$2:$E$20000,$A88)=0,"",SUMIFS(데이터!$B$2:$B$20000,데이터!$A$2:$A$20000,$B$1,데이터!$E$2:$E$20000,$A88))</f>
        <v/>
      </c>
      <c r="C88">
        <f>IF(COUNTIFS(데이터!$A$2:$A$20000,$B$1,데이터!$E$2:$E$20000,$A88)=0,"",SUMIFS(데이터!$C$2:$C$20000,데이터!$A$2:$A$20000,$B$1,데이터!$E$2:$E$20000,$A88))</f>
        <v/>
      </c>
      <c r="D88">
        <f>IF(COUNTIFS(데이터!$A$2:$A$20000,$B$1,데이터!$E$2:$E$20000,$A88)=0,"",SUMIFS(데이터!$D$2:$D$20000,데이터!$A$2:$A$20000,$B$1,데이터!$E$2:$E$20000,$A88))</f>
        <v/>
      </c>
    </row>
    <row r="89">
      <c r="A89" t="n">
        <v>25</v>
      </c>
      <c r="B89" s="3">
        <f>IF(COUNTIFS(데이터!$A$2:$A$20000,$B$1,데이터!$E$2:$E$20000,$A89)=0,"",SUMIFS(데이터!$B$2:$B$20000,데이터!$A$2:$A$20000,$B$1,데이터!$E$2:$E$20000,$A89))</f>
        <v/>
      </c>
      <c r="C89">
        <f>IF(COUNTIFS(데이터!$A$2:$A$20000,$B$1,데이터!$E$2:$E$20000,$A89)=0,"",SUMIFS(데이터!$C$2:$C$20000,데이터!$A$2:$A$20000,$B$1,데이터!$E$2:$E$20000,$A89))</f>
        <v/>
      </c>
      <c r="D89">
        <f>IF(COUNTIFS(데이터!$A$2:$A$20000,$B$1,데이터!$E$2:$E$20000,$A89)=0,"",SUMIFS(데이터!$D$2:$D$20000,데이터!$A$2:$A$20000,$B$1,데이터!$E$2:$E$20000,$A89))</f>
        <v/>
      </c>
    </row>
    <row r="90">
      <c r="A90" t="n">
        <v>24</v>
      </c>
      <c r="B90" s="3">
        <f>IF(COUNTIFS(데이터!$A$2:$A$20000,$B$1,데이터!$E$2:$E$20000,$A90)=0,"",SUMIFS(데이터!$B$2:$B$20000,데이터!$A$2:$A$20000,$B$1,데이터!$E$2:$E$20000,$A90))</f>
        <v/>
      </c>
      <c r="C90">
        <f>IF(COUNTIFS(데이터!$A$2:$A$20000,$B$1,데이터!$E$2:$E$20000,$A90)=0,"",SUMIFS(데이터!$C$2:$C$20000,데이터!$A$2:$A$20000,$B$1,데이터!$E$2:$E$20000,$A90))</f>
        <v/>
      </c>
      <c r="D90">
        <f>IF(COUNTIFS(데이터!$A$2:$A$20000,$B$1,데이터!$E$2:$E$20000,$A90)=0,"",SUMIFS(데이터!$D$2:$D$20000,데이터!$A$2:$A$20000,$B$1,데이터!$E$2:$E$20000,$A90))</f>
        <v/>
      </c>
    </row>
    <row r="91">
      <c r="A91" t="n">
        <v>23</v>
      </c>
      <c r="B91" s="3">
        <f>IF(COUNTIFS(데이터!$A$2:$A$20000,$B$1,데이터!$E$2:$E$20000,$A91)=0,"",SUMIFS(데이터!$B$2:$B$20000,데이터!$A$2:$A$20000,$B$1,데이터!$E$2:$E$20000,$A91))</f>
        <v/>
      </c>
      <c r="C91">
        <f>IF(COUNTIFS(데이터!$A$2:$A$20000,$B$1,데이터!$E$2:$E$20000,$A91)=0,"",SUMIFS(데이터!$C$2:$C$20000,데이터!$A$2:$A$20000,$B$1,데이터!$E$2:$E$20000,$A91))</f>
        <v/>
      </c>
      <c r="D91">
        <f>IF(COUNTIFS(데이터!$A$2:$A$20000,$B$1,데이터!$E$2:$E$20000,$A91)=0,"",SUMIFS(데이터!$D$2:$D$20000,데이터!$A$2:$A$20000,$B$1,데이터!$E$2:$E$20000,$A91))</f>
        <v/>
      </c>
    </row>
    <row r="92">
      <c r="A92" t="n">
        <v>22</v>
      </c>
      <c r="B92" s="3">
        <f>IF(COUNTIFS(데이터!$A$2:$A$20000,$B$1,데이터!$E$2:$E$20000,$A92)=0,"",SUMIFS(데이터!$B$2:$B$20000,데이터!$A$2:$A$20000,$B$1,데이터!$E$2:$E$20000,$A92))</f>
        <v/>
      </c>
      <c r="C92">
        <f>IF(COUNTIFS(데이터!$A$2:$A$20000,$B$1,데이터!$E$2:$E$20000,$A92)=0,"",SUMIFS(데이터!$C$2:$C$20000,데이터!$A$2:$A$20000,$B$1,데이터!$E$2:$E$20000,$A92))</f>
        <v/>
      </c>
      <c r="D92">
        <f>IF(COUNTIFS(데이터!$A$2:$A$20000,$B$1,데이터!$E$2:$E$20000,$A92)=0,"",SUMIFS(데이터!$D$2:$D$20000,데이터!$A$2:$A$20000,$B$1,데이터!$E$2:$E$20000,$A92))</f>
        <v/>
      </c>
    </row>
    <row r="93">
      <c r="A93" t="n">
        <v>21</v>
      </c>
      <c r="B93" s="3">
        <f>IF(COUNTIFS(데이터!$A$2:$A$20000,$B$1,데이터!$E$2:$E$20000,$A93)=0,"",SUMIFS(데이터!$B$2:$B$20000,데이터!$A$2:$A$20000,$B$1,데이터!$E$2:$E$20000,$A93))</f>
        <v/>
      </c>
      <c r="C93">
        <f>IF(COUNTIFS(데이터!$A$2:$A$20000,$B$1,데이터!$E$2:$E$20000,$A93)=0,"",SUMIFS(데이터!$C$2:$C$20000,데이터!$A$2:$A$20000,$B$1,데이터!$E$2:$E$20000,$A93))</f>
        <v/>
      </c>
      <c r="D93">
        <f>IF(COUNTIFS(데이터!$A$2:$A$20000,$B$1,데이터!$E$2:$E$20000,$A93)=0,"",SUMIFS(데이터!$D$2:$D$20000,데이터!$A$2:$A$20000,$B$1,데이터!$E$2:$E$20000,$A93))</f>
        <v/>
      </c>
    </row>
    <row r="94">
      <c r="A94" t="n">
        <v>20</v>
      </c>
      <c r="B94" s="3">
        <f>IF(COUNTIFS(데이터!$A$2:$A$20000,$B$1,데이터!$E$2:$E$20000,$A94)=0,"",SUMIFS(데이터!$B$2:$B$20000,데이터!$A$2:$A$20000,$B$1,데이터!$E$2:$E$20000,$A94))</f>
        <v/>
      </c>
      <c r="C94">
        <f>IF(COUNTIFS(데이터!$A$2:$A$20000,$B$1,데이터!$E$2:$E$20000,$A94)=0,"",SUMIFS(데이터!$C$2:$C$20000,데이터!$A$2:$A$20000,$B$1,데이터!$E$2:$E$20000,$A94))</f>
        <v/>
      </c>
      <c r="D94">
        <f>IF(COUNTIFS(데이터!$A$2:$A$20000,$B$1,데이터!$E$2:$E$20000,$A94)=0,"",SUMIFS(데이터!$D$2:$D$20000,데이터!$A$2:$A$20000,$B$1,데이터!$E$2:$E$20000,$A94))</f>
        <v/>
      </c>
    </row>
    <row r="95">
      <c r="A95" t="n">
        <v>19</v>
      </c>
      <c r="B95" s="3">
        <f>IF(COUNTIFS(데이터!$A$2:$A$20000,$B$1,데이터!$E$2:$E$20000,$A95)=0,"",SUMIFS(데이터!$B$2:$B$20000,데이터!$A$2:$A$20000,$B$1,데이터!$E$2:$E$20000,$A95))</f>
        <v/>
      </c>
      <c r="C95">
        <f>IF(COUNTIFS(데이터!$A$2:$A$20000,$B$1,데이터!$E$2:$E$20000,$A95)=0,"",SUMIFS(데이터!$C$2:$C$20000,데이터!$A$2:$A$20000,$B$1,데이터!$E$2:$E$20000,$A95))</f>
        <v/>
      </c>
      <c r="D95">
        <f>IF(COUNTIFS(데이터!$A$2:$A$20000,$B$1,데이터!$E$2:$E$20000,$A95)=0,"",SUMIFS(데이터!$D$2:$D$20000,데이터!$A$2:$A$20000,$B$1,데이터!$E$2:$E$20000,$A95))</f>
        <v/>
      </c>
    </row>
    <row r="96">
      <c r="A96" t="n">
        <v>18</v>
      </c>
      <c r="B96" s="3">
        <f>IF(COUNTIFS(데이터!$A$2:$A$20000,$B$1,데이터!$E$2:$E$20000,$A96)=0,"",SUMIFS(데이터!$B$2:$B$20000,데이터!$A$2:$A$20000,$B$1,데이터!$E$2:$E$20000,$A96))</f>
        <v/>
      </c>
      <c r="C96">
        <f>IF(COUNTIFS(데이터!$A$2:$A$20000,$B$1,데이터!$E$2:$E$20000,$A96)=0,"",SUMIFS(데이터!$C$2:$C$20000,데이터!$A$2:$A$20000,$B$1,데이터!$E$2:$E$20000,$A96))</f>
        <v/>
      </c>
      <c r="D96">
        <f>IF(COUNTIFS(데이터!$A$2:$A$20000,$B$1,데이터!$E$2:$E$20000,$A96)=0,"",SUMIFS(데이터!$D$2:$D$20000,데이터!$A$2:$A$20000,$B$1,데이터!$E$2:$E$20000,$A96))</f>
        <v/>
      </c>
    </row>
    <row r="97">
      <c r="A97" t="n">
        <v>17</v>
      </c>
      <c r="B97" s="3">
        <f>IF(COUNTIFS(데이터!$A$2:$A$20000,$B$1,데이터!$E$2:$E$20000,$A97)=0,"",SUMIFS(데이터!$B$2:$B$20000,데이터!$A$2:$A$20000,$B$1,데이터!$E$2:$E$20000,$A97))</f>
        <v/>
      </c>
      <c r="C97">
        <f>IF(COUNTIFS(데이터!$A$2:$A$20000,$B$1,데이터!$E$2:$E$20000,$A97)=0,"",SUMIFS(데이터!$C$2:$C$20000,데이터!$A$2:$A$20000,$B$1,데이터!$E$2:$E$20000,$A97))</f>
        <v/>
      </c>
      <c r="D97">
        <f>IF(COUNTIFS(데이터!$A$2:$A$20000,$B$1,데이터!$E$2:$E$20000,$A97)=0,"",SUMIFS(데이터!$D$2:$D$20000,데이터!$A$2:$A$20000,$B$1,데이터!$E$2:$E$20000,$A97))</f>
        <v/>
      </c>
    </row>
    <row r="98">
      <c r="A98" t="n">
        <v>16</v>
      </c>
      <c r="B98" s="3">
        <f>IF(COUNTIFS(데이터!$A$2:$A$20000,$B$1,데이터!$E$2:$E$20000,$A98)=0,"",SUMIFS(데이터!$B$2:$B$20000,데이터!$A$2:$A$20000,$B$1,데이터!$E$2:$E$20000,$A98))</f>
        <v/>
      </c>
      <c r="C98">
        <f>IF(COUNTIFS(데이터!$A$2:$A$20000,$B$1,데이터!$E$2:$E$20000,$A98)=0,"",SUMIFS(데이터!$C$2:$C$20000,데이터!$A$2:$A$20000,$B$1,데이터!$E$2:$E$20000,$A98))</f>
        <v/>
      </c>
      <c r="D98">
        <f>IF(COUNTIFS(데이터!$A$2:$A$20000,$B$1,데이터!$E$2:$E$20000,$A98)=0,"",SUMIFS(데이터!$D$2:$D$20000,데이터!$A$2:$A$20000,$B$1,데이터!$E$2:$E$20000,$A98))</f>
        <v/>
      </c>
    </row>
    <row r="99">
      <c r="A99" t="n">
        <v>15</v>
      </c>
      <c r="B99" s="3">
        <f>IF(COUNTIFS(데이터!$A$2:$A$20000,$B$1,데이터!$E$2:$E$20000,$A99)=0,"",SUMIFS(데이터!$B$2:$B$20000,데이터!$A$2:$A$20000,$B$1,데이터!$E$2:$E$20000,$A99))</f>
        <v/>
      </c>
      <c r="C99">
        <f>IF(COUNTIFS(데이터!$A$2:$A$20000,$B$1,데이터!$E$2:$E$20000,$A99)=0,"",SUMIFS(데이터!$C$2:$C$20000,데이터!$A$2:$A$20000,$B$1,데이터!$E$2:$E$20000,$A99))</f>
        <v/>
      </c>
      <c r="D99">
        <f>IF(COUNTIFS(데이터!$A$2:$A$20000,$B$1,데이터!$E$2:$E$20000,$A99)=0,"",SUMIFS(데이터!$D$2:$D$20000,데이터!$A$2:$A$20000,$B$1,데이터!$E$2:$E$20000,$A99))</f>
        <v/>
      </c>
    </row>
    <row r="100">
      <c r="A100" t="n">
        <v>14</v>
      </c>
      <c r="B100" s="3">
        <f>IF(COUNTIFS(데이터!$A$2:$A$20000,$B$1,데이터!$E$2:$E$20000,$A100)=0,"",SUMIFS(데이터!$B$2:$B$20000,데이터!$A$2:$A$20000,$B$1,데이터!$E$2:$E$20000,$A100))</f>
        <v/>
      </c>
      <c r="C100">
        <f>IF(COUNTIFS(데이터!$A$2:$A$20000,$B$1,데이터!$E$2:$E$20000,$A100)=0,"",SUMIFS(데이터!$C$2:$C$20000,데이터!$A$2:$A$20000,$B$1,데이터!$E$2:$E$20000,$A100))</f>
        <v/>
      </c>
      <c r="D100">
        <f>IF(COUNTIFS(데이터!$A$2:$A$20000,$B$1,데이터!$E$2:$E$20000,$A100)=0,"",SUMIFS(데이터!$D$2:$D$20000,데이터!$A$2:$A$20000,$B$1,데이터!$E$2:$E$20000,$A100))</f>
        <v/>
      </c>
    </row>
    <row r="101">
      <c r="A101" t="n">
        <v>13</v>
      </c>
      <c r="B101" s="3">
        <f>IF(COUNTIFS(데이터!$A$2:$A$20000,$B$1,데이터!$E$2:$E$20000,$A101)=0,"",SUMIFS(데이터!$B$2:$B$20000,데이터!$A$2:$A$20000,$B$1,데이터!$E$2:$E$20000,$A101))</f>
        <v/>
      </c>
      <c r="C101">
        <f>IF(COUNTIFS(데이터!$A$2:$A$20000,$B$1,데이터!$E$2:$E$20000,$A101)=0,"",SUMIFS(데이터!$C$2:$C$20000,데이터!$A$2:$A$20000,$B$1,데이터!$E$2:$E$20000,$A101))</f>
        <v/>
      </c>
      <c r="D101">
        <f>IF(COUNTIFS(데이터!$A$2:$A$20000,$B$1,데이터!$E$2:$E$20000,$A101)=0,"",SUMIFS(데이터!$D$2:$D$20000,데이터!$A$2:$A$20000,$B$1,데이터!$E$2:$E$20000,$A101))</f>
        <v/>
      </c>
    </row>
    <row r="102">
      <c r="A102" t="n">
        <v>12</v>
      </c>
      <c r="B102" s="3">
        <f>IF(COUNTIFS(데이터!$A$2:$A$20000,$B$1,데이터!$E$2:$E$20000,$A102)=0,"",SUMIFS(데이터!$B$2:$B$20000,데이터!$A$2:$A$20000,$B$1,데이터!$E$2:$E$20000,$A102))</f>
        <v/>
      </c>
      <c r="C102">
        <f>IF(COUNTIFS(데이터!$A$2:$A$20000,$B$1,데이터!$E$2:$E$20000,$A102)=0,"",SUMIFS(데이터!$C$2:$C$20000,데이터!$A$2:$A$20000,$B$1,데이터!$E$2:$E$20000,$A102))</f>
        <v/>
      </c>
      <c r="D102">
        <f>IF(COUNTIFS(데이터!$A$2:$A$20000,$B$1,데이터!$E$2:$E$20000,$A102)=0,"",SUMIFS(데이터!$D$2:$D$20000,데이터!$A$2:$A$20000,$B$1,데이터!$E$2:$E$20000,$A102))</f>
        <v/>
      </c>
    </row>
    <row r="103">
      <c r="A103" t="n">
        <v>11</v>
      </c>
      <c r="B103" s="3">
        <f>IF(COUNTIFS(데이터!$A$2:$A$20000,$B$1,데이터!$E$2:$E$20000,$A103)=0,"",SUMIFS(데이터!$B$2:$B$20000,데이터!$A$2:$A$20000,$B$1,데이터!$E$2:$E$20000,$A103))</f>
        <v/>
      </c>
      <c r="C103">
        <f>IF(COUNTIFS(데이터!$A$2:$A$20000,$B$1,데이터!$E$2:$E$20000,$A103)=0,"",SUMIFS(데이터!$C$2:$C$20000,데이터!$A$2:$A$20000,$B$1,데이터!$E$2:$E$20000,$A103))</f>
        <v/>
      </c>
      <c r="D103">
        <f>IF(COUNTIFS(데이터!$A$2:$A$20000,$B$1,데이터!$E$2:$E$20000,$A103)=0,"",SUMIFS(데이터!$D$2:$D$20000,데이터!$A$2:$A$20000,$B$1,데이터!$E$2:$E$20000,$A103))</f>
        <v/>
      </c>
    </row>
    <row r="104">
      <c r="A104" t="n">
        <v>10</v>
      </c>
      <c r="B104" s="3">
        <f>IF(COUNTIFS(데이터!$A$2:$A$20000,$B$1,데이터!$E$2:$E$20000,$A104)=0,"",SUMIFS(데이터!$B$2:$B$20000,데이터!$A$2:$A$20000,$B$1,데이터!$E$2:$E$20000,$A104))</f>
        <v/>
      </c>
      <c r="C104">
        <f>IF(COUNTIFS(데이터!$A$2:$A$20000,$B$1,데이터!$E$2:$E$20000,$A104)=0,"",SUMIFS(데이터!$C$2:$C$20000,데이터!$A$2:$A$20000,$B$1,데이터!$E$2:$E$20000,$A104))</f>
        <v/>
      </c>
      <c r="D104">
        <f>IF(COUNTIFS(데이터!$A$2:$A$20000,$B$1,데이터!$E$2:$E$20000,$A104)=0,"",SUMIFS(데이터!$D$2:$D$20000,데이터!$A$2:$A$20000,$B$1,데이터!$E$2:$E$20000,$A104))</f>
        <v/>
      </c>
    </row>
    <row r="105">
      <c r="A105" t="n">
        <v>9</v>
      </c>
      <c r="B105" s="3">
        <f>IF(COUNTIFS(데이터!$A$2:$A$20000,$B$1,데이터!$E$2:$E$20000,$A105)=0,"",SUMIFS(데이터!$B$2:$B$20000,데이터!$A$2:$A$20000,$B$1,데이터!$E$2:$E$20000,$A105))</f>
        <v/>
      </c>
      <c r="C105">
        <f>IF(COUNTIFS(데이터!$A$2:$A$20000,$B$1,데이터!$E$2:$E$20000,$A105)=0,"",SUMIFS(데이터!$C$2:$C$20000,데이터!$A$2:$A$20000,$B$1,데이터!$E$2:$E$20000,$A105))</f>
        <v/>
      </c>
      <c r="D105">
        <f>IF(COUNTIFS(데이터!$A$2:$A$20000,$B$1,데이터!$E$2:$E$20000,$A105)=0,"",SUMIFS(데이터!$D$2:$D$20000,데이터!$A$2:$A$20000,$B$1,데이터!$E$2:$E$20000,$A105))</f>
        <v/>
      </c>
    </row>
    <row r="106">
      <c r="A106" t="n">
        <v>8</v>
      </c>
      <c r="B106" s="3">
        <f>IF(COUNTIFS(데이터!$A$2:$A$20000,$B$1,데이터!$E$2:$E$20000,$A106)=0,"",SUMIFS(데이터!$B$2:$B$20000,데이터!$A$2:$A$20000,$B$1,데이터!$E$2:$E$20000,$A106))</f>
        <v/>
      </c>
      <c r="C106">
        <f>IF(COUNTIFS(데이터!$A$2:$A$20000,$B$1,데이터!$E$2:$E$20000,$A106)=0,"",SUMIFS(데이터!$C$2:$C$20000,데이터!$A$2:$A$20000,$B$1,데이터!$E$2:$E$20000,$A106))</f>
        <v/>
      </c>
      <c r="D106">
        <f>IF(COUNTIFS(데이터!$A$2:$A$20000,$B$1,데이터!$E$2:$E$20000,$A106)=0,"",SUMIFS(데이터!$D$2:$D$20000,데이터!$A$2:$A$20000,$B$1,데이터!$E$2:$E$20000,$A106))</f>
        <v/>
      </c>
    </row>
    <row r="107">
      <c r="A107" t="n">
        <v>7</v>
      </c>
      <c r="B107" s="3">
        <f>IF(COUNTIFS(데이터!$A$2:$A$20000,$B$1,데이터!$E$2:$E$20000,$A107)=0,"",SUMIFS(데이터!$B$2:$B$20000,데이터!$A$2:$A$20000,$B$1,데이터!$E$2:$E$20000,$A107))</f>
        <v/>
      </c>
      <c r="C107">
        <f>IF(COUNTIFS(데이터!$A$2:$A$20000,$B$1,데이터!$E$2:$E$20000,$A107)=0,"",SUMIFS(데이터!$C$2:$C$20000,데이터!$A$2:$A$20000,$B$1,데이터!$E$2:$E$20000,$A107))</f>
        <v/>
      </c>
      <c r="D107">
        <f>IF(COUNTIFS(데이터!$A$2:$A$20000,$B$1,데이터!$E$2:$E$20000,$A107)=0,"",SUMIFS(데이터!$D$2:$D$20000,데이터!$A$2:$A$20000,$B$1,데이터!$E$2:$E$20000,$A107))</f>
        <v/>
      </c>
    </row>
    <row r="108">
      <c r="A108" t="n">
        <v>6</v>
      </c>
      <c r="B108" s="3">
        <f>IF(COUNTIFS(데이터!$A$2:$A$20000,$B$1,데이터!$E$2:$E$20000,$A108)=0,"",SUMIFS(데이터!$B$2:$B$20000,데이터!$A$2:$A$20000,$B$1,데이터!$E$2:$E$20000,$A108))</f>
        <v/>
      </c>
      <c r="C108">
        <f>IF(COUNTIFS(데이터!$A$2:$A$20000,$B$1,데이터!$E$2:$E$20000,$A108)=0,"",SUMIFS(데이터!$C$2:$C$20000,데이터!$A$2:$A$20000,$B$1,데이터!$E$2:$E$20000,$A108))</f>
        <v/>
      </c>
      <c r="D108">
        <f>IF(COUNTIFS(데이터!$A$2:$A$20000,$B$1,데이터!$E$2:$E$20000,$A108)=0,"",SUMIFS(데이터!$D$2:$D$20000,데이터!$A$2:$A$20000,$B$1,데이터!$E$2:$E$20000,$A108))</f>
        <v/>
      </c>
    </row>
    <row r="109">
      <c r="A109" t="n">
        <v>5</v>
      </c>
      <c r="B109" s="3">
        <f>IF(COUNTIFS(데이터!$A$2:$A$20000,$B$1,데이터!$E$2:$E$20000,$A109)=0,"",SUMIFS(데이터!$B$2:$B$20000,데이터!$A$2:$A$20000,$B$1,데이터!$E$2:$E$20000,$A109))</f>
        <v/>
      </c>
      <c r="C109">
        <f>IF(COUNTIFS(데이터!$A$2:$A$20000,$B$1,데이터!$E$2:$E$20000,$A109)=0,"",SUMIFS(데이터!$C$2:$C$20000,데이터!$A$2:$A$20000,$B$1,데이터!$E$2:$E$20000,$A109))</f>
        <v/>
      </c>
      <c r="D109">
        <f>IF(COUNTIFS(데이터!$A$2:$A$20000,$B$1,데이터!$E$2:$E$20000,$A109)=0,"",SUMIFS(데이터!$D$2:$D$20000,데이터!$A$2:$A$20000,$B$1,데이터!$E$2:$E$20000,$A109))</f>
        <v/>
      </c>
    </row>
    <row r="110">
      <c r="A110" t="n">
        <v>4</v>
      </c>
      <c r="B110" s="3">
        <f>IF(COUNTIFS(데이터!$A$2:$A$20000,$B$1,데이터!$E$2:$E$20000,$A110)=0,"",SUMIFS(데이터!$B$2:$B$20000,데이터!$A$2:$A$20000,$B$1,데이터!$E$2:$E$20000,$A110))</f>
        <v/>
      </c>
      <c r="C110">
        <f>IF(COUNTIFS(데이터!$A$2:$A$20000,$B$1,데이터!$E$2:$E$20000,$A110)=0,"",SUMIFS(데이터!$C$2:$C$20000,데이터!$A$2:$A$20000,$B$1,데이터!$E$2:$E$20000,$A110))</f>
        <v/>
      </c>
      <c r="D110">
        <f>IF(COUNTIFS(데이터!$A$2:$A$20000,$B$1,데이터!$E$2:$E$20000,$A110)=0,"",SUMIFS(데이터!$D$2:$D$20000,데이터!$A$2:$A$20000,$B$1,데이터!$E$2:$E$20000,$A110))</f>
        <v/>
      </c>
    </row>
    <row r="111">
      <c r="A111" t="n">
        <v>3</v>
      </c>
      <c r="B111" s="3">
        <f>IF(COUNTIFS(데이터!$A$2:$A$20000,$B$1,데이터!$E$2:$E$20000,$A111)=0,"",SUMIFS(데이터!$B$2:$B$20000,데이터!$A$2:$A$20000,$B$1,데이터!$E$2:$E$20000,$A111))</f>
        <v/>
      </c>
      <c r="C111">
        <f>IF(COUNTIFS(데이터!$A$2:$A$20000,$B$1,데이터!$E$2:$E$20000,$A111)=0,"",SUMIFS(데이터!$C$2:$C$20000,데이터!$A$2:$A$20000,$B$1,데이터!$E$2:$E$20000,$A111))</f>
        <v/>
      </c>
      <c r="D111">
        <f>IF(COUNTIFS(데이터!$A$2:$A$20000,$B$1,데이터!$E$2:$E$20000,$A111)=0,"",SUMIFS(데이터!$D$2:$D$20000,데이터!$A$2:$A$20000,$B$1,데이터!$E$2:$E$20000,$A111))</f>
        <v/>
      </c>
    </row>
    <row r="112">
      <c r="A112" t="n">
        <v>2</v>
      </c>
      <c r="B112" s="3">
        <f>IF(COUNTIFS(데이터!$A$2:$A$20000,$B$1,데이터!$E$2:$E$20000,$A112)=0,"",SUMIFS(데이터!$B$2:$B$20000,데이터!$A$2:$A$20000,$B$1,데이터!$E$2:$E$20000,$A112))</f>
        <v/>
      </c>
      <c r="C112">
        <f>IF(COUNTIFS(데이터!$A$2:$A$20000,$B$1,데이터!$E$2:$E$20000,$A112)=0,"",SUMIFS(데이터!$C$2:$C$20000,데이터!$A$2:$A$20000,$B$1,데이터!$E$2:$E$20000,$A112))</f>
        <v/>
      </c>
      <c r="D112">
        <f>IF(COUNTIFS(데이터!$A$2:$A$20000,$B$1,데이터!$E$2:$E$20000,$A112)=0,"",SUMIFS(데이터!$D$2:$D$20000,데이터!$A$2:$A$20000,$B$1,데이터!$E$2:$E$20000,$A112))</f>
        <v/>
      </c>
    </row>
    <row r="113">
      <c r="A113" t="n">
        <v>1</v>
      </c>
      <c r="B113" s="3">
        <f>IF(COUNTIFS(데이터!$A$2:$A$20000,$B$1,데이터!$E$2:$E$20000,$A113)=0,"",SUMIFS(데이터!$B$2:$B$20000,데이터!$A$2:$A$20000,$B$1,데이터!$E$2:$E$20000,$A113))</f>
        <v/>
      </c>
      <c r="C113">
        <f>IF(COUNTIFS(데이터!$A$2:$A$20000,$B$1,데이터!$E$2:$E$20000,$A113)=0,"",SUMIFS(데이터!$C$2:$C$20000,데이터!$A$2:$A$20000,$B$1,데이터!$E$2:$E$20000,$A113))</f>
        <v/>
      </c>
      <c r="D113">
        <f>IF(COUNTIFS(데이터!$A$2:$A$20000,$B$1,데이터!$E$2:$E$20000,$A113)=0,"",SUMIFS(데이터!$D$2:$D$20000,데이터!$A$2:$A$20000,$B$1,데이터!$E$2:$E$20000,$A113))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2026-10-28T05:45:06Z</dcterms:created>
  <dcterms:modified xmlns:dcterms="http://purl.org/dc/terms/" xmlns:xsi="http://www.w3.org/2001/XMLSchema-instance" xsi:type="dcterms:W3CDTF">2026-10-28T05:45:06Z</dcterms:modified>
</cp:coreProperties>
</file>